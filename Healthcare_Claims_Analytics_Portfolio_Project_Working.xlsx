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4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Claims" sheetId="2" state="visible" r:id="rId4"/>
    <sheet name="Pivot Analysis" sheetId="3" state="visible" r:id="rId5"/>
    <sheet name="Members" sheetId="4" state="visible" r:id="rId6"/>
    <sheet name="Providers" sheetId="5" state="visible" r:id="rId7"/>
    <sheet name="Employees" sheetId="6" state="visible" r:id="rId8"/>
    <sheet name="Raw_Messy_Data" sheetId="7" state="visible" r:id="rId9"/>
    <sheet name="Dashboard" sheetId="8" state="visible" r:id="rId10"/>
  </sheets>
  <definedNames>
    <definedName function="false" hidden="false" localSheetId="7" name="_xlnm.Print_Area" vbProcedure="false">Dashboard!$A$1:$F$29</definedName>
  </definedNames>
  <calcPr iterateCount="100" refMode="A1" iterate="false" iterateDelta="0.0001"/>
  <pivotCaches>
    <pivotCache cacheId="1" r:id="rId12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<sst xmlns="http://schemas.openxmlformats.org/spreadsheetml/2006/main" count="19327" uniqueCount="4565">
  <si>
    <t xml:space="preserve">Healthcare Claims Analytics — Portfolio Project v1</t>
  </si>
  <si>
    <t xml:space="preserve">Business Scenario</t>
  </si>
  <si>
    <t xml:space="preserve">Fictional healthcare claims operations dataset for a first professional portfolio project.</t>
  </si>
  <si>
    <t xml:space="preserve">Dataset Size</t>
  </si>
  <si>
    <t xml:space="preserve">1,500 claims, 300 members, 50 providers, 100 employees, plus a deliberately messy sample.</t>
  </si>
  <si>
    <t xml:space="preserve">Tools</t>
  </si>
  <si>
    <t xml:space="preserve">Advanced Excel → MySQL → Power BI.</t>
  </si>
  <si>
    <t xml:space="preserve">Focus</t>
  </si>
  <si>
    <t xml:space="preserve">Claims volume, financial impact, processing time, denials, SLA, department and provider performance.</t>
  </si>
  <si>
    <t xml:space="preserve">Privacy</t>
  </si>
  <si>
    <t xml:space="preserve">All data is fictional; no real patient or protected health information.</t>
  </si>
  <si>
    <t xml:space="preserve">Workflow</t>
  </si>
  <si>
    <t xml:space="preserve">Clean data → analyze in Excel → reproduce analysis in MySQL → build Power BI dashboard → document on GitHub.</t>
  </si>
  <si>
    <t xml:space="preserve">Claim_ID</t>
  </si>
  <si>
    <t xml:space="preserve">Member_ID</t>
  </si>
  <si>
    <t xml:space="preserve">Provider_ID</t>
  </si>
  <si>
    <t xml:space="preserve">Employee_ID</t>
  </si>
  <si>
    <t xml:space="preserve">Claim_Received_Date</t>
  </si>
  <si>
    <t xml:space="preserve">Service_Date</t>
  </si>
  <si>
    <t xml:space="preserve">Claim_Type</t>
  </si>
  <si>
    <t xml:space="preserve">Diagnosis_Code</t>
  </si>
  <si>
    <t xml:space="preserve">Procedure_Code</t>
  </si>
  <si>
    <t xml:space="preserve">Billed_Amount</t>
  </si>
  <si>
    <t xml:space="preserve">Allowed_Amount</t>
  </si>
  <si>
    <t xml:space="preserve">Paid_Amount</t>
  </si>
  <si>
    <t xml:space="preserve">Member_Responsibility</t>
  </si>
  <si>
    <t xml:space="preserve">Claim_Status</t>
  </si>
  <si>
    <t xml:space="preserve">Denial_Reason</t>
  </si>
  <si>
    <t xml:space="preserve">Processing_Days</t>
  </si>
  <si>
    <t xml:space="preserve">Priority</t>
  </si>
  <si>
    <t xml:space="preserve">Region</t>
  </si>
  <si>
    <t xml:space="preserve">Payment_Date</t>
  </si>
  <si>
    <t xml:space="preserve">Claims Overview</t>
  </si>
  <si>
    <t xml:space="preserve">Values</t>
  </si>
  <si>
    <t xml:space="preserve">C000001</t>
  </si>
  <si>
    <t xml:space="preserve">M0046</t>
  </si>
  <si>
    <t xml:space="preserve">P0013</t>
  </si>
  <si>
    <t xml:space="preserve">E0057</t>
  </si>
  <si>
    <t xml:space="preserve">Dental</t>
  </si>
  <si>
    <t xml:space="preserve">DX-943</t>
  </si>
  <si>
    <t xml:space="preserve">PR-7671</t>
  </si>
  <si>
    <t xml:space="preserve">Paid</t>
  </si>
  <si>
    <t xml:space="preserve">Low</t>
  </si>
  <si>
    <t xml:space="preserve">Karnataka</t>
  </si>
  <si>
    <t xml:space="preserve">Total Claims</t>
  </si>
  <si>
    <t xml:space="preserve">C000002</t>
  </si>
  <si>
    <t xml:space="preserve">M0160</t>
  </si>
  <si>
    <t xml:space="preserve">P0046</t>
  </si>
  <si>
    <t xml:space="preserve">E0065</t>
  </si>
  <si>
    <t xml:space="preserve">Pharmacy</t>
  </si>
  <si>
    <t xml:space="preserve">DX-238</t>
  </si>
  <si>
    <t xml:space="preserve">PR-9589</t>
  </si>
  <si>
    <t xml:space="preserve">Denied</t>
  </si>
  <si>
    <t xml:space="preserve">Invalid Procedure Code</t>
  </si>
  <si>
    <t xml:space="preserve">Delhi</t>
  </si>
  <si>
    <t xml:space="preserve">Total Billed Amount</t>
  </si>
  <si>
    <t xml:space="preserve">C000003</t>
  </si>
  <si>
    <t xml:space="preserve">M0026</t>
  </si>
  <si>
    <t xml:space="preserve">P0024</t>
  </si>
  <si>
    <t xml:space="preserve">E0091</t>
  </si>
  <si>
    <t xml:space="preserve">DX-380</t>
  </si>
  <si>
    <t xml:space="preserve">PR-7035</t>
  </si>
  <si>
    <t xml:space="preserve">Duplicate Claim</t>
  </si>
  <si>
    <t xml:space="preserve">Medium</t>
  </si>
  <si>
    <t xml:space="preserve">Telangana</t>
  </si>
  <si>
    <t xml:space="preserve">Total Allowed Amount</t>
  </si>
  <si>
    <t xml:space="preserve">C000004</t>
  </si>
  <si>
    <t xml:space="preserve">M0229</t>
  </si>
  <si>
    <t xml:space="preserve">P0012</t>
  </si>
  <si>
    <t xml:space="preserve">E0061</t>
  </si>
  <si>
    <t xml:space="preserve">Vision</t>
  </si>
  <si>
    <t xml:space="preserve">DX-452</t>
  </si>
  <si>
    <t xml:space="preserve">PR-3679</t>
  </si>
  <si>
    <t xml:space="preserve">Out of Network</t>
  </si>
  <si>
    <t xml:space="preserve">Tamil Nadu</t>
  </si>
  <si>
    <t xml:space="preserve">Total Paid Amount</t>
  </si>
  <si>
    <t xml:space="preserve">C000005</t>
  </si>
  <si>
    <t xml:space="preserve">M0114</t>
  </si>
  <si>
    <t xml:space="preserve">P0042</t>
  </si>
  <si>
    <t xml:space="preserve">E0029</t>
  </si>
  <si>
    <t xml:space="preserve">DX-375</t>
  </si>
  <si>
    <t xml:space="preserve">PR-7709</t>
  </si>
  <si>
    <t xml:space="preserve">Total Member Responsibility</t>
  </si>
  <si>
    <t xml:space="preserve">C000006</t>
  </si>
  <si>
    <t xml:space="preserve">M0115</t>
  </si>
  <si>
    <t xml:space="preserve">P0017</t>
  </si>
  <si>
    <t xml:space="preserve">E0078</t>
  </si>
  <si>
    <t xml:space="preserve">DX-829</t>
  </si>
  <si>
    <t xml:space="preserve">PR-5511</t>
  </si>
  <si>
    <t xml:space="preserve">Average Processing Days</t>
  </si>
  <si>
    <t xml:space="preserve">C000007</t>
  </si>
  <si>
    <t xml:space="preserve">M0300</t>
  </si>
  <si>
    <t xml:space="preserve">P0007</t>
  </si>
  <si>
    <t xml:space="preserve">E0001</t>
  </si>
  <si>
    <t xml:space="preserve">DX-674</t>
  </si>
  <si>
    <t xml:space="preserve">PR-5631</t>
  </si>
  <si>
    <t xml:space="preserve">Paid Claims</t>
  </si>
  <si>
    <t xml:space="preserve">C000008</t>
  </si>
  <si>
    <t xml:space="preserve">M0153</t>
  </si>
  <si>
    <t xml:space="preserve">E0020</t>
  </si>
  <si>
    <t xml:space="preserve">DX-158</t>
  </si>
  <si>
    <t xml:space="preserve">PR-7620</t>
  </si>
  <si>
    <t xml:space="preserve">Maharashtra</t>
  </si>
  <si>
    <t xml:space="preserve">Paid Rate</t>
  </si>
  <si>
    <t xml:space="preserve">C000009</t>
  </si>
  <si>
    <t xml:space="preserve">M0215</t>
  </si>
  <si>
    <t xml:space="preserve">P0026</t>
  </si>
  <si>
    <t xml:space="preserve">E0050</t>
  </si>
  <si>
    <t xml:space="preserve">Medical</t>
  </si>
  <si>
    <t xml:space="preserve">DX-697</t>
  </si>
  <si>
    <t xml:space="preserve">PR-4111</t>
  </si>
  <si>
    <t xml:space="preserve">Pending</t>
  </si>
  <si>
    <t xml:space="preserve">Denial Claims</t>
  </si>
  <si>
    <t xml:space="preserve">C000010</t>
  </si>
  <si>
    <t xml:space="preserve">M0184</t>
  </si>
  <si>
    <t xml:space="preserve">P0033</t>
  </si>
  <si>
    <t xml:space="preserve">E0039</t>
  </si>
  <si>
    <t xml:space="preserve">DX-960</t>
  </si>
  <si>
    <t xml:space="preserve">PR-3967</t>
  </si>
  <si>
    <t xml:space="preserve">Denial Rate</t>
  </si>
  <si>
    <t xml:space="preserve">C000011</t>
  </si>
  <si>
    <t xml:space="preserve">M0172</t>
  </si>
  <si>
    <t xml:space="preserve">E0012</t>
  </si>
  <si>
    <t xml:space="preserve">DX-463</t>
  </si>
  <si>
    <t xml:space="preserve">PR-4659</t>
  </si>
  <si>
    <t xml:space="preserve">Haryana</t>
  </si>
  <si>
    <t xml:space="preserve">Pending Claims</t>
  </si>
  <si>
    <t xml:space="preserve">C000012</t>
  </si>
  <si>
    <t xml:space="preserve">M0061</t>
  </si>
  <si>
    <t xml:space="preserve">P0031</t>
  </si>
  <si>
    <t xml:space="preserve">E0007</t>
  </si>
  <si>
    <t xml:space="preserve">DX-583</t>
  </si>
  <si>
    <t xml:space="preserve">PR-4187</t>
  </si>
  <si>
    <t xml:space="preserve">Pending Rate</t>
  </si>
  <si>
    <t xml:space="preserve">C000013</t>
  </si>
  <si>
    <t xml:space="preserve">M0176</t>
  </si>
  <si>
    <t xml:space="preserve">P0027</t>
  </si>
  <si>
    <t xml:space="preserve">E0073</t>
  </si>
  <si>
    <t xml:space="preserve">DX-246</t>
  </si>
  <si>
    <t xml:space="preserve">PR-6183</t>
  </si>
  <si>
    <t xml:space="preserve">Uttar Pradesh</t>
  </si>
  <si>
    <t xml:space="preserve">Cancelled Claims</t>
  </si>
  <si>
    <t xml:space="preserve">C000014</t>
  </si>
  <si>
    <t xml:space="preserve">M0232</t>
  </si>
  <si>
    <t xml:space="preserve">P0018</t>
  </si>
  <si>
    <t xml:space="preserve">E0027</t>
  </si>
  <si>
    <t xml:space="preserve">DX-690</t>
  </si>
  <si>
    <t xml:space="preserve">PR-3595</t>
  </si>
  <si>
    <t xml:space="preserve">Cancelled Rate</t>
  </si>
  <si>
    <t xml:space="preserve">C000015</t>
  </si>
  <si>
    <t xml:space="preserve">M0197</t>
  </si>
  <si>
    <t xml:space="preserve">P0001</t>
  </si>
  <si>
    <t xml:space="preserve">E0005</t>
  </si>
  <si>
    <t xml:space="preserve">DX-848</t>
  </si>
  <si>
    <t xml:space="preserve">PR-7112</t>
  </si>
  <si>
    <t xml:space="preserve">High</t>
  </si>
  <si>
    <t xml:space="preserve">SLA Compliance (&lt;=7 days)</t>
  </si>
  <si>
    <t xml:space="preserve">C000016</t>
  </si>
  <si>
    <t xml:space="preserve">P0009</t>
  </si>
  <si>
    <t xml:space="preserve">E0014</t>
  </si>
  <si>
    <t xml:space="preserve">DX-615</t>
  </si>
  <si>
    <t xml:space="preserve">PR-6015</t>
  </si>
  <si>
    <t xml:space="preserve">C000017</t>
  </si>
  <si>
    <t xml:space="preserve">M0223</t>
  </si>
  <si>
    <t xml:space="preserve">P0044</t>
  </si>
  <si>
    <t xml:space="preserve">E0018</t>
  </si>
  <si>
    <t xml:space="preserve">DX-601</t>
  </si>
  <si>
    <t xml:space="preserve">PR-6885</t>
  </si>
  <si>
    <t xml:space="preserve">Claim Type</t>
  </si>
  <si>
    <t xml:space="preserve">Claims</t>
  </si>
  <si>
    <t xml:space="preserve">Claim %</t>
  </si>
  <si>
    <t xml:space="preserve">Billed Amount</t>
  </si>
  <si>
    <t xml:space="preserve">Paid Amount</t>
  </si>
  <si>
    <t xml:space="preserve">Denied Claims</t>
  </si>
  <si>
    <t xml:space="preserve">C000018</t>
  </si>
  <si>
    <t xml:space="preserve">M0259</t>
  </si>
  <si>
    <t xml:space="preserve">P0011</t>
  </si>
  <si>
    <t xml:space="preserve">E0016</t>
  </si>
  <si>
    <t xml:space="preserve">DX-828</t>
  </si>
  <si>
    <t xml:space="preserve">PR-1612</t>
  </si>
  <si>
    <t xml:space="preserve">C000019</t>
  </si>
  <si>
    <t xml:space="preserve">M0011</t>
  </si>
  <si>
    <t xml:space="preserve">P0004</t>
  </si>
  <si>
    <t xml:space="preserve">E0089</t>
  </si>
  <si>
    <t xml:space="preserve">DX-526</t>
  </si>
  <si>
    <t xml:space="preserve">PR-8279</t>
  </si>
  <si>
    <t xml:space="preserve">C000020</t>
  </si>
  <si>
    <t xml:space="preserve">M0216</t>
  </si>
  <si>
    <t xml:space="preserve">P0043</t>
  </si>
  <si>
    <t xml:space="preserve">E0013</t>
  </si>
  <si>
    <t xml:space="preserve">DX-737</t>
  </si>
  <si>
    <t xml:space="preserve">PR-3247</t>
  </si>
  <si>
    <t xml:space="preserve">C000021</t>
  </si>
  <si>
    <t xml:space="preserve">M0255</t>
  </si>
  <si>
    <t xml:space="preserve">DX-896</t>
  </si>
  <si>
    <t xml:space="preserve">PR-5308</t>
  </si>
  <si>
    <t xml:space="preserve">C000022</t>
  </si>
  <si>
    <t xml:space="preserve">M0170</t>
  </si>
  <si>
    <t xml:space="preserve">P0016</t>
  </si>
  <si>
    <t xml:space="preserve">DX-787</t>
  </si>
  <si>
    <t xml:space="preserve">PR-2458</t>
  </si>
  <si>
    <t xml:space="preserve">C000023</t>
  </si>
  <si>
    <t xml:space="preserve">M0132</t>
  </si>
  <si>
    <t xml:space="preserve">E0030</t>
  </si>
  <si>
    <t xml:space="preserve">DX-403</t>
  </si>
  <si>
    <t xml:space="preserve">PR-5327</t>
  </si>
  <si>
    <t xml:space="preserve">C000024</t>
  </si>
  <si>
    <t xml:space="preserve">M0060</t>
  </si>
  <si>
    <t xml:space="preserve">E0098</t>
  </si>
  <si>
    <t xml:space="preserve">DX-109</t>
  </si>
  <si>
    <t xml:space="preserve">PR-3267</t>
  </si>
  <si>
    <t xml:space="preserve">OON Denials</t>
  </si>
  <si>
    <t xml:space="preserve">% of OON Denials</t>
  </si>
  <si>
    <t xml:space="preserve">C000025</t>
  </si>
  <si>
    <t xml:space="preserve">M0191</t>
  </si>
  <si>
    <t xml:space="preserve">P0022</t>
  </si>
  <si>
    <t xml:space="preserve">E0024</t>
  </si>
  <si>
    <t xml:space="preserve">DX-510</t>
  </si>
  <si>
    <t xml:space="preserve">PR-7557</t>
  </si>
  <si>
    <t xml:space="preserve">C000026</t>
  </si>
  <si>
    <t xml:space="preserve">M0068</t>
  </si>
  <si>
    <t xml:space="preserve">P0045</t>
  </si>
  <si>
    <t xml:space="preserve">E0093</t>
  </si>
  <si>
    <t xml:space="preserve">DX-964</t>
  </si>
  <si>
    <t xml:space="preserve">PR-3611</t>
  </si>
  <si>
    <t xml:space="preserve">C000027</t>
  </si>
  <si>
    <t xml:space="preserve">M0015</t>
  </si>
  <si>
    <t xml:space="preserve">E0094</t>
  </si>
  <si>
    <t xml:space="preserve">DX-594</t>
  </si>
  <si>
    <t xml:space="preserve">PR-8997</t>
  </si>
  <si>
    <t xml:space="preserve">Eligibility Issue</t>
  </si>
  <si>
    <t xml:space="preserve">C000028</t>
  </si>
  <si>
    <t xml:space="preserve">M0174</t>
  </si>
  <si>
    <t xml:space="preserve">P0034</t>
  </si>
  <si>
    <t xml:space="preserve">E0067</t>
  </si>
  <si>
    <t xml:space="preserve">DX-543</t>
  </si>
  <si>
    <t xml:space="preserve">PR-5072</t>
  </si>
  <si>
    <t xml:space="preserve">C000029</t>
  </si>
  <si>
    <t xml:space="preserve">M0028</t>
  </si>
  <si>
    <t xml:space="preserve">E0083</t>
  </si>
  <si>
    <t xml:space="preserve">DX-617</t>
  </si>
  <si>
    <t xml:space="preserve">PR-8688</t>
  </si>
  <si>
    <t xml:space="preserve">C000030</t>
  </si>
  <si>
    <t xml:space="preserve">M0260</t>
  </si>
  <si>
    <t xml:space="preserve">P0015</t>
  </si>
  <si>
    <t xml:space="preserve">E0071</t>
  </si>
  <si>
    <t xml:space="preserve">DX-512</t>
  </si>
  <si>
    <t xml:space="preserve">PR-4850</t>
  </si>
  <si>
    <t xml:space="preserve">C000031</t>
  </si>
  <si>
    <t xml:space="preserve">M0010</t>
  </si>
  <si>
    <t xml:space="preserve">E0052</t>
  </si>
  <si>
    <t xml:space="preserve">DX-136</t>
  </si>
  <si>
    <t xml:space="preserve">PR-9996</t>
  </si>
  <si>
    <t xml:space="preserve">Denial Reason</t>
  </si>
  <si>
    <t xml:space="preserve">% of Denials</t>
  </si>
  <si>
    <t xml:space="preserve">C000032</t>
  </si>
  <si>
    <t xml:space="preserve">M0234</t>
  </si>
  <si>
    <t xml:space="preserve">E0047</t>
  </si>
  <si>
    <t xml:space="preserve">DX-936</t>
  </si>
  <si>
    <t xml:space="preserve">PR-4652</t>
  </si>
  <si>
    <t xml:space="preserve">Cancelled</t>
  </si>
  <si>
    <t xml:space="preserve">C000033</t>
  </si>
  <si>
    <t xml:space="preserve">M0059</t>
  </si>
  <si>
    <t xml:space="preserve">DX-102</t>
  </si>
  <si>
    <t xml:space="preserve">PR-6592</t>
  </si>
  <si>
    <t xml:space="preserve">Missing Documentation</t>
  </si>
  <si>
    <t xml:space="preserve">C000034</t>
  </si>
  <si>
    <t xml:space="preserve">M0072</t>
  </si>
  <si>
    <t xml:space="preserve">E0096</t>
  </si>
  <si>
    <t xml:space="preserve">DX-209</t>
  </si>
  <si>
    <t xml:space="preserve">PR-5166</t>
  </si>
  <si>
    <t xml:space="preserve">C000035</t>
  </si>
  <si>
    <t xml:space="preserve">M0056</t>
  </si>
  <si>
    <t xml:space="preserve">P0049</t>
  </si>
  <si>
    <t xml:space="preserve">E0054</t>
  </si>
  <si>
    <t xml:space="preserve">DX-748</t>
  </si>
  <si>
    <t xml:space="preserve">PR-3018</t>
  </si>
  <si>
    <t xml:space="preserve">C000036</t>
  </si>
  <si>
    <t xml:space="preserve">M0284</t>
  </si>
  <si>
    <t xml:space="preserve">P0028</t>
  </si>
  <si>
    <t xml:space="preserve">E0075</t>
  </si>
  <si>
    <t xml:space="preserve">DX-620</t>
  </si>
  <si>
    <t xml:space="preserve">PR-3903</t>
  </si>
  <si>
    <t xml:space="preserve">C000037</t>
  </si>
  <si>
    <t xml:space="preserve">PR-7518</t>
  </si>
  <si>
    <t xml:space="preserve">C000038</t>
  </si>
  <si>
    <t xml:space="preserve">P0041</t>
  </si>
  <si>
    <t xml:space="preserve">E0028</t>
  </si>
  <si>
    <t xml:space="preserve">DX-314</t>
  </si>
  <si>
    <t xml:space="preserve">PR-5760</t>
  </si>
  <si>
    <t xml:space="preserve">C000039</t>
  </si>
  <si>
    <t xml:space="preserve">E0046</t>
  </si>
  <si>
    <t xml:space="preserve">DX-696</t>
  </si>
  <si>
    <t xml:space="preserve">PR-7839</t>
  </si>
  <si>
    <t xml:space="preserve">C000040</t>
  </si>
  <si>
    <t xml:space="preserve">M0196</t>
  </si>
  <si>
    <t xml:space="preserve">P0010</t>
  </si>
  <si>
    <t xml:space="preserve">DX-304</t>
  </si>
  <si>
    <t xml:space="preserve">PR-5374</t>
  </si>
  <si>
    <t xml:space="preserve">C000041</t>
  </si>
  <si>
    <t xml:space="preserve">P0029</t>
  </si>
  <si>
    <t xml:space="preserve">DX-860</t>
  </si>
  <si>
    <t xml:space="preserve">PR-7371</t>
  </si>
  <si>
    <t xml:space="preserve">C000042</t>
  </si>
  <si>
    <t xml:space="preserve">M0283</t>
  </si>
  <si>
    <t xml:space="preserve">E0002</t>
  </si>
  <si>
    <t xml:space="preserve">DX-307</t>
  </si>
  <si>
    <t xml:space="preserve">PR-8259</t>
  </si>
  <si>
    <t xml:space="preserve">C000043</t>
  </si>
  <si>
    <t xml:space="preserve">M0101</t>
  </si>
  <si>
    <t xml:space="preserve">P0050</t>
  </si>
  <si>
    <t xml:space="preserve">DX-401</t>
  </si>
  <si>
    <t xml:space="preserve">PR-8353</t>
  </si>
  <si>
    <t xml:space="preserve">C000044</t>
  </si>
  <si>
    <t xml:space="preserve">M0220</t>
  </si>
  <si>
    <t xml:space="preserve">E0072</t>
  </si>
  <si>
    <t xml:space="preserve">DX-233</t>
  </si>
  <si>
    <t xml:space="preserve">PR-3636</t>
  </si>
  <si>
    <t xml:space="preserve">C000045</t>
  </si>
  <si>
    <t xml:space="preserve">M0027</t>
  </si>
  <si>
    <t xml:space="preserve">E0081</t>
  </si>
  <si>
    <t xml:space="preserve">DX-602</t>
  </si>
  <si>
    <t xml:space="preserve">PR-6866</t>
  </si>
  <si>
    <t xml:space="preserve">C000046</t>
  </si>
  <si>
    <t xml:space="preserve">M0213</t>
  </si>
  <si>
    <t xml:space="preserve">P0035</t>
  </si>
  <si>
    <t xml:space="preserve">E0069</t>
  </si>
  <si>
    <t xml:space="preserve">DX-194</t>
  </si>
  <si>
    <t xml:space="preserve">PR-6724</t>
  </si>
  <si>
    <t xml:space="preserve">C000047</t>
  </si>
  <si>
    <t xml:space="preserve">M0288</t>
  </si>
  <si>
    <t xml:space="preserve">E0084</t>
  </si>
  <si>
    <t xml:space="preserve">DX-217</t>
  </si>
  <si>
    <t xml:space="preserve">PR-6668</t>
  </si>
  <si>
    <t xml:space="preserve">C000048</t>
  </si>
  <si>
    <t xml:space="preserve">P0025</t>
  </si>
  <si>
    <t xml:space="preserve">E0033</t>
  </si>
  <si>
    <t xml:space="preserve">DX-125</t>
  </si>
  <si>
    <t xml:space="preserve">PR-9468</t>
  </si>
  <si>
    <t xml:space="preserve">C000049</t>
  </si>
  <si>
    <t xml:space="preserve">M0050</t>
  </si>
  <si>
    <t xml:space="preserve">E0099</t>
  </si>
  <si>
    <t xml:space="preserve">DX-741</t>
  </si>
  <si>
    <t xml:space="preserve">PR-2072</t>
  </si>
  <si>
    <t xml:space="preserve">C000050</t>
  </si>
  <si>
    <t xml:space="preserve">M0079</t>
  </si>
  <si>
    <t xml:space="preserve">P0002</t>
  </si>
  <si>
    <t xml:space="preserve">E0059</t>
  </si>
  <si>
    <t xml:space="preserve">DX-138</t>
  </si>
  <si>
    <t xml:space="preserve">PR-2433</t>
  </si>
  <si>
    <t xml:space="preserve">C000051</t>
  </si>
  <si>
    <t xml:space="preserve">M0231</t>
  </si>
  <si>
    <t xml:space="preserve">DX-423</t>
  </si>
  <si>
    <t xml:space="preserve">PR-1276</t>
  </si>
  <si>
    <t xml:space="preserve">C000052</t>
  </si>
  <si>
    <t xml:space="preserve">M0038</t>
  </si>
  <si>
    <t xml:space="preserve">P0023</t>
  </si>
  <si>
    <t xml:space="preserve">DX-396</t>
  </si>
  <si>
    <t xml:space="preserve">PR-5937</t>
  </si>
  <si>
    <t xml:space="preserve">C000053</t>
  </si>
  <si>
    <t xml:space="preserve">M0070</t>
  </si>
  <si>
    <t xml:space="preserve">P0048</t>
  </si>
  <si>
    <t xml:space="preserve">E0051</t>
  </si>
  <si>
    <t xml:space="preserve">DX-749</t>
  </si>
  <si>
    <t xml:space="preserve">PR-3360</t>
  </si>
  <si>
    <t xml:space="preserve">C000054</t>
  </si>
  <si>
    <t xml:space="preserve">M0073</t>
  </si>
  <si>
    <t xml:space="preserve">P0008</t>
  </si>
  <si>
    <t xml:space="preserve">E0006</t>
  </si>
  <si>
    <t xml:space="preserve">DX-686</t>
  </si>
  <si>
    <t xml:space="preserve">PR-7456</t>
  </si>
  <si>
    <t xml:space="preserve">C000055</t>
  </si>
  <si>
    <t xml:space="preserve">M0083</t>
  </si>
  <si>
    <t xml:space="preserve">DX-298</t>
  </si>
  <si>
    <t xml:space="preserve">PR-2877</t>
  </si>
  <si>
    <t xml:space="preserve">C000056</t>
  </si>
  <si>
    <t xml:space="preserve">P0019</t>
  </si>
  <si>
    <t xml:space="preserve">E0086</t>
  </si>
  <si>
    <t xml:space="preserve">DX-356</t>
  </si>
  <si>
    <t xml:space="preserve">PR-2608</t>
  </si>
  <si>
    <t xml:space="preserve">C000057</t>
  </si>
  <si>
    <t xml:space="preserve">M0052</t>
  </si>
  <si>
    <t xml:space="preserve">E0080</t>
  </si>
  <si>
    <t xml:space="preserve">PR-6206</t>
  </si>
  <si>
    <t xml:space="preserve">C000058</t>
  </si>
  <si>
    <t xml:space="preserve">M0187</t>
  </si>
  <si>
    <t xml:space="preserve">P0021</t>
  </si>
  <si>
    <t xml:space="preserve">E0055</t>
  </si>
  <si>
    <t xml:space="preserve">DX-104</t>
  </si>
  <si>
    <t xml:space="preserve">PR-6131</t>
  </si>
  <si>
    <t xml:space="preserve">C000059</t>
  </si>
  <si>
    <t xml:space="preserve">E0060</t>
  </si>
  <si>
    <t xml:space="preserve">DX-467</t>
  </si>
  <si>
    <t xml:space="preserve">PR-6004</t>
  </si>
  <si>
    <t xml:space="preserve">C000060</t>
  </si>
  <si>
    <t xml:space="preserve">M0276</t>
  </si>
  <si>
    <t xml:space="preserve">E0034</t>
  </si>
  <si>
    <t xml:space="preserve">DX-844</t>
  </si>
  <si>
    <t xml:space="preserve">PR-2235</t>
  </si>
  <si>
    <t xml:space="preserve">C000061</t>
  </si>
  <si>
    <t xml:space="preserve">E0070</t>
  </si>
  <si>
    <t xml:space="preserve">DX-769</t>
  </si>
  <si>
    <t xml:space="preserve">PR-3435</t>
  </si>
  <si>
    <t xml:space="preserve">C000062</t>
  </si>
  <si>
    <t xml:space="preserve">M0047</t>
  </si>
  <si>
    <t xml:space="preserve">DX-778</t>
  </si>
  <si>
    <t xml:space="preserve">PR-4913</t>
  </si>
  <si>
    <t xml:space="preserve">C000063</t>
  </si>
  <si>
    <t xml:space="preserve">M0248</t>
  </si>
  <si>
    <t xml:space="preserve">DX-879</t>
  </si>
  <si>
    <t xml:space="preserve">PR-8989</t>
  </si>
  <si>
    <t xml:space="preserve">C000064</t>
  </si>
  <si>
    <t xml:space="preserve">M0241</t>
  </si>
  <si>
    <t xml:space="preserve">P0030</t>
  </si>
  <si>
    <t xml:space="preserve">DX-764</t>
  </si>
  <si>
    <t xml:space="preserve">PR-6309</t>
  </si>
  <si>
    <t xml:space="preserve">C000065</t>
  </si>
  <si>
    <t xml:space="preserve">M0194</t>
  </si>
  <si>
    <t xml:space="preserve">E0076</t>
  </si>
  <si>
    <t xml:space="preserve">DX-629</t>
  </si>
  <si>
    <t xml:space="preserve">PR-5121</t>
  </si>
  <si>
    <t xml:space="preserve">C000066</t>
  </si>
  <si>
    <t xml:space="preserve">M0257</t>
  </si>
  <si>
    <t xml:space="preserve">DX-335</t>
  </si>
  <si>
    <t xml:space="preserve">PR-2263</t>
  </si>
  <si>
    <t xml:space="preserve">C000067</t>
  </si>
  <si>
    <t xml:space="preserve">DX-593</t>
  </si>
  <si>
    <t xml:space="preserve">PR-8844</t>
  </si>
  <si>
    <t xml:space="preserve">C000068</t>
  </si>
  <si>
    <t xml:space="preserve">M0294</t>
  </si>
  <si>
    <t xml:space="preserve">P0038</t>
  </si>
  <si>
    <t xml:space="preserve">E0021</t>
  </si>
  <si>
    <t xml:space="preserve">DX-744</t>
  </si>
  <si>
    <t xml:space="preserve">PR-9399</t>
  </si>
  <si>
    <t xml:space="preserve">C000069</t>
  </si>
  <si>
    <t xml:space="preserve">M0146</t>
  </si>
  <si>
    <t xml:space="preserve">P0006</t>
  </si>
  <si>
    <t xml:space="preserve">DX-721</t>
  </si>
  <si>
    <t xml:space="preserve">PR-8723</t>
  </si>
  <si>
    <t xml:space="preserve">C000070</t>
  </si>
  <si>
    <t xml:space="preserve">M0262</t>
  </si>
  <si>
    <t xml:space="preserve">E0022</t>
  </si>
  <si>
    <t xml:space="preserve">DX-564</t>
  </si>
  <si>
    <t xml:space="preserve">PR-2127</t>
  </si>
  <si>
    <t xml:space="preserve">C000071</t>
  </si>
  <si>
    <t xml:space="preserve">M0077</t>
  </si>
  <si>
    <t xml:space="preserve">P0039</t>
  </si>
  <si>
    <t xml:space="preserve">DX-587</t>
  </si>
  <si>
    <t xml:space="preserve">PR-1639</t>
  </si>
  <si>
    <t xml:space="preserve">C000072</t>
  </si>
  <si>
    <t xml:space="preserve">M0221</t>
  </si>
  <si>
    <t xml:space="preserve">DX-995</t>
  </si>
  <si>
    <t xml:space="preserve">PR-1711</t>
  </si>
  <si>
    <t xml:space="preserve">C000073</t>
  </si>
  <si>
    <t xml:space="preserve">M0295</t>
  </si>
  <si>
    <t xml:space="preserve">DX-360</t>
  </si>
  <si>
    <t xml:space="preserve">PR-8817</t>
  </si>
  <si>
    <t xml:space="preserve">C000074</t>
  </si>
  <si>
    <t xml:space="preserve">M0004</t>
  </si>
  <si>
    <t xml:space="preserve">P0037</t>
  </si>
  <si>
    <t xml:space="preserve">DX-632</t>
  </si>
  <si>
    <t xml:space="preserve">PR-1117</t>
  </si>
  <si>
    <t xml:space="preserve">C000075</t>
  </si>
  <si>
    <t xml:space="preserve">M0130</t>
  </si>
  <si>
    <t xml:space="preserve">DX-678</t>
  </si>
  <si>
    <t xml:space="preserve">PR-6990</t>
  </si>
  <si>
    <t xml:space="preserve">C000076</t>
  </si>
  <si>
    <t xml:space="preserve">M0190</t>
  </si>
  <si>
    <t xml:space="preserve">P0036</t>
  </si>
  <si>
    <t xml:space="preserve">DX-359</t>
  </si>
  <si>
    <t xml:space="preserve">PR-6024</t>
  </si>
  <si>
    <t xml:space="preserve">C000077</t>
  </si>
  <si>
    <t xml:space="preserve">DX-319</t>
  </si>
  <si>
    <t xml:space="preserve">PR-9328</t>
  </si>
  <si>
    <t xml:space="preserve">C000078</t>
  </si>
  <si>
    <t xml:space="preserve">M0003</t>
  </si>
  <si>
    <t xml:space="preserve">E0019</t>
  </si>
  <si>
    <t xml:space="preserve">DX-714</t>
  </si>
  <si>
    <t xml:space="preserve">PR-8133</t>
  </si>
  <si>
    <t xml:space="preserve">C000079</t>
  </si>
  <si>
    <t xml:space="preserve">M0267</t>
  </si>
  <si>
    <t xml:space="preserve">E0092</t>
  </si>
  <si>
    <t xml:space="preserve">DX-892</t>
  </si>
  <si>
    <t xml:space="preserve">PR-3871</t>
  </si>
  <si>
    <t xml:space="preserve">C000080</t>
  </si>
  <si>
    <t xml:space="preserve">E0090</t>
  </si>
  <si>
    <t xml:space="preserve">DX-729</t>
  </si>
  <si>
    <t xml:space="preserve">PR-3776</t>
  </si>
  <si>
    <t xml:space="preserve">C000081</t>
  </si>
  <si>
    <t xml:space="preserve">M0205</t>
  </si>
  <si>
    <t xml:space="preserve">DX-515</t>
  </si>
  <si>
    <t xml:space="preserve">PR-4281</t>
  </si>
  <si>
    <t xml:space="preserve">C000082</t>
  </si>
  <si>
    <t xml:space="preserve">M0178</t>
  </si>
  <si>
    <t xml:space="preserve">DX-565</t>
  </si>
  <si>
    <t xml:space="preserve">PR-7618</t>
  </si>
  <si>
    <t xml:space="preserve">C000083</t>
  </si>
  <si>
    <t xml:space="preserve">M0263</t>
  </si>
  <si>
    <t xml:space="preserve">DX-810</t>
  </si>
  <si>
    <t xml:space="preserve">PR-8254</t>
  </si>
  <si>
    <t xml:space="preserve">C000084</t>
  </si>
  <si>
    <t xml:space="preserve">E0015</t>
  </si>
  <si>
    <t xml:space="preserve">DX-169</t>
  </si>
  <si>
    <t xml:space="preserve">PR-7269</t>
  </si>
  <si>
    <t xml:space="preserve">C000085</t>
  </si>
  <si>
    <t xml:space="preserve">M0265</t>
  </si>
  <si>
    <t xml:space="preserve">DX-354</t>
  </si>
  <si>
    <t xml:space="preserve">PR-5706</t>
  </si>
  <si>
    <t xml:space="preserve">C000086</t>
  </si>
  <si>
    <t xml:space="preserve">M0182</t>
  </si>
  <si>
    <t xml:space="preserve">P0014</t>
  </si>
  <si>
    <t xml:space="preserve">E0074</t>
  </si>
  <si>
    <t xml:space="preserve">DX-287</t>
  </si>
  <si>
    <t xml:space="preserve">PR-4115</t>
  </si>
  <si>
    <t xml:space="preserve">C000087</t>
  </si>
  <si>
    <t xml:space="preserve">M0128</t>
  </si>
  <si>
    <t xml:space="preserve">P0040</t>
  </si>
  <si>
    <t xml:space="preserve">DX-897</t>
  </si>
  <si>
    <t xml:space="preserve">PR-2747</t>
  </si>
  <si>
    <t xml:space="preserve">C000088</t>
  </si>
  <si>
    <t xml:space="preserve">E0041</t>
  </si>
  <si>
    <t xml:space="preserve">DX-688</t>
  </si>
  <si>
    <t xml:space="preserve">PR-5501</t>
  </si>
  <si>
    <t xml:space="preserve">C000089</t>
  </si>
  <si>
    <t xml:space="preserve">M0245</t>
  </si>
  <si>
    <t xml:space="preserve">DX-503</t>
  </si>
  <si>
    <t xml:space="preserve">PR-3863</t>
  </si>
  <si>
    <t xml:space="preserve">C000090</t>
  </si>
  <si>
    <t xml:space="preserve">M0167</t>
  </si>
  <si>
    <t xml:space="preserve">E0079</t>
  </si>
  <si>
    <t xml:space="preserve">DX-291</t>
  </si>
  <si>
    <t xml:space="preserve">PR-9987</t>
  </si>
  <si>
    <t xml:space="preserve">C000091</t>
  </si>
  <si>
    <t xml:space="preserve">M0108</t>
  </si>
  <si>
    <t xml:space="preserve">DX-473</t>
  </si>
  <si>
    <t xml:space="preserve">PR-7563</t>
  </si>
  <si>
    <t xml:space="preserve">C000092</t>
  </si>
  <si>
    <t xml:space="preserve">M0121</t>
  </si>
  <si>
    <t xml:space="preserve">E0056</t>
  </si>
  <si>
    <t xml:space="preserve">DX-300</t>
  </si>
  <si>
    <t xml:space="preserve">PR-3389</t>
  </si>
  <si>
    <t xml:space="preserve">C000093</t>
  </si>
  <si>
    <t xml:space="preserve">M0250</t>
  </si>
  <si>
    <t xml:space="preserve">P0020</t>
  </si>
  <si>
    <t xml:space="preserve">DX-507</t>
  </si>
  <si>
    <t xml:space="preserve">PR-2621</t>
  </si>
  <si>
    <t xml:space="preserve">C000094</t>
  </si>
  <si>
    <t xml:space="preserve">M0134</t>
  </si>
  <si>
    <t xml:space="preserve">PR-1324</t>
  </si>
  <si>
    <t xml:space="preserve">C000095</t>
  </si>
  <si>
    <t xml:space="preserve">E0042</t>
  </si>
  <si>
    <t xml:space="preserve">DX-893</t>
  </si>
  <si>
    <t xml:space="preserve">PR-8322</t>
  </si>
  <si>
    <t xml:space="preserve">C000096</t>
  </si>
  <si>
    <t xml:space="preserve">DX-969</t>
  </si>
  <si>
    <t xml:space="preserve">PR-2168</t>
  </si>
  <si>
    <t xml:space="preserve">C000097</t>
  </si>
  <si>
    <t xml:space="preserve">M0139</t>
  </si>
  <si>
    <t xml:space="preserve">E0100</t>
  </si>
  <si>
    <t xml:space="preserve">DX-865</t>
  </si>
  <si>
    <t xml:space="preserve">PR-9535</t>
  </si>
  <si>
    <t xml:space="preserve">C000098</t>
  </si>
  <si>
    <t xml:space="preserve">DX-197</t>
  </si>
  <si>
    <t xml:space="preserve">PR-2045</t>
  </si>
  <si>
    <t xml:space="preserve">C000099</t>
  </si>
  <si>
    <t xml:space="preserve">M0080</t>
  </si>
  <si>
    <t xml:space="preserve">DX-416</t>
  </si>
  <si>
    <t xml:space="preserve">PR-4757</t>
  </si>
  <si>
    <t xml:space="preserve">C000100</t>
  </si>
  <si>
    <t xml:space="preserve">M0018</t>
  </si>
  <si>
    <t xml:space="preserve">DX-984</t>
  </si>
  <si>
    <t xml:space="preserve">PR-8801</t>
  </si>
  <si>
    <t xml:space="preserve">C000101</t>
  </si>
  <si>
    <t xml:space="preserve">M0289</t>
  </si>
  <si>
    <t xml:space="preserve">E0068</t>
  </si>
  <si>
    <t xml:space="preserve">DX-455</t>
  </si>
  <si>
    <t xml:space="preserve">PR-8891</t>
  </si>
  <si>
    <t xml:space="preserve">C000102</t>
  </si>
  <si>
    <t xml:space="preserve">M0268</t>
  </si>
  <si>
    <t xml:space="preserve">DX-393</t>
  </si>
  <si>
    <t xml:space="preserve">PR-8687</t>
  </si>
  <si>
    <t xml:space="preserve">C000103</t>
  </si>
  <si>
    <t xml:space="preserve">M0119</t>
  </si>
  <si>
    <t xml:space="preserve">DX-293</t>
  </si>
  <si>
    <t xml:space="preserve">PR-7745</t>
  </si>
  <si>
    <t xml:space="preserve">C000104</t>
  </si>
  <si>
    <t xml:space="preserve">M0041</t>
  </si>
  <si>
    <t xml:space="preserve">PR-5454</t>
  </si>
  <si>
    <t xml:space="preserve">C000105</t>
  </si>
  <si>
    <t xml:space="preserve">M0149</t>
  </si>
  <si>
    <t xml:space="preserve">E0082</t>
  </si>
  <si>
    <t xml:space="preserve">DX-732</t>
  </si>
  <si>
    <t xml:space="preserve">PR-8418</t>
  </si>
  <si>
    <t xml:space="preserve">C000106</t>
  </si>
  <si>
    <t xml:space="preserve">M0053</t>
  </si>
  <si>
    <t xml:space="preserve">E0035</t>
  </si>
  <si>
    <t xml:space="preserve">DX-832</t>
  </si>
  <si>
    <t xml:space="preserve">PR-8183</t>
  </si>
  <si>
    <t xml:space="preserve">C000107</t>
  </si>
  <si>
    <t xml:space="preserve">DX-438</t>
  </si>
  <si>
    <t xml:space="preserve">PR-2314</t>
  </si>
  <si>
    <t xml:space="preserve">C000108</t>
  </si>
  <si>
    <t xml:space="preserve">M0007</t>
  </si>
  <si>
    <t xml:space="preserve">DX-494</t>
  </si>
  <si>
    <t xml:space="preserve">PR-8257</t>
  </si>
  <si>
    <t xml:space="preserve">C000109</t>
  </si>
  <si>
    <t xml:space="preserve">M0200</t>
  </si>
  <si>
    <t xml:space="preserve">E0040</t>
  </si>
  <si>
    <t xml:space="preserve">DX-262</t>
  </si>
  <si>
    <t xml:space="preserve">PR-1691</t>
  </si>
  <si>
    <t xml:space="preserve">C000110</t>
  </si>
  <si>
    <t xml:space="preserve">M0058</t>
  </si>
  <si>
    <t xml:space="preserve">DX-432</t>
  </si>
  <si>
    <t xml:space="preserve">PR-1246</t>
  </si>
  <si>
    <t xml:space="preserve">C000111</t>
  </si>
  <si>
    <t xml:space="preserve">PR-3583</t>
  </si>
  <si>
    <t xml:space="preserve">C000112</t>
  </si>
  <si>
    <t xml:space="preserve">DX-228</t>
  </si>
  <si>
    <t xml:space="preserve">PR-8992</t>
  </si>
  <si>
    <t xml:space="preserve">C000113</t>
  </si>
  <si>
    <t xml:space="preserve">PR-1646</t>
  </si>
  <si>
    <t xml:space="preserve">C000114</t>
  </si>
  <si>
    <t xml:space="preserve">M0166</t>
  </si>
  <si>
    <t xml:space="preserve">P0047</t>
  </si>
  <si>
    <t xml:space="preserve">DX-988</t>
  </si>
  <si>
    <t xml:space="preserve">PR-3627</t>
  </si>
  <si>
    <t xml:space="preserve">C000115</t>
  </si>
  <si>
    <t xml:space="preserve">M0095</t>
  </si>
  <si>
    <t xml:space="preserve">DX-894</t>
  </si>
  <si>
    <t xml:space="preserve">PR-4912</t>
  </si>
  <si>
    <t xml:space="preserve">C000116</t>
  </si>
  <si>
    <t xml:space="preserve">DX-430</t>
  </si>
  <si>
    <t xml:space="preserve">PR-7714</t>
  </si>
  <si>
    <t xml:space="preserve">C000117</t>
  </si>
  <si>
    <t xml:space="preserve">M0104</t>
  </si>
  <si>
    <t xml:space="preserve">E0063</t>
  </si>
  <si>
    <t xml:space="preserve">DX-201</t>
  </si>
  <si>
    <t xml:space="preserve">PR-1521</t>
  </si>
  <si>
    <t xml:space="preserve">C000118</t>
  </si>
  <si>
    <t xml:space="preserve">M0037</t>
  </si>
  <si>
    <t xml:space="preserve">DX-952</t>
  </si>
  <si>
    <t xml:space="preserve">PR-2310</t>
  </si>
  <si>
    <t xml:space="preserve">C000119</t>
  </si>
  <si>
    <t xml:space="preserve">M0137</t>
  </si>
  <si>
    <t xml:space="preserve">DX-954</t>
  </si>
  <si>
    <t xml:space="preserve">PR-5979</t>
  </si>
  <si>
    <t xml:space="preserve">C000120</t>
  </si>
  <si>
    <t xml:space="preserve">M0292</t>
  </si>
  <si>
    <t xml:space="preserve">E0023</t>
  </si>
  <si>
    <t xml:space="preserve">DX-864</t>
  </si>
  <si>
    <t xml:space="preserve">PR-2728</t>
  </si>
  <si>
    <t xml:space="preserve">C000121</t>
  </si>
  <si>
    <t xml:space="preserve">M0282</t>
  </si>
  <si>
    <t xml:space="preserve">DX-773</t>
  </si>
  <si>
    <t xml:space="preserve">PR-3591</t>
  </si>
  <si>
    <t xml:space="preserve">C000122</t>
  </si>
  <si>
    <t xml:space="preserve">DX-676</t>
  </si>
  <si>
    <t xml:space="preserve">PR-9939</t>
  </si>
  <si>
    <t xml:space="preserve">C000123</t>
  </si>
  <si>
    <t xml:space="preserve">M0001</t>
  </si>
  <si>
    <t xml:space="preserve">DX-710</t>
  </si>
  <si>
    <t xml:space="preserve">PR-1267</t>
  </si>
  <si>
    <t xml:space="preserve">C000124</t>
  </si>
  <si>
    <t xml:space="preserve">DX-196</t>
  </si>
  <si>
    <t xml:space="preserve">PR-1618</t>
  </si>
  <si>
    <t xml:space="preserve">C000125</t>
  </si>
  <si>
    <t xml:space="preserve">M0048</t>
  </si>
  <si>
    <t xml:space="preserve">DX-851</t>
  </si>
  <si>
    <t xml:space="preserve">PR-2264</t>
  </si>
  <si>
    <t xml:space="preserve">C000126</t>
  </si>
  <si>
    <t xml:space="preserve">M0154</t>
  </si>
  <si>
    <t xml:space="preserve">P0003</t>
  </si>
  <si>
    <t xml:space="preserve">DX-180</t>
  </si>
  <si>
    <t xml:space="preserve">PR-1916</t>
  </si>
  <si>
    <t xml:space="preserve">C000127</t>
  </si>
  <si>
    <t xml:space="preserve">DX-426</t>
  </si>
  <si>
    <t xml:space="preserve">PR-9846</t>
  </si>
  <si>
    <t xml:space="preserve">C000128</t>
  </si>
  <si>
    <t xml:space="preserve">E0077</t>
  </si>
  <si>
    <t xml:space="preserve">DX-327</t>
  </si>
  <si>
    <t xml:space="preserve">PR-8076</t>
  </si>
  <si>
    <t xml:space="preserve">C000129</t>
  </si>
  <si>
    <t xml:space="preserve">M0135</t>
  </si>
  <si>
    <t xml:space="preserve">PR-3136</t>
  </si>
  <si>
    <t xml:space="preserve">C000130</t>
  </si>
  <si>
    <t xml:space="preserve">M0125</t>
  </si>
  <si>
    <t xml:space="preserve">P0005</t>
  </si>
  <si>
    <t xml:space="preserve">DX-431</t>
  </si>
  <si>
    <t xml:space="preserve">PR-2467</t>
  </si>
  <si>
    <t xml:space="preserve">C000131</t>
  </si>
  <si>
    <t xml:space="preserve">M0087</t>
  </si>
  <si>
    <t xml:space="preserve">DX-738</t>
  </si>
  <si>
    <t xml:space="preserve">C000132</t>
  </si>
  <si>
    <t xml:space="preserve">DX-989</t>
  </si>
  <si>
    <t xml:space="preserve">PR-5713</t>
  </si>
  <si>
    <t xml:space="preserve">C000133</t>
  </si>
  <si>
    <t xml:space="preserve">M0105</t>
  </si>
  <si>
    <t xml:space="preserve">DX-661</t>
  </si>
  <si>
    <t xml:space="preserve">PR-8913</t>
  </si>
  <si>
    <t xml:space="preserve">C000134</t>
  </si>
  <si>
    <t xml:space="preserve">M0270</t>
  </si>
  <si>
    <t xml:space="preserve">DX-161</t>
  </si>
  <si>
    <t xml:space="preserve">PR-5653</t>
  </si>
  <si>
    <t xml:space="preserve">C000135</t>
  </si>
  <si>
    <t xml:space="preserve">M0185</t>
  </si>
  <si>
    <t xml:space="preserve">E0003</t>
  </si>
  <si>
    <t xml:space="preserve">PR-7332</t>
  </si>
  <si>
    <t xml:space="preserve">C000136</t>
  </si>
  <si>
    <t xml:space="preserve">M0102</t>
  </si>
  <si>
    <t xml:space="preserve">DX-140</t>
  </si>
  <si>
    <t xml:space="preserve">PR-5053</t>
  </si>
  <si>
    <t xml:space="preserve">C000137</t>
  </si>
  <si>
    <t xml:space="preserve">E0036</t>
  </si>
  <si>
    <t xml:space="preserve">DX-740</t>
  </si>
  <si>
    <t xml:space="preserve">PR-5221</t>
  </si>
  <si>
    <t xml:space="preserve">C000138</t>
  </si>
  <si>
    <t xml:space="preserve">M0045</t>
  </si>
  <si>
    <t xml:space="preserve">E0049</t>
  </si>
  <si>
    <t xml:space="preserve">DX-527</t>
  </si>
  <si>
    <t xml:space="preserve">PR-4938</t>
  </si>
  <si>
    <t xml:space="preserve">C000139</t>
  </si>
  <si>
    <t xml:space="preserve">M0298</t>
  </si>
  <si>
    <t xml:space="preserve">E0088</t>
  </si>
  <si>
    <t xml:space="preserve">DX-983</t>
  </si>
  <si>
    <t xml:space="preserve">PR-3262</t>
  </si>
  <si>
    <t xml:space="preserve">C000140</t>
  </si>
  <si>
    <t xml:space="preserve">M0081</t>
  </si>
  <si>
    <t xml:space="preserve">E0009</t>
  </si>
  <si>
    <t xml:space="preserve">DX-288</t>
  </si>
  <si>
    <t xml:space="preserve">PR-6203</t>
  </si>
  <si>
    <t xml:space="preserve">C000141</t>
  </si>
  <si>
    <t xml:space="preserve">M0078</t>
  </si>
  <si>
    <t xml:space="preserve">E0025</t>
  </si>
  <si>
    <t xml:space="preserve">DX-234</t>
  </si>
  <si>
    <t xml:space="preserve">PR-4026</t>
  </si>
  <si>
    <t xml:space="preserve">C000142</t>
  </si>
  <si>
    <t xml:space="preserve">DX-237</t>
  </si>
  <si>
    <t xml:space="preserve">PR-9230</t>
  </si>
  <si>
    <t xml:space="preserve">C000143</t>
  </si>
  <si>
    <t xml:space="preserve">M0116</t>
  </si>
  <si>
    <t xml:space="preserve">E0053</t>
  </si>
  <si>
    <t xml:space="preserve">DX-376</t>
  </si>
  <si>
    <t xml:space="preserve">PR-7767</t>
  </si>
  <si>
    <t xml:space="preserve">C000144</t>
  </si>
  <si>
    <t xml:space="preserve">M0251</t>
  </si>
  <si>
    <t xml:space="preserve">DX-352</t>
  </si>
  <si>
    <t xml:space="preserve">PR-8005</t>
  </si>
  <si>
    <t xml:space="preserve">C000145</t>
  </si>
  <si>
    <t xml:space="preserve">M0293</t>
  </si>
  <si>
    <t xml:space="preserve">DX-633</t>
  </si>
  <si>
    <t xml:space="preserve">PR-2791</t>
  </si>
  <si>
    <t xml:space="preserve">C000146</t>
  </si>
  <si>
    <t xml:space="preserve">M0098</t>
  </si>
  <si>
    <t xml:space="preserve">DX-411</t>
  </si>
  <si>
    <t xml:space="preserve">PR-5684</t>
  </si>
  <si>
    <t xml:space="preserve">C000147</t>
  </si>
  <si>
    <t xml:space="preserve">M0238</t>
  </si>
  <si>
    <t xml:space="preserve">E0058</t>
  </si>
  <si>
    <t xml:space="preserve">DX-839</t>
  </si>
  <si>
    <t xml:space="preserve">PR-9202</t>
  </si>
  <si>
    <t xml:space="preserve">C000148</t>
  </si>
  <si>
    <t xml:space="preserve">DX-704</t>
  </si>
  <si>
    <t xml:space="preserve">PR-4308</t>
  </si>
  <si>
    <t xml:space="preserve">C000149</t>
  </si>
  <si>
    <t xml:space="preserve">M0064</t>
  </si>
  <si>
    <t xml:space="preserve">PR-6946</t>
  </si>
  <si>
    <t xml:space="preserve">C000150</t>
  </si>
  <si>
    <t xml:space="preserve">DX-886</t>
  </si>
  <si>
    <t xml:space="preserve">PR-3799</t>
  </si>
  <si>
    <t xml:space="preserve">C000151</t>
  </si>
  <si>
    <t xml:space="preserve">M0159</t>
  </si>
  <si>
    <t xml:space="preserve">DX-395</t>
  </si>
  <si>
    <t xml:space="preserve">PR-3960</t>
  </si>
  <si>
    <t xml:space="preserve">C000152</t>
  </si>
  <si>
    <t xml:space="preserve">M0279</t>
  </si>
  <si>
    <t xml:space="preserve">DX-343</t>
  </si>
  <si>
    <t xml:space="preserve">PR-4553</t>
  </si>
  <si>
    <t xml:space="preserve">C000153</t>
  </si>
  <si>
    <t xml:space="preserve">M0286</t>
  </si>
  <si>
    <t xml:space="preserve">DX-251</t>
  </si>
  <si>
    <t xml:space="preserve">PR-1902</t>
  </si>
  <si>
    <t xml:space="preserve">C000154</t>
  </si>
  <si>
    <t xml:space="preserve">DX-282</t>
  </si>
  <si>
    <t xml:space="preserve">PR-3643</t>
  </si>
  <si>
    <t xml:space="preserve">C000155</t>
  </si>
  <si>
    <t xml:space="preserve">PR-2525</t>
  </si>
  <si>
    <t xml:space="preserve">C000156</t>
  </si>
  <si>
    <t xml:space="preserve">M0242</t>
  </si>
  <si>
    <t xml:space="preserve">DX-437</t>
  </si>
  <si>
    <t xml:space="preserve">PR-9635</t>
  </si>
  <si>
    <t xml:space="preserve">C000157</t>
  </si>
  <si>
    <t xml:space="preserve">DX-537</t>
  </si>
  <si>
    <t xml:space="preserve">PR-6185</t>
  </si>
  <si>
    <t xml:space="preserve">C000158</t>
  </si>
  <si>
    <t xml:space="preserve">M0253</t>
  </si>
  <si>
    <t xml:space="preserve">DX-825</t>
  </si>
  <si>
    <t xml:space="preserve">PR-5759</t>
  </si>
  <si>
    <t xml:space="preserve">C000159</t>
  </si>
  <si>
    <t xml:space="preserve">M0212</t>
  </si>
  <si>
    <t xml:space="preserve">E0043</t>
  </si>
  <si>
    <t xml:space="preserve">DX-673</t>
  </si>
  <si>
    <t xml:space="preserve">PR-4478</t>
  </si>
  <si>
    <t xml:space="preserve">C000160</t>
  </si>
  <si>
    <t xml:space="preserve">DX-449</t>
  </si>
  <si>
    <t xml:space="preserve">PR-7488</t>
  </si>
  <si>
    <t xml:space="preserve">C000161</t>
  </si>
  <si>
    <t xml:space="preserve">M0019</t>
  </si>
  <si>
    <t xml:space="preserve">DX-259</t>
  </si>
  <si>
    <t xml:space="preserve">PR-8546</t>
  </si>
  <si>
    <t xml:space="preserve">C000162</t>
  </si>
  <si>
    <t xml:space="preserve">M0275</t>
  </si>
  <si>
    <t xml:space="preserve">DX-918</t>
  </si>
  <si>
    <t xml:space="preserve">PR-6793</t>
  </si>
  <si>
    <t xml:space="preserve">C000163</t>
  </si>
  <si>
    <t xml:space="preserve">M0096</t>
  </si>
  <si>
    <t xml:space="preserve">DX-822</t>
  </si>
  <si>
    <t xml:space="preserve">PR-6152</t>
  </si>
  <si>
    <t xml:space="preserve">C000164</t>
  </si>
  <si>
    <t xml:space="preserve">M0111</t>
  </si>
  <si>
    <t xml:space="preserve">DX-214</t>
  </si>
  <si>
    <t xml:space="preserve">PR-7131</t>
  </si>
  <si>
    <t xml:space="preserve">C000165</t>
  </si>
  <si>
    <t xml:space="preserve">M0175</t>
  </si>
  <si>
    <t xml:space="preserve">PR-6363</t>
  </si>
  <si>
    <t xml:space="preserve">C000166</t>
  </si>
  <si>
    <t xml:space="preserve">M0199</t>
  </si>
  <si>
    <t xml:space="preserve">PR-6095</t>
  </si>
  <si>
    <t xml:space="preserve">C000167</t>
  </si>
  <si>
    <t xml:space="preserve">M0012</t>
  </si>
  <si>
    <t xml:space="preserve">DX-754</t>
  </si>
  <si>
    <t xml:space="preserve">PR-4438</t>
  </si>
  <si>
    <t xml:space="preserve">C000168</t>
  </si>
  <si>
    <t xml:space="preserve">PR-9422</t>
  </si>
  <si>
    <t xml:space="preserve">C000169</t>
  </si>
  <si>
    <t xml:space="preserve">M0088</t>
  </si>
  <si>
    <t xml:space="preserve">DX-653</t>
  </si>
  <si>
    <t xml:space="preserve">PR-8268</t>
  </si>
  <si>
    <t xml:space="preserve">C000170</t>
  </si>
  <si>
    <t xml:space="preserve">M0201</t>
  </si>
  <si>
    <t xml:space="preserve">DX-731</t>
  </si>
  <si>
    <t xml:space="preserve">PR-6826</t>
  </si>
  <si>
    <t xml:space="preserve">C000171</t>
  </si>
  <si>
    <t xml:space="preserve">M0291</t>
  </si>
  <si>
    <t xml:space="preserve">DX-199</t>
  </si>
  <si>
    <t xml:space="preserve">PR-8464</t>
  </si>
  <si>
    <t xml:space="preserve">C000172</t>
  </si>
  <si>
    <t xml:space="preserve">M0133</t>
  </si>
  <si>
    <t xml:space="preserve">DX-816</t>
  </si>
  <si>
    <t xml:space="preserve">PR-6412</t>
  </si>
  <si>
    <t xml:space="preserve">C000173</t>
  </si>
  <si>
    <t xml:space="preserve">M0179</t>
  </si>
  <si>
    <t xml:space="preserve">PR-2686</t>
  </si>
  <si>
    <t xml:space="preserve">C000174</t>
  </si>
  <si>
    <t xml:space="preserve">PR-3605</t>
  </si>
  <si>
    <t xml:space="preserve">C000175</t>
  </si>
  <si>
    <t xml:space="preserve">E0031</t>
  </si>
  <si>
    <t xml:space="preserve">PR-2276</t>
  </si>
  <si>
    <t xml:space="preserve">C000176</t>
  </si>
  <si>
    <t xml:space="preserve">M0091</t>
  </si>
  <si>
    <t xml:space="preserve">DX-712</t>
  </si>
  <si>
    <t xml:space="preserve">PR-2781</t>
  </si>
  <si>
    <t xml:space="preserve">C000177</t>
  </si>
  <si>
    <t xml:space="preserve">DX-875</t>
  </si>
  <si>
    <t xml:space="preserve">PR-3403</t>
  </si>
  <si>
    <t xml:space="preserve">C000178</t>
  </si>
  <si>
    <t xml:space="preserve">E0087</t>
  </si>
  <si>
    <t xml:space="preserve">DX-545</t>
  </si>
  <si>
    <t xml:space="preserve">PR-6640</t>
  </si>
  <si>
    <t xml:space="preserve">C000179</t>
  </si>
  <si>
    <t xml:space="preserve">M0032</t>
  </si>
  <si>
    <t xml:space="preserve">DX-100</t>
  </si>
  <si>
    <t xml:space="preserve">C000180</t>
  </si>
  <si>
    <t xml:space="preserve">M0208</t>
  </si>
  <si>
    <t xml:space="preserve">PR-3841</t>
  </si>
  <si>
    <t xml:space="preserve">C000181</t>
  </si>
  <si>
    <t xml:space="preserve">M0069</t>
  </si>
  <si>
    <t xml:space="preserve">E0010</t>
  </si>
  <si>
    <t xml:space="preserve">DX-247</t>
  </si>
  <si>
    <t xml:space="preserve">PR-8974</t>
  </si>
  <si>
    <t xml:space="preserve">C000182</t>
  </si>
  <si>
    <t xml:space="preserve">M0093</t>
  </si>
  <si>
    <t xml:space="preserve">E0066</t>
  </si>
  <si>
    <t xml:space="preserve">DX-665</t>
  </si>
  <si>
    <t xml:space="preserve">PR-8373</t>
  </si>
  <si>
    <t xml:space="preserve">C000183</t>
  </si>
  <si>
    <t xml:space="preserve">M0211</t>
  </si>
  <si>
    <t xml:space="preserve">DX-134</t>
  </si>
  <si>
    <t xml:space="preserve">PR-1620</t>
  </si>
  <si>
    <t xml:space="preserve">C000184</t>
  </si>
  <si>
    <t xml:space="preserve">M0239</t>
  </si>
  <si>
    <t xml:space="preserve">E0011</t>
  </si>
  <si>
    <t xml:space="preserve">DX-351</t>
  </si>
  <si>
    <t xml:space="preserve">PR-8740</t>
  </si>
  <si>
    <t xml:space="preserve">C000185</t>
  </si>
  <si>
    <t xml:space="preserve">DX-580</t>
  </si>
  <si>
    <t xml:space="preserve">PR-8438</t>
  </si>
  <si>
    <t xml:space="preserve">C000186</t>
  </si>
  <si>
    <t xml:space="preserve">PR-5267</t>
  </si>
  <si>
    <t xml:space="preserve">C000187</t>
  </si>
  <si>
    <t xml:space="preserve">M0147</t>
  </si>
  <si>
    <t xml:space="preserve">P0032</t>
  </si>
  <si>
    <t xml:space="preserve">PR-2259</t>
  </si>
  <si>
    <t xml:space="preserve">C000188</t>
  </si>
  <si>
    <t xml:space="preserve">DX-927</t>
  </si>
  <si>
    <t xml:space="preserve">PR-3873</t>
  </si>
  <si>
    <t xml:space="preserve">C000189</t>
  </si>
  <si>
    <t xml:space="preserve">M0075</t>
  </si>
  <si>
    <t xml:space="preserve">DX-870</t>
  </si>
  <si>
    <t xml:space="preserve">PR-7765</t>
  </si>
  <si>
    <t xml:space="preserve">C000190</t>
  </si>
  <si>
    <t xml:space="preserve">DX-153</t>
  </si>
  <si>
    <t xml:space="preserve">PR-3745</t>
  </si>
  <si>
    <t xml:space="preserve">C000191</t>
  </si>
  <si>
    <t xml:space="preserve">M0243</t>
  </si>
  <si>
    <t xml:space="preserve">DX-112</t>
  </si>
  <si>
    <t xml:space="preserve">PR-5731</t>
  </si>
  <si>
    <t xml:space="preserve">C000192</t>
  </si>
  <si>
    <t xml:space="preserve">M0222</t>
  </si>
  <si>
    <t xml:space="preserve">DX-443</t>
  </si>
  <si>
    <t xml:space="preserve">PR-5429</t>
  </si>
  <si>
    <t xml:space="preserve">C000193</t>
  </si>
  <si>
    <t xml:space="preserve">M0124</t>
  </si>
  <si>
    <t xml:space="preserve">PR-6528</t>
  </si>
  <si>
    <t xml:space="preserve">C000194</t>
  </si>
  <si>
    <t xml:space="preserve">M0269</t>
  </si>
  <si>
    <t xml:space="preserve">DX-459</t>
  </si>
  <si>
    <t xml:space="preserve">PR-4594</t>
  </si>
  <si>
    <t xml:space="preserve">C000195</t>
  </si>
  <si>
    <t xml:space="preserve">M0063</t>
  </si>
  <si>
    <t xml:space="preserve">DX-976</t>
  </si>
  <si>
    <t xml:space="preserve">PR-3128</t>
  </si>
  <si>
    <t xml:space="preserve">C000196</t>
  </si>
  <si>
    <t xml:space="preserve">M0151</t>
  </si>
  <si>
    <t xml:space="preserve">E0085</t>
  </si>
  <si>
    <t xml:space="preserve">PR-8429</t>
  </si>
  <si>
    <t xml:space="preserve">C000197</t>
  </si>
  <si>
    <t xml:space="preserve">M0142</t>
  </si>
  <si>
    <t xml:space="preserve">E0008</t>
  </si>
  <si>
    <t xml:space="preserve">DX-497</t>
  </si>
  <si>
    <t xml:space="preserve">PR-6450</t>
  </si>
  <si>
    <t xml:space="preserve">C000198</t>
  </si>
  <si>
    <t xml:space="preserve">M0092</t>
  </si>
  <si>
    <t xml:space="preserve">PR-9857</t>
  </si>
  <si>
    <t xml:space="preserve">C000199</t>
  </si>
  <si>
    <t xml:space="preserve">DX-119</t>
  </si>
  <si>
    <t xml:space="preserve">PR-9154</t>
  </si>
  <si>
    <t xml:space="preserve">C000200</t>
  </si>
  <si>
    <t xml:space="preserve">DX-589</t>
  </si>
  <si>
    <t xml:space="preserve">PR-8144</t>
  </si>
  <si>
    <t xml:space="preserve">C000201</t>
  </si>
  <si>
    <t xml:space="preserve">DX-441</t>
  </si>
  <si>
    <t xml:space="preserve">PR-5961</t>
  </si>
  <si>
    <t xml:space="preserve">C000202</t>
  </si>
  <si>
    <t xml:space="preserve">E0026</t>
  </si>
  <si>
    <t xml:space="preserve">DX-667</t>
  </si>
  <si>
    <t xml:space="preserve">PR-1644</t>
  </si>
  <si>
    <t xml:space="preserve">C000203</t>
  </si>
  <si>
    <t xml:space="preserve">DX-852</t>
  </si>
  <si>
    <t xml:space="preserve">PR-4104</t>
  </si>
  <si>
    <t xml:space="preserve">C000204</t>
  </si>
  <si>
    <t xml:space="preserve">M0277</t>
  </si>
  <si>
    <t xml:space="preserve">DX-646</t>
  </si>
  <si>
    <t xml:space="preserve">PR-8361</t>
  </si>
  <si>
    <t xml:space="preserve">C000205</t>
  </si>
  <si>
    <t xml:space="preserve">E0095</t>
  </si>
  <si>
    <t xml:space="preserve">DX-173</t>
  </si>
  <si>
    <t xml:space="preserve">PR-1604</t>
  </si>
  <si>
    <t xml:space="preserve">C000206</t>
  </si>
  <si>
    <t xml:space="preserve">M0008</t>
  </si>
  <si>
    <t xml:space="preserve">DX-414</t>
  </si>
  <si>
    <t xml:space="preserve">PR-2594</t>
  </si>
  <si>
    <t xml:space="preserve">C000207</t>
  </si>
  <si>
    <t xml:space="preserve">M0033</t>
  </si>
  <si>
    <t xml:space="preserve">DX-930</t>
  </si>
  <si>
    <t xml:space="preserve">PR-7586</t>
  </si>
  <si>
    <t xml:space="preserve">C000208</t>
  </si>
  <si>
    <t xml:space="preserve">M0089</t>
  </si>
  <si>
    <t xml:space="preserve">PR-3314</t>
  </si>
  <si>
    <t xml:space="preserve">C000209</t>
  </si>
  <si>
    <t xml:space="preserve">M0193</t>
  </si>
  <si>
    <t xml:space="preserve">DX-598</t>
  </si>
  <si>
    <t xml:space="preserve">PR-2322</t>
  </si>
  <si>
    <t xml:space="preserve">C000210</t>
  </si>
  <si>
    <t xml:space="preserve">M0244</t>
  </si>
  <si>
    <t xml:space="preserve">E0017</t>
  </si>
  <si>
    <t xml:space="preserve">PR-5439</t>
  </si>
  <si>
    <t xml:space="preserve">C000211</t>
  </si>
  <si>
    <t xml:space="preserve">DX-528</t>
  </si>
  <si>
    <t xml:space="preserve">PR-1074</t>
  </si>
  <si>
    <t xml:space="preserve">C000212</t>
  </si>
  <si>
    <t xml:space="preserve">DX-383</t>
  </si>
  <si>
    <t xml:space="preserve">PR-1869</t>
  </si>
  <si>
    <t xml:space="preserve">C000213</t>
  </si>
  <si>
    <t xml:space="preserve">M0082</t>
  </si>
  <si>
    <t xml:space="preserve">DX-760</t>
  </si>
  <si>
    <t xml:space="preserve">PR-6966</t>
  </si>
  <si>
    <t xml:space="preserve">C000214</t>
  </si>
  <si>
    <t xml:space="preserve">DX-596</t>
  </si>
  <si>
    <t xml:space="preserve">PR-9436</t>
  </si>
  <si>
    <t xml:space="preserve">C000215</t>
  </si>
  <si>
    <t xml:space="preserve">M0118</t>
  </si>
  <si>
    <t xml:space="preserve">DX-333</t>
  </si>
  <si>
    <t xml:space="preserve">PR-2606</t>
  </si>
  <si>
    <t xml:space="preserve">C000216</t>
  </si>
  <si>
    <t xml:space="preserve">PR-7346</t>
  </si>
  <si>
    <t xml:space="preserve">C000217</t>
  </si>
  <si>
    <t xml:space="preserve">DX-213</t>
  </si>
  <si>
    <t xml:space="preserve">PR-8627</t>
  </si>
  <si>
    <t xml:space="preserve">C000218</t>
  </si>
  <si>
    <t xml:space="preserve">M0296</t>
  </si>
  <si>
    <t xml:space="preserve">DX-521</t>
  </si>
  <si>
    <t xml:space="preserve">PR-9548</t>
  </si>
  <si>
    <t xml:space="preserve">C000219</t>
  </si>
  <si>
    <t xml:space="preserve">M0127</t>
  </si>
  <si>
    <t xml:space="preserve">DX-705</t>
  </si>
  <si>
    <t xml:space="preserve">PR-3440</t>
  </si>
  <si>
    <t xml:space="preserve">C000220</t>
  </si>
  <si>
    <t xml:space="preserve">M0246</t>
  </si>
  <si>
    <t xml:space="preserve">DX-607</t>
  </si>
  <si>
    <t xml:space="preserve">PR-4940</t>
  </si>
  <si>
    <t xml:space="preserve">C000221</t>
  </si>
  <si>
    <t xml:space="preserve">M0152</t>
  </si>
  <si>
    <t xml:space="preserve">DX-116</t>
  </si>
  <si>
    <t xml:space="preserve">PR-8860</t>
  </si>
  <si>
    <t xml:space="preserve">C000222</t>
  </si>
  <si>
    <t xml:space="preserve">M0071</t>
  </si>
  <si>
    <t xml:space="preserve">DX-908</t>
  </si>
  <si>
    <t xml:space="preserve">PR-7068</t>
  </si>
  <si>
    <t xml:space="preserve">C000223</t>
  </si>
  <si>
    <t xml:space="preserve">E0097</t>
  </si>
  <si>
    <t xml:space="preserve">DX-814</t>
  </si>
  <si>
    <t xml:space="preserve">PR-9887</t>
  </si>
  <si>
    <t xml:space="preserve">C000224</t>
  </si>
  <si>
    <t xml:space="preserve">DX-576</t>
  </si>
  <si>
    <t xml:space="preserve">PR-1669</t>
  </si>
  <si>
    <t xml:space="preserve">C000225</t>
  </si>
  <si>
    <t xml:space="preserve">M0123</t>
  </si>
  <si>
    <t xml:space="preserve">DX-855</t>
  </si>
  <si>
    <t xml:space="preserve">PR-4437</t>
  </si>
  <si>
    <t xml:space="preserve">C000226</t>
  </si>
  <si>
    <t xml:space="preserve">DX-613</t>
  </si>
  <si>
    <t xml:space="preserve">PR-9629</t>
  </si>
  <si>
    <t xml:space="preserve">C000227</t>
  </si>
  <si>
    <t xml:space="preserve">M0189</t>
  </si>
  <si>
    <t xml:space="preserve">DX-292</t>
  </si>
  <si>
    <t xml:space="preserve">PR-8501</t>
  </si>
  <si>
    <t xml:space="preserve">C000228</t>
  </si>
  <si>
    <t xml:space="preserve">DX-400</t>
  </si>
  <si>
    <t xml:space="preserve">PR-7824</t>
  </si>
  <si>
    <t xml:space="preserve">C000229</t>
  </si>
  <si>
    <t xml:space="preserve">PR-6616</t>
  </si>
  <si>
    <t xml:space="preserve">C000230</t>
  </si>
  <si>
    <t xml:space="preserve">M0156</t>
  </si>
  <si>
    <t xml:space="preserve">DX-275</t>
  </si>
  <si>
    <t xml:space="preserve">PR-5259</t>
  </si>
  <si>
    <t xml:space="preserve">C000231</t>
  </si>
  <si>
    <t xml:space="preserve">DX-286</t>
  </si>
  <si>
    <t xml:space="preserve">C000232</t>
  </si>
  <si>
    <t xml:space="preserve">DX-675</t>
  </si>
  <si>
    <t xml:space="preserve">PR-1568</t>
  </si>
  <si>
    <t xml:space="preserve">C000233</t>
  </si>
  <si>
    <t xml:space="preserve">DX-569</t>
  </si>
  <si>
    <t xml:space="preserve">PR-6246</t>
  </si>
  <si>
    <t xml:space="preserve">C000234</t>
  </si>
  <si>
    <t xml:space="preserve">PR-8243</t>
  </si>
  <si>
    <t xml:space="preserve">C000235</t>
  </si>
  <si>
    <t xml:space="preserve">M0206</t>
  </si>
  <si>
    <t xml:space="preserve">DX-465</t>
  </si>
  <si>
    <t xml:space="preserve">PR-2515</t>
  </si>
  <si>
    <t xml:space="preserve">C000236</t>
  </si>
  <si>
    <t xml:space="preserve">DX-793</t>
  </si>
  <si>
    <t xml:space="preserve">PR-2431</t>
  </si>
  <si>
    <t xml:space="preserve">C000237</t>
  </si>
  <si>
    <t xml:space="preserve">M0204</t>
  </si>
  <si>
    <t xml:space="preserve">DX-478</t>
  </si>
  <si>
    <t xml:space="preserve">PR-7326</t>
  </si>
  <si>
    <t xml:space="preserve">C000238</t>
  </si>
  <si>
    <t xml:space="preserve">E0037</t>
  </si>
  <si>
    <t xml:space="preserve">DX-925</t>
  </si>
  <si>
    <t xml:space="preserve">PR-7944</t>
  </si>
  <si>
    <t xml:space="preserve">C000239</t>
  </si>
  <si>
    <t xml:space="preserve">DX-190</t>
  </si>
  <si>
    <t xml:space="preserve">PR-1108</t>
  </si>
  <si>
    <t xml:space="preserve">C000240</t>
  </si>
  <si>
    <t xml:space="preserve">E0038</t>
  </si>
  <si>
    <t xml:space="preserve">DX-143</t>
  </si>
  <si>
    <t xml:space="preserve">PR-5947</t>
  </si>
  <si>
    <t xml:space="preserve">C000241</t>
  </si>
  <si>
    <t xml:space="preserve">DX-227</t>
  </si>
  <si>
    <t xml:space="preserve">C000242</t>
  </si>
  <si>
    <t xml:space="preserve">M0035</t>
  </si>
  <si>
    <t xml:space="preserve">DX-695</t>
  </si>
  <si>
    <t xml:space="preserve">PR-8872</t>
  </si>
  <si>
    <t xml:space="preserve">C000243</t>
  </si>
  <si>
    <t xml:space="preserve">DX-965</t>
  </si>
  <si>
    <t xml:space="preserve">PR-5252</t>
  </si>
  <si>
    <t xml:space="preserve">C000244</t>
  </si>
  <si>
    <t xml:space="preserve">DX-149</t>
  </si>
  <si>
    <t xml:space="preserve">PR-5749</t>
  </si>
  <si>
    <t xml:space="preserve">C000245</t>
  </si>
  <si>
    <t xml:space="preserve">DX-377</t>
  </si>
  <si>
    <t xml:space="preserve">PR-6939</t>
  </si>
  <si>
    <t xml:space="preserve">C000246</t>
  </si>
  <si>
    <t xml:space="preserve">DX-323</t>
  </si>
  <si>
    <t xml:space="preserve">PR-3532</t>
  </si>
  <si>
    <t xml:space="preserve">C000247</t>
  </si>
  <si>
    <t xml:space="preserve">PR-8544</t>
  </si>
  <si>
    <t xml:space="preserve">C000248</t>
  </si>
  <si>
    <t xml:space="preserve">M0227</t>
  </si>
  <si>
    <t xml:space="preserve">DX-276</t>
  </si>
  <si>
    <t xml:space="preserve">PR-5991</t>
  </si>
  <si>
    <t xml:space="preserve">C000249</t>
  </si>
  <si>
    <t xml:space="preserve">DX-807</t>
  </si>
  <si>
    <t xml:space="preserve">PR-2830</t>
  </si>
  <si>
    <t xml:space="preserve">C000250</t>
  </si>
  <si>
    <t xml:space="preserve">DX-408</t>
  </si>
  <si>
    <t xml:space="preserve">PR-1168</t>
  </si>
  <si>
    <t xml:space="preserve">C000251</t>
  </si>
  <si>
    <t xml:space="preserve">DX-460</t>
  </si>
  <si>
    <t xml:space="preserve">PR-3630</t>
  </si>
  <si>
    <t xml:space="preserve">C000252</t>
  </si>
  <si>
    <t xml:space="preserve">M0271</t>
  </si>
  <si>
    <t xml:space="preserve">DX-388</t>
  </si>
  <si>
    <t xml:space="preserve">PR-3814</t>
  </si>
  <si>
    <t xml:space="preserve">C000253</t>
  </si>
  <si>
    <t xml:space="preserve">DX-285</t>
  </si>
  <si>
    <t xml:space="preserve">PR-6813</t>
  </si>
  <si>
    <t xml:space="preserve">C000254</t>
  </si>
  <si>
    <t xml:space="preserve">E0064</t>
  </si>
  <si>
    <t xml:space="preserve">DX-821</t>
  </si>
  <si>
    <t xml:space="preserve">PR-5723</t>
  </si>
  <si>
    <t xml:space="preserve">C000255</t>
  </si>
  <si>
    <t xml:space="preserve">M0228</t>
  </si>
  <si>
    <t xml:space="preserve">DX-397</t>
  </si>
  <si>
    <t xml:space="preserve">PR-8011</t>
  </si>
  <si>
    <t xml:space="preserve">C000256</t>
  </si>
  <si>
    <t xml:space="preserve">M0203</t>
  </si>
  <si>
    <t xml:space="preserve">DX-222</t>
  </si>
  <si>
    <t xml:space="preserve">PR-3348</t>
  </si>
  <si>
    <t xml:space="preserve">C000257</t>
  </si>
  <si>
    <t xml:space="preserve">M0034</t>
  </si>
  <si>
    <t xml:space="preserve">DX-305</t>
  </si>
  <si>
    <t xml:space="preserve">PR-7623</t>
  </si>
  <si>
    <t xml:space="preserve">C000258</t>
  </si>
  <si>
    <t xml:space="preserve">M0183</t>
  </si>
  <si>
    <t xml:space="preserve">PR-9379</t>
  </si>
  <si>
    <t xml:space="preserve">C000259</t>
  </si>
  <si>
    <t xml:space="preserve">M0016</t>
  </si>
  <si>
    <t xml:space="preserve">DX-950</t>
  </si>
  <si>
    <t xml:space="preserve">PR-2117</t>
  </si>
  <si>
    <t xml:space="preserve">C000260</t>
  </si>
  <si>
    <t xml:space="preserve">M0040</t>
  </si>
  <si>
    <t xml:space="preserve">DX-911</t>
  </si>
  <si>
    <t xml:space="preserve">PR-8635</t>
  </si>
  <si>
    <t xml:space="preserve">C000261</t>
  </si>
  <si>
    <t xml:space="preserve">M0017</t>
  </si>
  <si>
    <t xml:space="preserve">DX-560</t>
  </si>
  <si>
    <t xml:space="preserve">PR-6153</t>
  </si>
  <si>
    <t xml:space="preserve">C000262</t>
  </si>
  <si>
    <t xml:space="preserve">M0252</t>
  </si>
  <si>
    <t xml:space="preserve">PR-7374</t>
  </si>
  <si>
    <t xml:space="preserve">C000263</t>
  </si>
  <si>
    <t xml:space="preserve">DX-618</t>
  </si>
  <si>
    <t xml:space="preserve">PR-1913</t>
  </si>
  <si>
    <t xml:space="preserve">C000264</t>
  </si>
  <si>
    <t xml:space="preserve">M0165</t>
  </si>
  <si>
    <t xml:space="preserve">E0004</t>
  </si>
  <si>
    <t xml:space="preserve">DX-231</t>
  </si>
  <si>
    <t xml:space="preserve">PR-7003</t>
  </si>
  <si>
    <t xml:space="preserve">C000265</t>
  </si>
  <si>
    <t xml:space="preserve">E0045</t>
  </si>
  <si>
    <t xml:space="preserve">DX-777</t>
  </si>
  <si>
    <t xml:space="preserve">PR-5001</t>
  </si>
  <si>
    <t xml:space="preserve">C000266</t>
  </si>
  <si>
    <t xml:space="preserve">DX-651</t>
  </si>
  <si>
    <t xml:space="preserve">PR-6343</t>
  </si>
  <si>
    <t xml:space="preserve">C000267</t>
  </si>
  <si>
    <t xml:space="preserve">M0163</t>
  </si>
  <si>
    <t xml:space="preserve">PR-2601</t>
  </si>
  <si>
    <t xml:space="preserve">C000268</t>
  </si>
  <si>
    <t xml:space="preserve">DX-608</t>
  </si>
  <si>
    <t xml:space="preserve">PR-2234</t>
  </si>
  <si>
    <t xml:space="preserve">C000269</t>
  </si>
  <si>
    <t xml:space="preserve">M0297</t>
  </si>
  <si>
    <t xml:space="preserve">DX-379</t>
  </si>
  <si>
    <t xml:space="preserve">PR-2102</t>
  </si>
  <si>
    <t xml:space="preserve">C000270</t>
  </si>
  <si>
    <t xml:space="preserve">PR-7788</t>
  </si>
  <si>
    <t xml:space="preserve">C000271</t>
  </si>
  <si>
    <t xml:space="preserve">DX-374</t>
  </si>
  <si>
    <t xml:space="preserve">PR-9728</t>
  </si>
  <si>
    <t xml:space="preserve">C000272</t>
  </si>
  <si>
    <t xml:space="preserve">M0237</t>
  </si>
  <si>
    <t xml:space="preserve">PR-5919</t>
  </si>
  <si>
    <t xml:space="preserve">C000273</t>
  </si>
  <si>
    <t xml:space="preserve">PR-4907</t>
  </si>
  <si>
    <t xml:space="preserve">C000274</t>
  </si>
  <si>
    <t xml:space="preserve">M0217</t>
  </si>
  <si>
    <t xml:space="preserve">DX-263</t>
  </si>
  <si>
    <t xml:space="preserve">PR-5468</t>
  </si>
  <si>
    <t xml:space="preserve">C000275</t>
  </si>
  <si>
    <t xml:space="preserve">M0249</t>
  </si>
  <si>
    <t xml:space="preserve">DX-421</t>
  </si>
  <si>
    <t xml:space="preserve">PR-5882</t>
  </si>
  <si>
    <t xml:space="preserve">C000276</t>
  </si>
  <si>
    <t xml:space="preserve">DX-634</t>
  </si>
  <si>
    <t xml:space="preserve">PR-9605</t>
  </si>
  <si>
    <t xml:space="preserve">C000277</t>
  </si>
  <si>
    <t xml:space="preserve">DX-533</t>
  </si>
  <si>
    <t xml:space="preserve">PR-4571</t>
  </si>
  <si>
    <t xml:space="preserve">C000278</t>
  </si>
  <si>
    <t xml:space="preserve">E0048</t>
  </si>
  <si>
    <t xml:space="preserve">DX-424</t>
  </si>
  <si>
    <t xml:space="preserve">PR-9941</t>
  </si>
  <si>
    <t xml:space="preserve">C000279</t>
  </si>
  <si>
    <t xml:space="preserve">DX-121</t>
  </si>
  <si>
    <t xml:space="preserve">PR-1570</t>
  </si>
  <si>
    <t xml:space="preserve">C000280</t>
  </si>
  <si>
    <t xml:space="preserve">DX-931</t>
  </si>
  <si>
    <t xml:space="preserve">PR-2999</t>
  </si>
  <si>
    <t xml:space="preserve">C000281</t>
  </si>
  <si>
    <t xml:space="preserve">M0155</t>
  </si>
  <si>
    <t xml:space="preserve">DX-404</t>
  </si>
  <si>
    <t xml:space="preserve">PR-4446</t>
  </si>
  <si>
    <t xml:space="preserve">C000282</t>
  </si>
  <si>
    <t xml:space="preserve">M0042</t>
  </si>
  <si>
    <t xml:space="preserve">DX-854</t>
  </si>
  <si>
    <t xml:space="preserve">C000283</t>
  </si>
  <si>
    <t xml:space="preserve">M0281</t>
  </si>
  <si>
    <t xml:space="preserve">DX-811</t>
  </si>
  <si>
    <t xml:space="preserve">PR-1448</t>
  </si>
  <si>
    <t xml:space="preserve">C000284</t>
  </si>
  <si>
    <t xml:space="preserve">M0103</t>
  </si>
  <si>
    <t xml:space="preserve">DX-689</t>
  </si>
  <si>
    <t xml:space="preserve">PR-2347</t>
  </si>
  <si>
    <t xml:space="preserve">C000285</t>
  </si>
  <si>
    <t xml:space="preserve">DX-994</t>
  </si>
  <si>
    <t xml:space="preserve">PR-3187</t>
  </si>
  <si>
    <t xml:space="preserve">C000286</t>
  </si>
  <si>
    <t xml:space="preserve">M0094</t>
  </si>
  <si>
    <t xml:space="preserve">PR-1376</t>
  </si>
  <si>
    <t xml:space="preserve">C000287</t>
  </si>
  <si>
    <t xml:space="preserve">PR-5262</t>
  </si>
  <si>
    <t xml:space="preserve">C000288</t>
  </si>
  <si>
    <t xml:space="preserve">M0254</t>
  </si>
  <si>
    <t xml:space="preserve">DX-295</t>
  </si>
  <si>
    <t xml:space="preserve">PR-5361</t>
  </si>
  <si>
    <t xml:space="preserve">C000289</t>
  </si>
  <si>
    <t xml:space="preserve">M0097</t>
  </si>
  <si>
    <t xml:space="preserve">PR-3391</t>
  </si>
  <si>
    <t xml:space="preserve">C000290</t>
  </si>
  <si>
    <t xml:space="preserve">M0235</t>
  </si>
  <si>
    <t xml:space="preserve">DX-236</t>
  </si>
  <si>
    <t xml:space="preserve">PR-6296</t>
  </si>
  <si>
    <t xml:space="preserve">C000291</t>
  </si>
  <si>
    <t xml:space="preserve">PR-6453</t>
  </si>
  <si>
    <t xml:space="preserve">C000292</t>
  </si>
  <si>
    <t xml:space="preserve">DX-409</t>
  </si>
  <si>
    <t xml:space="preserve">PR-7466</t>
  </si>
  <si>
    <t xml:space="preserve">C000293</t>
  </si>
  <si>
    <t xml:space="preserve">M0240</t>
  </si>
  <si>
    <t xml:space="preserve">DX-827</t>
  </si>
  <si>
    <t xml:space="preserve">PR-9690</t>
  </si>
  <si>
    <t xml:space="preserve">C000294</t>
  </si>
  <si>
    <t xml:space="preserve">DX-727</t>
  </si>
  <si>
    <t xml:space="preserve">PR-5321</t>
  </si>
  <si>
    <t xml:space="preserve">C000295</t>
  </si>
  <si>
    <t xml:space="preserve">PR-4000</t>
  </si>
  <si>
    <t xml:space="preserve">C000296</t>
  </si>
  <si>
    <t xml:space="preserve">M0021</t>
  </si>
  <si>
    <t xml:space="preserve">DX-568</t>
  </si>
  <si>
    <t xml:space="preserve">PR-9077</t>
  </si>
  <si>
    <t xml:space="preserve">C000297</t>
  </si>
  <si>
    <t xml:space="preserve">M0261</t>
  </si>
  <si>
    <t xml:space="preserve">PR-1067</t>
  </si>
  <si>
    <t xml:space="preserve">C000298</t>
  </si>
  <si>
    <t xml:space="preserve">M0014</t>
  </si>
  <si>
    <t xml:space="preserve">PR-7120</t>
  </si>
  <si>
    <t xml:space="preserve">C000299</t>
  </si>
  <si>
    <t xml:space="preserve">PR-3118</t>
  </si>
  <si>
    <t xml:space="preserve">C000300</t>
  </si>
  <si>
    <t xml:space="preserve">DX-345</t>
  </si>
  <si>
    <t xml:space="preserve">PR-7535</t>
  </si>
  <si>
    <t xml:space="preserve">C000301</t>
  </si>
  <si>
    <t xml:space="preserve">M0062</t>
  </si>
  <si>
    <t xml:space="preserve">DX-853</t>
  </si>
  <si>
    <t xml:space="preserve">PR-6080</t>
  </si>
  <si>
    <t xml:space="preserve">C000302</t>
  </si>
  <si>
    <t xml:space="preserve">PR-7931</t>
  </si>
  <si>
    <t xml:space="preserve">C000303</t>
  </si>
  <si>
    <t xml:space="preserve">DX-763</t>
  </si>
  <si>
    <t xml:space="preserve">PR-3540</t>
  </si>
  <si>
    <t xml:space="preserve">C000304</t>
  </si>
  <si>
    <t xml:space="preserve">DX-961</t>
  </si>
  <si>
    <t xml:space="preserve">PR-5073</t>
  </si>
  <si>
    <t xml:space="preserve">C000305</t>
  </si>
  <si>
    <t xml:space="preserve">PR-5175</t>
  </si>
  <si>
    <t xml:space="preserve">C000306</t>
  </si>
  <si>
    <t xml:space="preserve">M0024</t>
  </si>
  <si>
    <t xml:space="preserve">PR-8454</t>
  </si>
  <si>
    <t xml:space="preserve">C000307</t>
  </si>
  <si>
    <t xml:space="preserve">DX-647</t>
  </si>
  <si>
    <t xml:space="preserve">PR-1293</t>
  </si>
  <si>
    <t xml:space="preserve">C000308</t>
  </si>
  <si>
    <t xml:space="preserve">PR-7471</t>
  </si>
  <si>
    <t xml:space="preserve">C000309</t>
  </si>
  <si>
    <t xml:space="preserve">DX-765</t>
  </si>
  <si>
    <t xml:space="preserve">PR-4961</t>
  </si>
  <si>
    <t xml:space="preserve">C000310</t>
  </si>
  <si>
    <t xml:space="preserve">PR-8724</t>
  </si>
  <si>
    <t xml:space="preserve">C000311</t>
  </si>
  <si>
    <t xml:space="preserve">M0005</t>
  </si>
  <si>
    <t xml:space="preserve">DX-525</t>
  </si>
  <si>
    <t xml:space="preserve">PR-9121</t>
  </si>
  <si>
    <t xml:space="preserve">C000312</t>
  </si>
  <si>
    <t xml:space="preserve">DX-532</t>
  </si>
  <si>
    <t xml:space="preserve">PR-6174</t>
  </si>
  <si>
    <t xml:space="preserve">C000313</t>
  </si>
  <si>
    <t xml:space="preserve">M0230</t>
  </si>
  <si>
    <t xml:space="preserve">DX-265</t>
  </si>
  <si>
    <t xml:space="preserve">PR-5718</t>
  </si>
  <si>
    <t xml:space="preserve">C000314</t>
  </si>
  <si>
    <t xml:space="preserve">PR-6902</t>
  </si>
  <si>
    <t xml:space="preserve">C000315</t>
  </si>
  <si>
    <t xml:space="preserve">DX-203</t>
  </si>
  <si>
    <t xml:space="preserve">PR-7815</t>
  </si>
  <si>
    <t xml:space="preserve">C000316</t>
  </si>
  <si>
    <t xml:space="preserve">M0090</t>
  </si>
  <si>
    <t xml:space="preserve">DX-445</t>
  </si>
  <si>
    <t xml:space="preserve">PR-8055</t>
  </si>
  <si>
    <t xml:space="preserve">C000317</t>
  </si>
  <si>
    <t xml:space="preserve">DX-823</t>
  </si>
  <si>
    <t xml:space="preserve">PR-1826</t>
  </si>
  <si>
    <t xml:space="preserve">C000318</t>
  </si>
  <si>
    <t xml:space="preserve">DX-271</t>
  </si>
  <si>
    <t xml:space="preserve">PR-2934</t>
  </si>
  <si>
    <t xml:space="preserve">C000319</t>
  </si>
  <si>
    <t xml:space="preserve">DX-938</t>
  </si>
  <si>
    <t xml:space="preserve">PR-3257</t>
  </si>
  <si>
    <t xml:space="preserve">C000320</t>
  </si>
  <si>
    <t xml:space="preserve">DX-187</t>
  </si>
  <si>
    <t xml:space="preserve">PR-5358</t>
  </si>
  <si>
    <t xml:space="preserve">C000321</t>
  </si>
  <si>
    <t xml:space="preserve">M0117</t>
  </si>
  <si>
    <t xml:space="preserve">DX-519</t>
  </si>
  <si>
    <t xml:space="preserve">PR-8516</t>
  </si>
  <si>
    <t xml:space="preserve">C000322</t>
  </si>
  <si>
    <t xml:space="preserve">DX-544</t>
  </si>
  <si>
    <t xml:space="preserve">PR-2007</t>
  </si>
  <si>
    <t xml:space="preserve">C000323</t>
  </si>
  <si>
    <t xml:space="preserve">DX-838</t>
  </si>
  <si>
    <t xml:space="preserve">PR-6139</t>
  </si>
  <si>
    <t xml:space="preserve">C000324</t>
  </si>
  <si>
    <t xml:space="preserve">M0106</t>
  </si>
  <si>
    <t xml:space="preserve">PR-6656</t>
  </si>
  <si>
    <t xml:space="preserve">C000325</t>
  </si>
  <si>
    <t xml:space="preserve">DX-195</t>
  </si>
  <si>
    <t xml:space="preserve">PR-9383</t>
  </si>
  <si>
    <t xml:space="preserve">C000326</t>
  </si>
  <si>
    <t xml:space="preserve">DX-849</t>
  </si>
  <si>
    <t xml:space="preserve">PR-1982</t>
  </si>
  <si>
    <t xml:space="preserve">C000327</t>
  </si>
  <si>
    <t xml:space="preserve">DX-447</t>
  </si>
  <si>
    <t xml:space="preserve">PR-4868</t>
  </si>
  <si>
    <t xml:space="preserve">C000328</t>
  </si>
  <si>
    <t xml:space="preserve">DX-831</t>
  </si>
  <si>
    <t xml:space="preserve">PR-7187</t>
  </si>
  <si>
    <t xml:space="preserve">C000329</t>
  </si>
  <si>
    <t xml:space="preserve">M0076</t>
  </si>
  <si>
    <t xml:space="preserve">DX-183</t>
  </si>
  <si>
    <t xml:space="preserve">PR-2511</t>
  </si>
  <si>
    <t xml:space="preserve">C000330</t>
  </si>
  <si>
    <t xml:space="preserve">M0136</t>
  </si>
  <si>
    <t xml:space="preserve">DX-550</t>
  </si>
  <si>
    <t xml:space="preserve">PR-9020</t>
  </si>
  <si>
    <t xml:space="preserve">C000331</t>
  </si>
  <si>
    <t xml:space="preserve">M0109</t>
  </si>
  <si>
    <t xml:space="preserve">PR-3569</t>
  </si>
  <si>
    <t xml:space="preserve">C000332</t>
  </si>
  <si>
    <t xml:space="preserve">DX-412</t>
  </si>
  <si>
    <t xml:space="preserve">PR-7135</t>
  </si>
  <si>
    <t xml:space="preserve">C000333</t>
  </si>
  <si>
    <t xml:space="preserve">PR-3004</t>
  </si>
  <si>
    <t xml:space="preserve">C000334</t>
  </si>
  <si>
    <t xml:space="preserve">DX-880</t>
  </si>
  <si>
    <t xml:space="preserve">PR-3269</t>
  </si>
  <si>
    <t xml:space="preserve">C000335</t>
  </si>
  <si>
    <t xml:space="preserve">M0210</t>
  </si>
  <si>
    <t xml:space="preserve">PR-9863</t>
  </si>
  <si>
    <t xml:space="preserve">C000336</t>
  </si>
  <si>
    <t xml:space="preserve">DX-297</t>
  </si>
  <si>
    <t xml:space="preserve">PR-9877</t>
  </si>
  <si>
    <t xml:space="preserve">C000337</t>
  </si>
  <si>
    <t xml:space="preserve">DX-949</t>
  </si>
  <si>
    <t xml:space="preserve">PR-8278</t>
  </si>
  <si>
    <t xml:space="preserve">C000338</t>
  </si>
  <si>
    <t xml:space="preserve">M0224</t>
  </si>
  <si>
    <t xml:space="preserve">DX-980</t>
  </si>
  <si>
    <t xml:space="preserve">PR-9649</t>
  </si>
  <si>
    <t xml:space="preserve">C000339</t>
  </si>
  <si>
    <t xml:space="preserve">DX-794</t>
  </si>
  <si>
    <t xml:space="preserve">PR-3772</t>
  </si>
  <si>
    <t xml:space="preserve">C000340</t>
  </si>
  <si>
    <t xml:space="preserve">PR-4318</t>
  </si>
  <si>
    <t xml:space="preserve">C000341</t>
  </si>
  <si>
    <t xml:space="preserve">DX-167</t>
  </si>
  <si>
    <t xml:space="preserve">PR-8932</t>
  </si>
  <si>
    <t xml:space="preserve">C000342</t>
  </si>
  <si>
    <t xml:space="preserve">M0285</t>
  </si>
  <si>
    <t xml:space="preserve">DX-681</t>
  </si>
  <si>
    <t xml:space="preserve">PR-7664</t>
  </si>
  <si>
    <t xml:space="preserve">C000343</t>
  </si>
  <si>
    <t xml:space="preserve">DX-142</t>
  </si>
  <si>
    <t xml:space="preserve">PR-1016</t>
  </si>
  <si>
    <t xml:space="preserve">C000344</t>
  </si>
  <si>
    <t xml:space="preserve">M0140</t>
  </si>
  <si>
    <t xml:space="preserve">PR-4485</t>
  </si>
  <si>
    <t xml:space="preserve">C000345</t>
  </si>
  <si>
    <t xml:space="preserve">DX-999</t>
  </si>
  <si>
    <t xml:space="preserve">PR-8077</t>
  </si>
  <si>
    <t xml:space="preserve">C000346</t>
  </si>
  <si>
    <t xml:space="preserve">M0126</t>
  </si>
  <si>
    <t xml:space="preserve">DX-315</t>
  </si>
  <si>
    <t xml:space="preserve">PR-8533</t>
  </si>
  <si>
    <t xml:space="preserve">C000347</t>
  </si>
  <si>
    <t xml:space="preserve">PR-7435</t>
  </si>
  <si>
    <t xml:space="preserve">C000348</t>
  </si>
  <si>
    <t xml:space="preserve">DX-932</t>
  </si>
  <si>
    <t xml:space="preserve">PR-7166</t>
  </si>
  <si>
    <t xml:space="preserve">C000349</t>
  </si>
  <si>
    <t xml:space="preserve">DX-326</t>
  </si>
  <si>
    <t xml:space="preserve">C000350</t>
  </si>
  <si>
    <t xml:space="preserve">M0120</t>
  </si>
  <si>
    <t xml:space="preserve">DX-387</t>
  </si>
  <si>
    <t xml:space="preserve">PR-9074</t>
  </si>
  <si>
    <t xml:space="preserve">C000351</t>
  </si>
  <si>
    <t xml:space="preserve">PR-4174</t>
  </si>
  <si>
    <t xml:space="preserve">C000352</t>
  </si>
  <si>
    <t xml:space="preserve">DX-635</t>
  </si>
  <si>
    <t xml:space="preserve">PR-5494</t>
  </si>
  <si>
    <t xml:space="preserve">C000353</t>
  </si>
  <si>
    <t xml:space="preserve">M0287</t>
  </si>
  <si>
    <t xml:space="preserve">DX-756</t>
  </si>
  <si>
    <t xml:space="preserve">PR-1849</t>
  </si>
  <si>
    <t xml:space="preserve">C000354</t>
  </si>
  <si>
    <t xml:space="preserve">DX-645</t>
  </si>
  <si>
    <t xml:space="preserve">PR-8354</t>
  </si>
  <si>
    <t xml:space="preserve">C000355</t>
  </si>
  <si>
    <t xml:space="preserve">E0032</t>
  </si>
  <si>
    <t xml:space="preserve">DX-268</t>
  </si>
  <si>
    <t xml:space="preserve">PR-6394</t>
  </si>
  <si>
    <t xml:space="preserve">C000356</t>
  </si>
  <si>
    <t xml:space="preserve">M0129</t>
  </si>
  <si>
    <t xml:space="preserve">DX-344</t>
  </si>
  <si>
    <t xml:space="preserve">PR-6583</t>
  </si>
  <si>
    <t xml:space="preserve">C000357</t>
  </si>
  <si>
    <t xml:space="preserve">DX-162</t>
  </si>
  <si>
    <t xml:space="preserve">PR-1546</t>
  </si>
  <si>
    <t xml:space="preserve">C000358</t>
  </si>
  <si>
    <t xml:space="preserve">DX-672</t>
  </si>
  <si>
    <t xml:space="preserve">PR-1855</t>
  </si>
  <si>
    <t xml:space="preserve">C000359</t>
  </si>
  <si>
    <t xml:space="preserve">M0233</t>
  </si>
  <si>
    <t xml:space="preserve">DX-735</t>
  </si>
  <si>
    <t xml:space="preserve">PR-2659</t>
  </si>
  <si>
    <t xml:space="preserve">C000360</t>
  </si>
  <si>
    <t xml:space="preserve">M0100</t>
  </si>
  <si>
    <t xml:space="preserve">PR-7897</t>
  </si>
  <si>
    <t xml:space="preserve">C000361</t>
  </si>
  <si>
    <t xml:space="preserve">DX-418</t>
  </si>
  <si>
    <t xml:space="preserve">PR-9866</t>
  </si>
  <si>
    <t xml:space="preserve">C000362</t>
  </si>
  <si>
    <t xml:space="preserve">PR-6633</t>
  </si>
  <si>
    <t xml:space="preserve">C000363</t>
  </si>
  <si>
    <t xml:space="preserve">DX-730</t>
  </si>
  <si>
    <t xml:space="preserve">PR-5909</t>
  </si>
  <si>
    <t xml:space="preserve">C000364</t>
  </si>
  <si>
    <t xml:space="preserve">PR-4492</t>
  </si>
  <si>
    <t xml:space="preserve">C000365</t>
  </si>
  <si>
    <t xml:space="preserve">M0006</t>
  </si>
  <si>
    <t xml:space="preserve">DX-668</t>
  </si>
  <si>
    <t xml:space="preserve">PR-2887</t>
  </si>
  <si>
    <t xml:space="preserve">C000366</t>
  </si>
  <si>
    <t xml:space="preserve">DX-324</t>
  </si>
  <si>
    <t xml:space="preserve">PR-5292</t>
  </si>
  <si>
    <t xml:space="preserve">C000367</t>
  </si>
  <si>
    <t xml:space="preserve">DX-770</t>
  </si>
  <si>
    <t xml:space="preserve">PR-2818</t>
  </si>
  <si>
    <t xml:space="preserve">C000368</t>
  </si>
  <si>
    <t xml:space="preserve">DX-913</t>
  </si>
  <si>
    <t xml:space="preserve">PR-4107</t>
  </si>
  <si>
    <t xml:space="preserve">C000369</t>
  </si>
  <si>
    <t xml:space="preserve">DX-435</t>
  </si>
  <si>
    <t xml:space="preserve">PR-5049</t>
  </si>
  <si>
    <t xml:space="preserve">C000370</t>
  </si>
  <si>
    <t xml:space="preserve">PR-9333</t>
  </si>
  <si>
    <t xml:space="preserve">C000371</t>
  </si>
  <si>
    <t xml:space="preserve">DX-753</t>
  </si>
  <si>
    <t xml:space="preserve">PR-1599</t>
  </si>
  <si>
    <t xml:space="preserve">C000372</t>
  </si>
  <si>
    <t xml:space="preserve">PR-2376</t>
  </si>
  <si>
    <t xml:space="preserve">C000373</t>
  </si>
  <si>
    <t xml:space="preserve">DX-923</t>
  </si>
  <si>
    <t xml:space="preserve">PR-9151</t>
  </si>
  <si>
    <t xml:space="preserve">C000374</t>
  </si>
  <si>
    <t xml:space="preserve">DX-904</t>
  </si>
  <si>
    <t xml:space="preserve">PR-5528</t>
  </si>
  <si>
    <t xml:space="preserve">C000375</t>
  </si>
  <si>
    <t xml:space="preserve">PR-3258</t>
  </si>
  <si>
    <t xml:space="preserve">C000376</t>
  </si>
  <si>
    <t xml:space="preserve">C000377</t>
  </si>
  <si>
    <t xml:space="preserve">DX-966</t>
  </si>
  <si>
    <t xml:space="preserve">PR-4077</t>
  </si>
  <si>
    <t xml:space="preserve">C000378</t>
  </si>
  <si>
    <t xml:space="preserve">M0157</t>
  </si>
  <si>
    <t xml:space="preserve">DX-929</t>
  </si>
  <si>
    <t xml:space="preserve">PR-6810</t>
  </si>
  <si>
    <t xml:space="preserve">C000379</t>
  </si>
  <si>
    <t xml:space="preserve">PR-1527</t>
  </si>
  <si>
    <t xml:space="preserve">C000380</t>
  </si>
  <si>
    <t xml:space="preserve">PR-7331</t>
  </si>
  <si>
    <t xml:space="preserve">C000381</t>
  </si>
  <si>
    <t xml:space="preserve">DX-127</t>
  </si>
  <si>
    <t xml:space="preserve">PR-4058</t>
  </si>
  <si>
    <t xml:space="preserve">C000382</t>
  </si>
  <si>
    <t xml:space="preserve">M0266</t>
  </si>
  <si>
    <t xml:space="preserve">PR-7731</t>
  </si>
  <si>
    <t xml:space="preserve">C000383</t>
  </si>
  <si>
    <t xml:space="preserve">M0067</t>
  </si>
  <si>
    <t xml:space="preserve">DX-937</t>
  </si>
  <si>
    <t xml:space="preserve">PR-8778</t>
  </si>
  <si>
    <t xml:space="preserve">C000384</t>
  </si>
  <si>
    <t xml:space="preserve">DX-165</t>
  </si>
  <si>
    <t xml:space="preserve">PR-7541</t>
  </si>
  <si>
    <t xml:space="preserve">C000385</t>
  </si>
  <si>
    <t xml:space="preserve">PR-5873</t>
  </si>
  <si>
    <t xml:space="preserve">C000386</t>
  </si>
  <si>
    <t xml:space="preserve">DX-502</t>
  </si>
  <si>
    <t xml:space="preserve">PR-1715</t>
  </si>
  <si>
    <t xml:space="preserve">C000387</t>
  </si>
  <si>
    <t xml:space="preserve">DX-477</t>
  </si>
  <si>
    <t xml:space="preserve">PR-2253</t>
  </si>
  <si>
    <t xml:space="preserve">C000388</t>
  </si>
  <si>
    <t xml:space="preserve">DX-490</t>
  </si>
  <si>
    <t xml:space="preserve">PR-6630</t>
  </si>
  <si>
    <t xml:space="preserve">C000389</t>
  </si>
  <si>
    <t xml:space="preserve">PR-4969</t>
  </si>
  <si>
    <t xml:space="preserve">C000390</t>
  </si>
  <si>
    <t xml:space="preserve">PR-7403</t>
  </si>
  <si>
    <t xml:space="preserve">C000391</t>
  </si>
  <si>
    <t xml:space="preserve">DX-552</t>
  </si>
  <si>
    <t xml:space="preserve">PR-1782</t>
  </si>
  <si>
    <t xml:space="preserve">C000392</t>
  </si>
  <si>
    <t xml:space="preserve">M0158</t>
  </si>
  <si>
    <t xml:space="preserve">PR-7183</t>
  </si>
  <si>
    <t xml:space="preserve">C000393</t>
  </si>
  <si>
    <t xml:space="preserve">DX-841</t>
  </si>
  <si>
    <t xml:space="preserve">PR-3736</t>
  </si>
  <si>
    <t xml:space="preserve">C000394</t>
  </si>
  <si>
    <t xml:space="preserve">DX-318</t>
  </si>
  <si>
    <t xml:space="preserve">PR-2734</t>
  </si>
  <si>
    <t xml:space="preserve">C000395</t>
  </si>
  <si>
    <t xml:space="preserve">M0143</t>
  </si>
  <si>
    <t xml:space="preserve">DX-144</t>
  </si>
  <si>
    <t xml:space="preserve">PR-2103</t>
  </si>
  <si>
    <t xml:space="preserve">C000396</t>
  </si>
  <si>
    <t xml:space="preserve">DX-746</t>
  </si>
  <si>
    <t xml:space="preserve">PR-7366</t>
  </si>
  <si>
    <t xml:space="preserve">C000397</t>
  </si>
  <si>
    <t xml:space="preserve">DX-491</t>
  </si>
  <si>
    <t xml:space="preserve">PR-9372</t>
  </si>
  <si>
    <t xml:space="preserve">C000398</t>
  </si>
  <si>
    <t xml:space="preserve">PR-4990</t>
  </si>
  <si>
    <t xml:space="preserve">C000399</t>
  </si>
  <si>
    <t xml:space="preserve">M0122</t>
  </si>
  <si>
    <t xml:space="preserve">DX-856</t>
  </si>
  <si>
    <t xml:space="preserve">PR-6385</t>
  </si>
  <si>
    <t xml:space="preserve">C000400</t>
  </si>
  <si>
    <t xml:space="preserve">M0013</t>
  </si>
  <si>
    <t xml:space="preserve">DX-450</t>
  </si>
  <si>
    <t xml:space="preserve">C000401</t>
  </si>
  <si>
    <t xml:space="preserve">PR-1099</t>
  </si>
  <si>
    <t xml:space="preserve">C000402</t>
  </si>
  <si>
    <t xml:space="preserve">M0065</t>
  </si>
  <si>
    <t xml:space="preserve">DX-341</t>
  </si>
  <si>
    <t xml:space="preserve">PR-9313</t>
  </si>
  <si>
    <t xml:space="preserve">C000403</t>
  </si>
  <si>
    <t xml:space="preserve">DX-750</t>
  </si>
  <si>
    <t xml:space="preserve">PR-4299</t>
  </si>
  <si>
    <t xml:space="preserve">C000404</t>
  </si>
  <si>
    <t xml:space="preserve">DX-878</t>
  </si>
  <si>
    <t xml:space="preserve">PR-3553</t>
  </si>
  <si>
    <t xml:space="preserve">C000405</t>
  </si>
  <si>
    <t xml:space="preserve">DX-489</t>
  </si>
  <si>
    <t xml:space="preserve">PR-8596</t>
  </si>
  <si>
    <t xml:space="preserve">C000406</t>
  </si>
  <si>
    <t xml:space="preserve">DX-982</t>
  </si>
  <si>
    <t xml:space="preserve">PR-9203</t>
  </si>
  <si>
    <t xml:space="preserve">C000407</t>
  </si>
  <si>
    <t xml:space="preserve">DX-518</t>
  </si>
  <si>
    <t xml:space="preserve">PR-1636</t>
  </si>
  <si>
    <t xml:space="preserve">C000408</t>
  </si>
  <si>
    <t xml:space="preserve">DX-813</t>
  </si>
  <si>
    <t xml:space="preserve">PR-1945</t>
  </si>
  <si>
    <t xml:space="preserve">C000409</t>
  </si>
  <si>
    <t xml:space="preserve">DX-797</t>
  </si>
  <si>
    <t xml:space="preserve">PR-3414</t>
  </si>
  <si>
    <t xml:space="preserve">C000410</t>
  </si>
  <si>
    <t xml:space="preserve">DX-630</t>
  </si>
  <si>
    <t xml:space="preserve">PR-4093</t>
  </si>
  <si>
    <t xml:space="preserve">C000411</t>
  </si>
  <si>
    <t xml:space="preserve">DX-211</t>
  </si>
  <si>
    <t xml:space="preserve">PR-6642</t>
  </si>
  <si>
    <t xml:space="preserve">C000412</t>
  </si>
  <si>
    <t xml:space="preserve">DX-637</t>
  </si>
  <si>
    <t xml:space="preserve">PR-7829</t>
  </si>
  <si>
    <t xml:space="preserve">C000413</t>
  </si>
  <si>
    <t xml:space="preserve">M0258</t>
  </si>
  <si>
    <t xml:space="preserve">DX-290</t>
  </si>
  <si>
    <t xml:space="preserve">PR-4292</t>
  </si>
  <si>
    <t xml:space="preserve">C000414</t>
  </si>
  <si>
    <t xml:space="preserve">M0086</t>
  </si>
  <si>
    <t xml:space="preserve">DX-486</t>
  </si>
  <si>
    <t xml:space="preserve">PR-3042</t>
  </si>
  <si>
    <t xml:space="preserve">C000415</t>
  </si>
  <si>
    <t xml:space="preserve">DX-781</t>
  </si>
  <si>
    <t xml:space="preserve">PR-1685</t>
  </si>
  <si>
    <t xml:space="preserve">C000416</t>
  </si>
  <si>
    <t xml:space="preserve">E0044</t>
  </si>
  <si>
    <t xml:space="preserve">DX-444</t>
  </si>
  <si>
    <t xml:space="preserve">PR-7074</t>
  </si>
  <si>
    <t xml:space="preserve">C000417</t>
  </si>
  <si>
    <t xml:space="preserve">DX-991</t>
  </si>
  <si>
    <t xml:space="preserve">PR-7583</t>
  </si>
  <si>
    <t xml:space="preserve">C000418</t>
  </si>
  <si>
    <t xml:space="preserve">DX-627</t>
  </si>
  <si>
    <t xml:space="preserve">PR-7768</t>
  </si>
  <si>
    <t xml:space="preserve">C000419</t>
  </si>
  <si>
    <t xml:space="preserve">DX-339</t>
  </si>
  <si>
    <t xml:space="preserve">PR-8938</t>
  </si>
  <si>
    <t xml:space="preserve">C000420</t>
  </si>
  <si>
    <t xml:space="preserve">M0198</t>
  </si>
  <si>
    <t xml:space="preserve">PR-3345</t>
  </si>
  <si>
    <t xml:space="preserve">C000421</t>
  </si>
  <si>
    <t xml:space="preserve">PR-9858</t>
  </si>
  <si>
    <t xml:space="preserve">C000422</t>
  </si>
  <si>
    <t xml:space="preserve">DX-325</t>
  </si>
  <si>
    <t xml:space="preserve">PR-5220</t>
  </si>
  <si>
    <t xml:space="preserve">C000423</t>
  </si>
  <si>
    <t xml:space="preserve">PR-2059</t>
  </si>
  <si>
    <t xml:space="preserve">C000424</t>
  </si>
  <si>
    <t xml:space="preserve">DX-218</t>
  </si>
  <si>
    <t xml:space="preserve">PR-5767</t>
  </si>
  <si>
    <t xml:space="preserve">C000425</t>
  </si>
  <si>
    <t xml:space="preserve">PR-1027</t>
  </si>
  <si>
    <t xml:space="preserve">C000426</t>
  </si>
  <si>
    <t xml:space="preserve">PR-7476</t>
  </si>
  <si>
    <t xml:space="preserve">C000427</t>
  </si>
  <si>
    <t xml:space="preserve">PR-1562</t>
  </si>
  <si>
    <t xml:space="preserve">C000428</t>
  </si>
  <si>
    <t xml:space="preserve">DX-160</t>
  </si>
  <si>
    <t xml:space="preserve">PR-6458</t>
  </si>
  <si>
    <t xml:space="preserve">C000429</t>
  </si>
  <si>
    <t xml:space="preserve">DX-934</t>
  </si>
  <si>
    <t xml:space="preserve">PR-3608</t>
  </si>
  <si>
    <t xml:space="preserve">C000430</t>
  </si>
  <si>
    <t xml:space="preserve">PR-4196</t>
  </si>
  <si>
    <t xml:space="preserve">C000431</t>
  </si>
  <si>
    <t xml:space="preserve">DX-691</t>
  </si>
  <si>
    <t xml:space="preserve">PR-3253</t>
  </si>
  <si>
    <t xml:space="preserve">C000432</t>
  </si>
  <si>
    <t xml:space="preserve">M0186</t>
  </si>
  <si>
    <t xml:space="preserve">PR-3418</t>
  </si>
  <si>
    <t xml:space="preserve">C000433</t>
  </si>
  <si>
    <t xml:space="preserve">DX-707</t>
  </si>
  <si>
    <t xml:space="preserve">PR-8107</t>
  </si>
  <si>
    <t xml:space="preserve">C000434</t>
  </si>
  <si>
    <t xml:space="preserve">C000435</t>
  </si>
  <si>
    <t xml:space="preserve">DX-123</t>
  </si>
  <si>
    <t xml:space="preserve">PR-8856</t>
  </si>
  <si>
    <t xml:space="preserve">C000436</t>
  </si>
  <si>
    <t xml:space="preserve">PR-9806</t>
  </si>
  <si>
    <t xml:space="preserve">C000437</t>
  </si>
  <si>
    <t xml:space="preserve">DX-871</t>
  </si>
  <si>
    <t xml:space="preserve">PR-4399</t>
  </si>
  <si>
    <t xml:space="preserve">C000438</t>
  </si>
  <si>
    <t xml:space="preserve">DX-768</t>
  </si>
  <si>
    <t xml:space="preserve">PR-3641</t>
  </si>
  <si>
    <t xml:space="preserve">C000439</t>
  </si>
  <si>
    <t xml:space="preserve">DX-407</t>
  </si>
  <si>
    <t xml:space="preserve">PR-1756</t>
  </si>
  <si>
    <t xml:space="preserve">C000440</t>
  </si>
  <si>
    <t xml:space="preserve">PR-1732</t>
  </si>
  <si>
    <t xml:space="preserve">C000441</t>
  </si>
  <si>
    <t xml:space="preserve">DX-176</t>
  </si>
  <si>
    <t xml:space="preserve">PR-5177</t>
  </si>
  <si>
    <t xml:space="preserve">C000442</t>
  </si>
  <si>
    <t xml:space="preserve">PR-4156</t>
  </si>
  <si>
    <t xml:space="preserve">C000443</t>
  </si>
  <si>
    <t xml:space="preserve">M0162</t>
  </si>
  <si>
    <t xml:space="preserve">DX-718</t>
  </si>
  <si>
    <t xml:space="preserve">PR-5055</t>
  </si>
  <si>
    <t xml:space="preserve">C000444</t>
  </si>
  <si>
    <t xml:space="preserve">M0171</t>
  </si>
  <si>
    <t xml:space="preserve">PR-4698</t>
  </si>
  <si>
    <t xml:space="preserve">C000445</t>
  </si>
  <si>
    <t xml:space="preserve">DX-702</t>
  </si>
  <si>
    <t xml:space="preserve">PR-9021</t>
  </si>
  <si>
    <t xml:space="preserve">C000446</t>
  </si>
  <si>
    <t xml:space="preserve">PR-6655</t>
  </si>
  <si>
    <t xml:space="preserve">C000447</t>
  </si>
  <si>
    <t xml:space="preserve">PR-3070</t>
  </si>
  <si>
    <t xml:space="preserve">C000448</t>
  </si>
  <si>
    <t xml:space="preserve">DX-549</t>
  </si>
  <si>
    <t xml:space="preserve">PR-6799</t>
  </si>
  <si>
    <t xml:space="preserve">C000449</t>
  </si>
  <si>
    <t xml:space="preserve">DX-516</t>
  </si>
  <si>
    <t xml:space="preserve">PR-6123</t>
  </si>
  <si>
    <t xml:space="preserve">C000450</t>
  </si>
  <si>
    <t xml:space="preserve">M0044</t>
  </si>
  <si>
    <t xml:space="preserve">PR-1175</t>
  </si>
  <si>
    <t xml:space="preserve">C000451</t>
  </si>
  <si>
    <t xml:space="preserve">DX-951</t>
  </si>
  <si>
    <t xml:space="preserve">PR-1119</t>
  </si>
  <si>
    <t xml:space="preserve">C000452</t>
  </si>
  <si>
    <t xml:space="preserve">M0022</t>
  </si>
  <si>
    <t xml:space="preserve">DX-790</t>
  </si>
  <si>
    <t xml:space="preserve">PR-9577</t>
  </si>
  <si>
    <t xml:space="preserve">C000453</t>
  </si>
  <si>
    <t xml:space="preserve">M0195</t>
  </si>
  <si>
    <t xml:space="preserve">DX-446</t>
  </si>
  <si>
    <t xml:space="preserve">PR-5092</t>
  </si>
  <si>
    <t xml:space="preserve">C000454</t>
  </si>
  <si>
    <t xml:space="preserve">M0112</t>
  </si>
  <si>
    <t xml:space="preserve">DX-574</t>
  </si>
  <si>
    <t xml:space="preserve">PR-8999</t>
  </si>
  <si>
    <t xml:space="preserve">C000455</t>
  </si>
  <si>
    <t xml:space="preserve">DX-541</t>
  </si>
  <si>
    <t xml:space="preserve">PR-9061</t>
  </si>
  <si>
    <t xml:space="preserve">C000456</t>
  </si>
  <si>
    <t xml:space="preserve">DX-483</t>
  </si>
  <si>
    <t xml:space="preserve">PR-5903</t>
  </si>
  <si>
    <t xml:space="preserve">C000457</t>
  </si>
  <si>
    <t xml:space="preserve">DX-105</t>
  </si>
  <si>
    <t xml:space="preserve">C000458</t>
  </si>
  <si>
    <t xml:space="preserve">PR-5354</t>
  </si>
  <si>
    <t xml:space="preserve">C000459</t>
  </si>
  <si>
    <t xml:space="preserve">PR-2797</t>
  </si>
  <si>
    <t xml:space="preserve">C000460</t>
  </si>
  <si>
    <t xml:space="preserve">PR-8867</t>
  </si>
  <si>
    <t xml:space="preserve">C000461</t>
  </si>
  <si>
    <t xml:space="preserve">M0144</t>
  </si>
  <si>
    <t xml:space="preserve">DX-817</t>
  </si>
  <si>
    <t xml:space="preserve">PR-5052</t>
  </si>
  <si>
    <t xml:space="preserve">C000462</t>
  </si>
  <si>
    <t xml:space="preserve">DX-334</t>
  </si>
  <si>
    <t xml:space="preserve">PR-2973</t>
  </si>
  <si>
    <t xml:space="preserve">C000463</t>
  </si>
  <si>
    <t xml:space="preserve">PR-6020</t>
  </si>
  <si>
    <t xml:space="preserve">C000464</t>
  </si>
  <si>
    <t xml:space="preserve">M0057</t>
  </si>
  <si>
    <t xml:space="preserve">PR-7849</t>
  </si>
  <si>
    <t xml:space="preserve">C000465</t>
  </si>
  <si>
    <t xml:space="preserve">DX-289</t>
  </si>
  <si>
    <t xml:space="preserve">PR-5133</t>
  </si>
  <si>
    <t xml:space="preserve">C000466</t>
  </si>
  <si>
    <t xml:space="preserve">PR-9664</t>
  </si>
  <si>
    <t xml:space="preserve">C000467</t>
  </si>
  <si>
    <t xml:space="preserve">PR-8303</t>
  </si>
  <si>
    <t xml:space="preserve">C000468</t>
  </si>
  <si>
    <t xml:space="preserve">M0023</t>
  </si>
  <si>
    <t xml:space="preserve">DX-663</t>
  </si>
  <si>
    <t xml:space="preserve">PR-5137</t>
  </si>
  <si>
    <t xml:space="preserve">C000469</t>
  </si>
  <si>
    <t xml:space="preserve">DX-270</t>
  </si>
  <si>
    <t xml:space="preserve">PR-5491</t>
  </si>
  <si>
    <t xml:space="preserve">C000470</t>
  </si>
  <si>
    <t xml:space="preserve">DX-269</t>
  </si>
  <si>
    <t xml:space="preserve">PR-8172</t>
  </si>
  <si>
    <t xml:space="preserve">C000471</t>
  </si>
  <si>
    <t xml:space="preserve">DX-410</t>
  </si>
  <si>
    <t xml:space="preserve">PR-4609</t>
  </si>
  <si>
    <t xml:space="preserve">C000472</t>
  </si>
  <si>
    <t xml:space="preserve">DX-757</t>
  </si>
  <si>
    <t xml:space="preserve">PR-5079</t>
  </si>
  <si>
    <t xml:space="preserve">C000473</t>
  </si>
  <si>
    <t xml:space="preserve">M0043</t>
  </si>
  <si>
    <t xml:space="preserve">PR-3189</t>
  </si>
  <si>
    <t xml:space="preserve">C000474</t>
  </si>
  <si>
    <t xml:space="preserve">M0113</t>
  </si>
  <si>
    <t xml:space="preserve">DX-362</t>
  </si>
  <si>
    <t xml:space="preserve">PR-1256</t>
  </si>
  <si>
    <t xml:space="preserve">C000475</t>
  </si>
  <si>
    <t xml:space="preserve">DX-308</t>
  </si>
  <si>
    <t xml:space="preserve">PR-7479</t>
  </si>
  <si>
    <t xml:space="preserve">C000476</t>
  </si>
  <si>
    <t xml:space="preserve">DX-935</t>
  </si>
  <si>
    <t xml:space="preserve">PR-3885</t>
  </si>
  <si>
    <t xml:space="preserve">C000477</t>
  </si>
  <si>
    <t xml:space="preserve">DX-536</t>
  </si>
  <si>
    <t xml:space="preserve">PR-5018</t>
  </si>
  <si>
    <t xml:space="preserve">C000478</t>
  </si>
  <si>
    <t xml:space="preserve">DX-212</t>
  </si>
  <si>
    <t xml:space="preserve">PR-1222</t>
  </si>
  <si>
    <t xml:space="preserve">C000479</t>
  </si>
  <si>
    <t xml:space="preserve">M0055</t>
  </si>
  <si>
    <t xml:space="preserve">DX-973</t>
  </si>
  <si>
    <t xml:space="preserve">PR-2392</t>
  </si>
  <si>
    <t xml:space="preserve">C000480</t>
  </si>
  <si>
    <t xml:space="preserve">DX-742</t>
  </si>
  <si>
    <t xml:space="preserve">PR-9906</t>
  </si>
  <si>
    <t xml:space="preserve">C000481</t>
  </si>
  <si>
    <t xml:space="preserve">C000482</t>
  </si>
  <si>
    <t xml:space="preserve">PR-6854</t>
  </si>
  <si>
    <t xml:space="preserve">C000483</t>
  </si>
  <si>
    <t xml:space="preserve">PR-3971</t>
  </si>
  <si>
    <t xml:space="preserve">C000484</t>
  </si>
  <si>
    <t xml:space="preserve">DX-371</t>
  </si>
  <si>
    <t xml:space="preserve">PR-2251</t>
  </si>
  <si>
    <t xml:space="preserve">C000485</t>
  </si>
  <si>
    <t xml:space="preserve">PR-5562</t>
  </si>
  <si>
    <t xml:space="preserve">C000486</t>
  </si>
  <si>
    <t xml:space="preserve">DX-492</t>
  </si>
  <si>
    <t xml:space="preserve">PR-7859</t>
  </si>
  <si>
    <t xml:space="preserve">C000487</t>
  </si>
  <si>
    <t xml:space="preserve">DX-819</t>
  </si>
  <si>
    <t xml:space="preserve">PR-2429</t>
  </si>
  <si>
    <t xml:space="preserve">C000488</t>
  </si>
  <si>
    <t xml:space="preserve">PR-3283</t>
  </si>
  <si>
    <t xml:space="preserve">C000489</t>
  </si>
  <si>
    <t xml:space="preserve">M0029</t>
  </si>
  <si>
    <t xml:space="preserve">DX-812</t>
  </si>
  <si>
    <t xml:space="preserve">PR-3344</t>
  </si>
  <si>
    <t xml:space="preserve">C000490</t>
  </si>
  <si>
    <t xml:space="preserve">DX-250</t>
  </si>
  <si>
    <t xml:space="preserve">PR-6984</t>
  </si>
  <si>
    <t xml:space="preserve">C000491</t>
  </si>
  <si>
    <t xml:space="preserve">DX-581</t>
  </si>
  <si>
    <t xml:space="preserve">PR-7742</t>
  </si>
  <si>
    <t xml:space="preserve">C000492</t>
  </si>
  <si>
    <t xml:space="preserve">C000493</t>
  </si>
  <si>
    <t xml:space="preserve">C000494</t>
  </si>
  <si>
    <t xml:space="preserve">PR-8674</t>
  </si>
  <si>
    <t xml:space="preserve">C000495</t>
  </si>
  <si>
    <t xml:space="preserve">DX-179</t>
  </si>
  <si>
    <t xml:space="preserve">PR-6942</t>
  </si>
  <si>
    <t xml:space="preserve">C000496</t>
  </si>
  <si>
    <t xml:space="preserve">PR-1530</t>
  </si>
  <si>
    <t xml:space="preserve">C000497</t>
  </si>
  <si>
    <t xml:space="preserve">DX-869</t>
  </si>
  <si>
    <t xml:space="preserve">PR-5626</t>
  </si>
  <si>
    <t xml:space="preserve">C000498</t>
  </si>
  <si>
    <t xml:space="preserve">M0209</t>
  </si>
  <si>
    <t xml:space="preserve">DX-614</t>
  </si>
  <si>
    <t xml:space="preserve">PR-3460</t>
  </si>
  <si>
    <t xml:space="preserve">C000499</t>
  </si>
  <si>
    <t xml:space="preserve">DX-320</t>
  </si>
  <si>
    <t xml:space="preserve">PR-3307</t>
  </si>
  <si>
    <t xml:space="preserve">C000500</t>
  </si>
  <si>
    <t xml:space="preserve">DX-468</t>
  </si>
  <si>
    <t xml:space="preserve">PR-8059</t>
  </si>
  <si>
    <t xml:space="preserve">C000501</t>
  </si>
  <si>
    <t xml:space="preserve">DX-924</t>
  </si>
  <si>
    <t xml:space="preserve">PR-1244</t>
  </si>
  <si>
    <t xml:space="preserve">C000502</t>
  </si>
  <si>
    <t xml:space="preserve">PR-2116</t>
  </si>
  <si>
    <t xml:space="preserve">C000503</t>
  </si>
  <si>
    <t xml:space="preserve">DX-226</t>
  </si>
  <si>
    <t xml:space="preserve">C000504</t>
  </si>
  <si>
    <t xml:space="preserve">M0192</t>
  </si>
  <si>
    <t xml:space="preserve">PR-8374</t>
  </si>
  <si>
    <t xml:space="preserve">C000505</t>
  </si>
  <si>
    <t xml:space="preserve">C000506</t>
  </si>
  <si>
    <t xml:space="preserve">PR-2775</t>
  </si>
  <si>
    <t xml:space="preserve">C000507</t>
  </si>
  <si>
    <t xml:space="preserve">DX-139</t>
  </si>
  <si>
    <t xml:space="preserve">PR-9930</t>
  </si>
  <si>
    <t xml:space="preserve">C000508</t>
  </si>
  <si>
    <t xml:space="preserve">DX-155</t>
  </si>
  <si>
    <t xml:space="preserve">PR-4465</t>
  </si>
  <si>
    <t xml:space="preserve">C000509</t>
  </si>
  <si>
    <t xml:space="preserve">DX-992</t>
  </si>
  <si>
    <t xml:space="preserve">PR-7876</t>
  </si>
  <si>
    <t xml:space="preserve">C000510</t>
  </si>
  <si>
    <t xml:space="preserve">M0085</t>
  </si>
  <si>
    <t xml:space="preserve">PR-8790</t>
  </si>
  <si>
    <t xml:space="preserve">C000511</t>
  </si>
  <si>
    <t xml:space="preserve">PR-3369</t>
  </si>
  <si>
    <t xml:space="preserve">C000512</t>
  </si>
  <si>
    <t xml:space="preserve">DX-216</t>
  </si>
  <si>
    <t xml:space="preserve">PR-7658</t>
  </si>
  <si>
    <t xml:space="preserve">C000513</t>
  </si>
  <si>
    <t xml:space="preserve">DX-863</t>
  </si>
  <si>
    <t xml:space="preserve">PR-4074</t>
  </si>
  <si>
    <t xml:space="preserve">C000514</t>
  </si>
  <si>
    <t xml:space="preserve">C000515</t>
  </si>
  <si>
    <t xml:space="preserve">M0181</t>
  </si>
  <si>
    <t xml:space="preserve">PR-6502</t>
  </si>
  <si>
    <t xml:space="preserve">C000516</t>
  </si>
  <si>
    <t xml:space="preserve">DX-189</t>
  </si>
  <si>
    <t xml:space="preserve">PR-2700</t>
  </si>
  <si>
    <t xml:space="preserve">C000517</t>
  </si>
  <si>
    <t xml:space="preserve">DX-972</t>
  </si>
  <si>
    <t xml:space="preserve">PR-7891</t>
  </si>
  <si>
    <t xml:space="preserve">C000518</t>
  </si>
  <si>
    <t xml:space="preserve">DX-107</t>
  </si>
  <si>
    <t xml:space="preserve">PR-7138</t>
  </si>
  <si>
    <t xml:space="preserve">C000519</t>
  </si>
  <si>
    <t xml:space="preserve">DX-126</t>
  </si>
  <si>
    <t xml:space="preserve">PR-3512</t>
  </si>
  <si>
    <t xml:space="preserve">C000520</t>
  </si>
  <si>
    <t xml:space="preserve">DX-948</t>
  </si>
  <si>
    <t xml:space="preserve">PR-1845</t>
  </si>
  <si>
    <t xml:space="preserve">C000521</t>
  </si>
  <si>
    <t xml:space="preserve">DX-616</t>
  </si>
  <si>
    <t xml:space="preserve">PR-2939</t>
  </si>
  <si>
    <t xml:space="preserve">C000522</t>
  </si>
  <si>
    <t xml:space="preserve">DX-547</t>
  </si>
  <si>
    <t xml:space="preserve">PR-1189</t>
  </si>
  <si>
    <t xml:space="preserve">C000523</t>
  </si>
  <si>
    <t xml:space="preserve">PR-6867</t>
  </si>
  <si>
    <t xml:space="preserve">C000524</t>
  </si>
  <si>
    <t xml:space="preserve">DX-184</t>
  </si>
  <si>
    <t xml:space="preserve">PR-3355</t>
  </si>
  <si>
    <t xml:space="preserve">C000525</t>
  </si>
  <si>
    <t xml:space="preserve">PR-2267</t>
  </si>
  <si>
    <t xml:space="preserve">C000526</t>
  </si>
  <si>
    <t xml:space="preserve">PR-8387</t>
  </si>
  <si>
    <t xml:space="preserve">C000527</t>
  </si>
  <si>
    <t xml:space="preserve">E0062</t>
  </si>
  <si>
    <t xml:space="preserve">C000528</t>
  </si>
  <si>
    <t xml:space="preserve">DX-130</t>
  </si>
  <si>
    <t xml:space="preserve">PR-6366</t>
  </si>
  <si>
    <t xml:space="preserve">C000529</t>
  </si>
  <si>
    <t xml:space="preserve">DX-578</t>
  </si>
  <si>
    <t xml:space="preserve">PR-9123</t>
  </si>
  <si>
    <t xml:space="preserve">C000530</t>
  </si>
  <si>
    <t xml:space="preserve">PR-4372</t>
  </si>
  <si>
    <t xml:space="preserve">C000531</t>
  </si>
  <si>
    <t xml:space="preserve">DX-482</t>
  </si>
  <si>
    <t xml:space="preserve">PR-2052</t>
  </si>
  <si>
    <t xml:space="preserve">C000532</t>
  </si>
  <si>
    <t xml:space="preserve">DX-928</t>
  </si>
  <si>
    <t xml:space="preserve">PR-6286</t>
  </si>
  <si>
    <t xml:space="preserve">C000533</t>
  </si>
  <si>
    <t xml:space="preserve">DX-834</t>
  </si>
  <si>
    <t xml:space="preserve">PR-6388</t>
  </si>
  <si>
    <t xml:space="preserve">C000534</t>
  </si>
  <si>
    <t xml:space="preserve">DX-833</t>
  </si>
  <si>
    <t xml:space="preserve">PR-2225</t>
  </si>
  <si>
    <t xml:space="preserve">C000535</t>
  </si>
  <si>
    <t xml:space="preserve">DX-531</t>
  </si>
  <si>
    <t xml:space="preserve">PR-2953</t>
  </si>
  <si>
    <t xml:space="preserve">C000536</t>
  </si>
  <si>
    <t xml:space="preserve">DX-137</t>
  </si>
  <si>
    <t xml:space="preserve">PR-9740</t>
  </si>
  <si>
    <t xml:space="preserve">C000537</t>
  </si>
  <si>
    <t xml:space="preserve">M0141</t>
  </si>
  <si>
    <t xml:space="preserve">DX-509</t>
  </si>
  <si>
    <t xml:space="preserve">PR-2306</t>
  </si>
  <si>
    <t xml:space="preserve">C000538</t>
  </si>
  <si>
    <t xml:space="preserve">PR-2683</t>
  </si>
  <si>
    <t xml:space="preserve">C000539</t>
  </si>
  <si>
    <t xml:space="preserve">PR-9807</t>
  </si>
  <si>
    <t xml:space="preserve">C000540</t>
  </si>
  <si>
    <t xml:space="preserve">PR-3790</t>
  </si>
  <si>
    <t xml:space="preserve">C000541</t>
  </si>
  <si>
    <t xml:space="preserve">PR-8830</t>
  </si>
  <si>
    <t xml:space="preserve">C000542</t>
  </si>
  <si>
    <t xml:space="preserve">PR-2278</t>
  </si>
  <si>
    <t xml:space="preserve">C000543</t>
  </si>
  <si>
    <t xml:space="preserve">PR-6108</t>
  </si>
  <si>
    <t xml:space="preserve">C000544</t>
  </si>
  <si>
    <t xml:space="preserve">DX-898</t>
  </si>
  <si>
    <t xml:space="preserve">PR-7556</t>
  </si>
  <si>
    <t xml:space="preserve">C000545</t>
  </si>
  <si>
    <t xml:space="preserve">DX-346</t>
  </si>
  <si>
    <t xml:space="preserve">PR-1271</t>
  </si>
  <si>
    <t xml:space="preserve">C000546</t>
  </si>
  <si>
    <t xml:space="preserve">DX-506</t>
  </si>
  <si>
    <t xml:space="preserve">PR-9227</t>
  </si>
  <si>
    <t xml:space="preserve">C000547</t>
  </si>
  <si>
    <t xml:space="preserve">DX-280</t>
  </si>
  <si>
    <t xml:space="preserve">PR-5520</t>
  </si>
  <si>
    <t xml:space="preserve">C000548</t>
  </si>
  <si>
    <t xml:space="preserve">PR-2078</t>
  </si>
  <si>
    <t xml:space="preserve">C000549</t>
  </si>
  <si>
    <t xml:space="preserve">PR-4370</t>
  </si>
  <si>
    <t xml:space="preserve">C000550</t>
  </si>
  <si>
    <t xml:space="preserve">M0049</t>
  </si>
  <si>
    <t xml:space="preserve">PR-6002</t>
  </si>
  <si>
    <t xml:space="preserve">C000551</t>
  </si>
  <si>
    <t xml:space="preserve">DX-538</t>
  </si>
  <si>
    <t xml:space="preserve">PR-6473</t>
  </si>
  <si>
    <t xml:space="preserve">C000552</t>
  </si>
  <si>
    <t xml:space="preserve">M0299</t>
  </si>
  <si>
    <t xml:space="preserve">PR-2792</t>
  </si>
  <si>
    <t xml:space="preserve">C000553</t>
  </si>
  <si>
    <t xml:space="preserve">DX-202</t>
  </si>
  <si>
    <t xml:space="preserve">PR-5990</t>
  </si>
  <si>
    <t xml:space="preserve">C000554</t>
  </si>
  <si>
    <t xml:space="preserve">DX-947</t>
  </si>
  <si>
    <t xml:space="preserve">PR-6777</t>
  </si>
  <si>
    <t xml:space="preserve">C000555</t>
  </si>
  <si>
    <t xml:space="preserve">PR-7722</t>
  </si>
  <si>
    <t xml:space="preserve">C000556</t>
  </si>
  <si>
    <t xml:space="preserve">PR-2768</t>
  </si>
  <si>
    <t xml:space="preserve">C000557</t>
  </si>
  <si>
    <t xml:space="preserve">DX-382</t>
  </si>
  <si>
    <t xml:space="preserve">PR-6067</t>
  </si>
  <si>
    <t xml:space="preserve">C000558</t>
  </si>
  <si>
    <t xml:space="preserve">DX-108</t>
  </si>
  <si>
    <t xml:space="preserve">PR-9174</t>
  </si>
  <si>
    <t xml:space="preserve">C000559</t>
  </si>
  <si>
    <t xml:space="preserve">DX-115</t>
  </si>
  <si>
    <t xml:space="preserve">PR-8436</t>
  </si>
  <si>
    <t xml:space="preserve">C000560</t>
  </si>
  <si>
    <t xml:space="preserve">PR-5641</t>
  </si>
  <si>
    <t xml:space="preserve">C000561</t>
  </si>
  <si>
    <t xml:space="preserve">PR-1526</t>
  </si>
  <si>
    <t xml:space="preserve">C000562</t>
  </si>
  <si>
    <t xml:space="preserve">DX-277</t>
  </si>
  <si>
    <t xml:space="preserve">PR-8140</t>
  </si>
  <si>
    <t xml:space="preserve">C000563</t>
  </si>
  <si>
    <t xml:space="preserve">DX-680</t>
  </si>
  <si>
    <t xml:space="preserve">PR-8555</t>
  </si>
  <si>
    <t xml:space="preserve">C000564</t>
  </si>
  <si>
    <t xml:space="preserve">DX-530</t>
  </si>
  <si>
    <t xml:space="preserve">PR-7721</t>
  </si>
  <si>
    <t xml:space="preserve">C000565</t>
  </si>
  <si>
    <t xml:space="preserve">DX-230</t>
  </si>
  <si>
    <t xml:space="preserve">PR-9900</t>
  </si>
  <si>
    <t xml:space="preserve">C000566</t>
  </si>
  <si>
    <t xml:space="preserve">PR-2753</t>
  </si>
  <si>
    <t xml:space="preserve">C000567</t>
  </si>
  <si>
    <t xml:space="preserve">DX-239</t>
  </si>
  <si>
    <t xml:space="preserve">PR-4662</t>
  </si>
  <si>
    <t xml:space="preserve">C000568</t>
  </si>
  <si>
    <t xml:space="preserve">DX-256</t>
  </si>
  <si>
    <t xml:space="preserve">PR-2983</t>
  </si>
  <si>
    <t xml:space="preserve">C000569</t>
  </si>
  <si>
    <t xml:space="preserve">DX-939</t>
  </si>
  <si>
    <t xml:space="preserve">PR-4849</t>
  </si>
  <si>
    <t xml:space="preserve">C000570</t>
  </si>
  <si>
    <t xml:space="preserve">DX-245</t>
  </si>
  <si>
    <t xml:space="preserve">PR-4943</t>
  </si>
  <si>
    <t xml:space="preserve">C000571</t>
  </si>
  <si>
    <t xml:space="preserve">DX-495</t>
  </si>
  <si>
    <t xml:space="preserve">PR-2758</t>
  </si>
  <si>
    <t xml:space="preserve">C000572</t>
  </si>
  <si>
    <t xml:space="preserve">PR-6811</t>
  </si>
  <si>
    <t xml:space="preserve">C000573</t>
  </si>
  <si>
    <t xml:space="preserve">DX-625</t>
  </si>
  <si>
    <t xml:space="preserve">PR-2028</t>
  </si>
  <si>
    <t xml:space="preserve">C000574</t>
  </si>
  <si>
    <t xml:space="preserve">C000575</t>
  </si>
  <si>
    <t xml:space="preserve">PR-6703</t>
  </si>
  <si>
    <t xml:space="preserve">C000576</t>
  </si>
  <si>
    <t xml:space="preserve">M0256</t>
  </si>
  <si>
    <t xml:space="preserve">PR-4793</t>
  </si>
  <si>
    <t xml:space="preserve">C000577</t>
  </si>
  <si>
    <t xml:space="preserve">PR-2194</t>
  </si>
  <si>
    <t xml:space="preserve">C000578</t>
  </si>
  <si>
    <t xml:space="preserve">PR-5136</t>
  </si>
  <si>
    <t xml:space="preserve">C000579</t>
  </si>
  <si>
    <t xml:space="preserve">PR-1544</t>
  </si>
  <si>
    <t xml:space="preserve">C000580</t>
  </si>
  <si>
    <t xml:space="preserve">DX-612</t>
  </si>
  <si>
    <t xml:space="preserve">PR-6768</t>
  </si>
  <si>
    <t xml:space="preserve">C000581</t>
  </si>
  <si>
    <t xml:space="preserve">PR-2932</t>
  </si>
  <si>
    <t xml:space="preserve">C000582</t>
  </si>
  <si>
    <t xml:space="preserve">DX-993</t>
  </si>
  <si>
    <t xml:space="preserve">PR-3586</t>
  </si>
  <si>
    <t xml:space="preserve">C000583</t>
  </si>
  <si>
    <t xml:space="preserve">M0280</t>
  </si>
  <si>
    <t xml:space="preserve">DX-369</t>
  </si>
  <si>
    <t xml:space="preserve">PR-1491</t>
  </si>
  <si>
    <t xml:space="preserve">C000584</t>
  </si>
  <si>
    <t xml:space="preserve">PR-1579</t>
  </si>
  <si>
    <t xml:space="preserve">C000585</t>
  </si>
  <si>
    <t xml:space="preserve">DX-206</t>
  </si>
  <si>
    <t xml:space="preserve">PR-1583</t>
  </si>
  <si>
    <t xml:space="preserve">C000586</t>
  </si>
  <si>
    <t xml:space="preserve">PR-7215</t>
  </si>
  <si>
    <t xml:space="preserve">C000587</t>
  </si>
  <si>
    <t xml:space="preserve">M0219</t>
  </si>
  <si>
    <t xml:space="preserve">DX-548</t>
  </si>
  <si>
    <t xml:space="preserve">PR-2933</t>
  </si>
  <si>
    <t xml:space="preserve">C000588</t>
  </si>
  <si>
    <t xml:space="preserve">DX-921</t>
  </si>
  <si>
    <t xml:space="preserve">C000589</t>
  </si>
  <si>
    <t xml:space="preserve">DX-590</t>
  </si>
  <si>
    <t xml:space="preserve">PR-3005</t>
  </si>
  <si>
    <t xml:space="preserve">C000590</t>
  </si>
  <si>
    <t xml:space="preserve">PR-5795</t>
  </si>
  <si>
    <t xml:space="preserve">C000591</t>
  </si>
  <si>
    <t xml:space="preserve">DX-240</t>
  </si>
  <si>
    <t xml:space="preserve">C000592</t>
  </si>
  <si>
    <t xml:space="preserve">M0226</t>
  </si>
  <si>
    <t xml:space="preserve">PR-1348</t>
  </si>
  <si>
    <t xml:space="preserve">C000593</t>
  </si>
  <si>
    <t xml:space="preserve">DX-493</t>
  </si>
  <si>
    <t xml:space="preserve">PR-8274</t>
  </si>
  <si>
    <t xml:space="preserve">C000594</t>
  </si>
  <si>
    <t xml:space="preserve">PR-5301</t>
  </si>
  <si>
    <t xml:space="preserve">C000595</t>
  </si>
  <si>
    <t xml:space="preserve">DX-979</t>
  </si>
  <si>
    <t xml:space="preserve">PR-9761</t>
  </si>
  <si>
    <t xml:space="preserve">C000596</t>
  </si>
  <si>
    <t xml:space="preserve">PR-5094</t>
  </si>
  <si>
    <t xml:space="preserve">C000597</t>
  </si>
  <si>
    <t xml:space="preserve">DX-956</t>
  </si>
  <si>
    <t xml:space="preserve">PR-5333</t>
  </si>
  <si>
    <t xml:space="preserve">C000598</t>
  </si>
  <si>
    <t xml:space="preserve">PR-6145</t>
  </si>
  <si>
    <t xml:space="preserve">C000599</t>
  </si>
  <si>
    <t xml:space="preserve">DX-338</t>
  </si>
  <si>
    <t xml:space="preserve">PR-2875</t>
  </si>
  <si>
    <t xml:space="preserve">C000600</t>
  </si>
  <si>
    <t xml:space="preserve">PR-6789</t>
  </si>
  <si>
    <t xml:space="preserve">C000601</t>
  </si>
  <si>
    <t xml:space="preserve">C000602</t>
  </si>
  <si>
    <t xml:space="preserve">DX-264</t>
  </si>
  <si>
    <t xml:space="preserve">PR-7034</t>
  </si>
  <si>
    <t xml:space="preserve">C000603</t>
  </si>
  <si>
    <t xml:space="preserve">DX-772</t>
  </si>
  <si>
    <t xml:space="preserve">PR-3458</t>
  </si>
  <si>
    <t xml:space="preserve">C000604</t>
  </si>
  <si>
    <t xml:space="preserve">PR-8738</t>
  </si>
  <si>
    <t xml:space="preserve">C000605</t>
  </si>
  <si>
    <t xml:space="preserve">DX-566</t>
  </si>
  <si>
    <t xml:space="preserve">PR-6157</t>
  </si>
  <si>
    <t xml:space="preserve">C000606</t>
  </si>
  <si>
    <t xml:space="preserve">DX-559</t>
  </si>
  <si>
    <t xml:space="preserve">PR-7862</t>
  </si>
  <si>
    <t xml:space="preserve">C000607</t>
  </si>
  <si>
    <t xml:space="preserve">PR-7692</t>
  </si>
  <si>
    <t xml:space="preserve">C000608</t>
  </si>
  <si>
    <t xml:space="preserve">PR-8698</t>
  </si>
  <si>
    <t xml:space="preserve">C000609</t>
  </si>
  <si>
    <t xml:space="preserve">M0264</t>
  </si>
  <si>
    <t xml:space="preserve">DX-462</t>
  </si>
  <si>
    <t xml:space="preserve">PR-3088</t>
  </si>
  <si>
    <t xml:space="preserve">C000610</t>
  </si>
  <si>
    <t xml:space="preserve">PR-6815</t>
  </si>
  <si>
    <t xml:space="preserve">C000611</t>
  </si>
  <si>
    <t xml:space="preserve">DX-255</t>
  </si>
  <si>
    <t xml:space="preserve">PR-1127</t>
  </si>
  <si>
    <t xml:space="preserve">C000612</t>
  </si>
  <si>
    <t xml:space="preserve">PR-9082</t>
  </si>
  <si>
    <t xml:space="preserve">C000613</t>
  </si>
  <si>
    <t xml:space="preserve">PR-1687</t>
  </si>
  <si>
    <t xml:space="preserve">C000614</t>
  </si>
  <si>
    <t xml:space="preserve">PR-8191</t>
  </si>
  <si>
    <t xml:space="preserve">C000615</t>
  </si>
  <si>
    <t xml:space="preserve">DX-128</t>
  </si>
  <si>
    <t xml:space="preserve">PR-1651</t>
  </si>
  <si>
    <t xml:space="preserve">C000616</t>
  </si>
  <si>
    <t xml:space="preserve">DX-402</t>
  </si>
  <si>
    <t xml:space="preserve">PR-2795</t>
  </si>
  <si>
    <t xml:space="preserve">C000617</t>
  </si>
  <si>
    <t xml:space="preserve">PR-2218</t>
  </si>
  <si>
    <t xml:space="preserve">C000618</t>
  </si>
  <si>
    <t xml:space="preserve">M0020</t>
  </si>
  <si>
    <t xml:space="preserve">DX-294</t>
  </si>
  <si>
    <t xml:space="preserve">C000619</t>
  </si>
  <si>
    <t xml:space="preserve">PR-9138</t>
  </si>
  <si>
    <t xml:space="preserve">C000620</t>
  </si>
  <si>
    <t xml:space="preserve">PR-3918</t>
  </si>
  <si>
    <t xml:space="preserve">C000621</t>
  </si>
  <si>
    <t xml:space="preserve">DX-998</t>
  </si>
  <si>
    <t xml:space="preserve">PR-5916</t>
  </si>
  <si>
    <t xml:space="preserve">C000622</t>
  </si>
  <si>
    <t xml:space="preserve">DX-529</t>
  </si>
  <si>
    <t xml:space="preserve">PR-8326</t>
  </si>
  <si>
    <t xml:space="preserve">C000623</t>
  </si>
  <si>
    <t xml:space="preserve">M0066</t>
  </si>
  <si>
    <t xml:space="preserve">DX-715</t>
  </si>
  <si>
    <t xml:space="preserve">PR-7750</t>
  </si>
  <si>
    <t xml:space="preserve">C000624</t>
  </si>
  <si>
    <t xml:space="preserve">DX-500</t>
  </si>
  <si>
    <t xml:space="preserve">PR-8240</t>
  </si>
  <si>
    <t xml:space="preserve">C000625</t>
  </si>
  <si>
    <t xml:space="preserve">DX-648</t>
  </si>
  <si>
    <t xml:space="preserve">PR-4378</t>
  </si>
  <si>
    <t xml:space="preserve">C000626</t>
  </si>
  <si>
    <t xml:space="preserve">DX-461</t>
  </si>
  <si>
    <t xml:space="preserve">PR-2039</t>
  </si>
  <si>
    <t xml:space="preserve">C000627</t>
  </si>
  <si>
    <t xml:space="preserve">DX-523</t>
  </si>
  <si>
    <t xml:space="preserve">PR-4532</t>
  </si>
  <si>
    <t xml:space="preserve">C000628</t>
  </si>
  <si>
    <t xml:space="preserve">PR-1397</t>
  </si>
  <si>
    <t xml:space="preserve">C000629</t>
  </si>
  <si>
    <t xml:space="preserve">DX-178</t>
  </si>
  <si>
    <t xml:space="preserve">PR-2210</t>
  </si>
  <si>
    <t xml:space="preserve">C000630</t>
  </si>
  <si>
    <t xml:space="preserve">PR-6114</t>
  </si>
  <si>
    <t xml:space="preserve">C000631</t>
  </si>
  <si>
    <t xml:space="preserve">PR-7657</t>
  </si>
  <si>
    <t xml:space="preserve">C000632</t>
  </si>
  <si>
    <t xml:space="preserve">M0202</t>
  </si>
  <si>
    <t xml:space="preserve">DX-563</t>
  </si>
  <si>
    <t xml:space="preserve">PR-4671</t>
  </si>
  <si>
    <t xml:space="preserve">C000633</t>
  </si>
  <si>
    <t xml:space="preserve">DX-312</t>
  </si>
  <si>
    <t xml:space="preserve">PR-9025</t>
  </si>
  <si>
    <t xml:space="preserve">C000634</t>
  </si>
  <si>
    <t xml:space="preserve">M0031</t>
  </si>
  <si>
    <t xml:space="preserve">PR-6102</t>
  </si>
  <si>
    <t xml:space="preserve">C000635</t>
  </si>
  <si>
    <t xml:space="preserve">DX-420</t>
  </si>
  <si>
    <t xml:space="preserve">PR-4862</t>
  </si>
  <si>
    <t xml:space="preserve">C000636</t>
  </si>
  <si>
    <t xml:space="preserve">M0218</t>
  </si>
  <si>
    <t xml:space="preserve">PR-1223</t>
  </si>
  <si>
    <t xml:space="preserve">C000637</t>
  </si>
  <si>
    <t xml:space="preserve">DX-243</t>
  </si>
  <si>
    <t xml:space="preserve">PR-9963</t>
  </si>
  <si>
    <t xml:space="preserve">C000638</t>
  </si>
  <si>
    <t xml:space="preserve">DX-677</t>
  </si>
  <si>
    <t xml:space="preserve">PR-3718</t>
  </si>
  <si>
    <t xml:space="preserve">C000639</t>
  </si>
  <si>
    <t xml:space="preserve">PR-3217</t>
  </si>
  <si>
    <t xml:space="preserve">C000640</t>
  </si>
  <si>
    <t xml:space="preserve">PR-2537</t>
  </si>
  <si>
    <t xml:space="preserve">C000641</t>
  </si>
  <si>
    <t xml:space="preserve">M0177</t>
  </si>
  <si>
    <t xml:space="preserve">DX-381</t>
  </si>
  <si>
    <t xml:space="preserve">PR-5656</t>
  </si>
  <si>
    <t xml:space="preserve">C000642</t>
  </si>
  <si>
    <t xml:space="preserve">PR-4546</t>
  </si>
  <si>
    <t xml:space="preserve">C000643</t>
  </si>
  <si>
    <t xml:space="preserve">DX-926</t>
  </si>
  <si>
    <t xml:space="preserve">PR-8756</t>
  </si>
  <si>
    <t xml:space="preserve">C000644</t>
  </si>
  <si>
    <t xml:space="preserve">M0074</t>
  </si>
  <si>
    <t xml:space="preserve">PR-2274</t>
  </si>
  <si>
    <t xml:space="preserve">C000645</t>
  </si>
  <si>
    <t xml:space="preserve">PR-8773</t>
  </si>
  <si>
    <t xml:space="preserve">C000646</t>
  </si>
  <si>
    <t xml:space="preserve">PR-5104</t>
  </si>
  <si>
    <t xml:space="preserve">C000647</t>
  </si>
  <si>
    <t xml:space="preserve">PR-4129</t>
  </si>
  <si>
    <t xml:space="preserve">C000648</t>
  </si>
  <si>
    <t xml:space="preserve">PR-7043</t>
  </si>
  <si>
    <t xml:space="preserve">C000649</t>
  </si>
  <si>
    <t xml:space="preserve">PR-8713</t>
  </si>
  <si>
    <t xml:space="preserve">C000650</t>
  </si>
  <si>
    <t xml:space="preserve">PR-3898</t>
  </si>
  <si>
    <t xml:space="preserve">C000651</t>
  </si>
  <si>
    <t xml:space="preserve">DX-440</t>
  </si>
  <si>
    <t xml:space="preserve">C000652</t>
  </si>
  <si>
    <t xml:space="preserve">DX-846</t>
  </si>
  <si>
    <t xml:space="preserve">PR-5368</t>
  </si>
  <si>
    <t xml:space="preserve">C000653</t>
  </si>
  <si>
    <t xml:space="preserve">DX-220</t>
  </si>
  <si>
    <t xml:space="preserve">PR-6594</t>
  </si>
  <si>
    <t xml:space="preserve">C000654</t>
  </si>
  <si>
    <t xml:space="preserve">DX-885</t>
  </si>
  <si>
    <t xml:space="preserve">PR-3774</t>
  </si>
  <si>
    <t xml:space="preserve">C000655</t>
  </si>
  <si>
    <t xml:space="preserve">PR-5703</t>
  </si>
  <si>
    <t xml:space="preserve">C000656</t>
  </si>
  <si>
    <t xml:space="preserve">DX-370</t>
  </si>
  <si>
    <t xml:space="preserve">PR-2514</t>
  </si>
  <si>
    <t xml:space="preserve">C000657</t>
  </si>
  <si>
    <t xml:space="preserve">DX-650</t>
  </si>
  <si>
    <t xml:space="preserve">PR-4451</t>
  </si>
  <si>
    <t xml:space="preserve">C000658</t>
  </si>
  <si>
    <t xml:space="preserve">PR-8662</t>
  </si>
  <si>
    <t xml:space="preserve">C000659</t>
  </si>
  <si>
    <t xml:space="preserve">DX-774</t>
  </si>
  <si>
    <t xml:space="preserve">PR-1554</t>
  </si>
  <si>
    <t xml:space="preserve">C000660</t>
  </si>
  <si>
    <t xml:space="preserve">DX-266</t>
  </si>
  <si>
    <t xml:space="preserve">PR-8648</t>
  </si>
  <si>
    <t xml:space="preserve">C000661</t>
  </si>
  <si>
    <t xml:space="preserve">PR-6535</t>
  </si>
  <si>
    <t xml:space="preserve">C000662</t>
  </si>
  <si>
    <t xml:space="preserve">PR-7565</t>
  </si>
  <si>
    <t xml:space="preserve">C000663</t>
  </si>
  <si>
    <t xml:space="preserve">DX-779</t>
  </si>
  <si>
    <t xml:space="preserve">C000664</t>
  </si>
  <si>
    <t xml:space="preserve">DX-182</t>
  </si>
  <si>
    <t xml:space="preserve">PR-4024</t>
  </si>
  <si>
    <t xml:space="preserve">C000665</t>
  </si>
  <si>
    <t xml:space="preserve">C000666</t>
  </si>
  <si>
    <t xml:space="preserve">DX-881</t>
  </si>
  <si>
    <t xml:space="preserve">C000667</t>
  </si>
  <si>
    <t xml:space="preserve">C000668</t>
  </si>
  <si>
    <t xml:space="preserve">DX-145</t>
  </si>
  <si>
    <t xml:space="preserve">PR-4460</t>
  </si>
  <si>
    <t xml:space="preserve">C000669</t>
  </si>
  <si>
    <t xml:space="preserve">DX-267</t>
  </si>
  <si>
    <t xml:space="preserve">PR-7524</t>
  </si>
  <si>
    <t xml:space="preserve">C000670</t>
  </si>
  <si>
    <t xml:space="preserve">DX-802</t>
  </si>
  <si>
    <t xml:space="preserve">PR-8449</t>
  </si>
  <si>
    <t xml:space="preserve">C000671</t>
  </si>
  <si>
    <t xml:space="preserve">PR-6489</t>
  </si>
  <si>
    <t xml:space="preserve">C000672</t>
  </si>
  <si>
    <t xml:space="preserve">DX-302</t>
  </si>
  <si>
    <t xml:space="preserve">C000673</t>
  </si>
  <si>
    <t xml:space="preserve">DX-358</t>
  </si>
  <si>
    <t xml:space="preserve">PR-7974</t>
  </si>
  <si>
    <t xml:space="preserve">C000674</t>
  </si>
  <si>
    <t xml:space="preserve">C000675</t>
  </si>
  <si>
    <t xml:space="preserve">DX-805</t>
  </si>
  <si>
    <t xml:space="preserve">PR-4999</t>
  </si>
  <si>
    <t xml:space="preserve">C000676</t>
  </si>
  <si>
    <t xml:space="preserve">C000677</t>
  </si>
  <si>
    <t xml:space="preserve">C000678</t>
  </si>
  <si>
    <t xml:space="preserve">PR-9217</t>
  </si>
  <si>
    <t xml:space="preserve">C000679</t>
  </si>
  <si>
    <t xml:space="preserve">PR-5375</t>
  </si>
  <si>
    <t xml:space="preserve">C000680</t>
  </si>
  <si>
    <t xml:space="preserve">M0148</t>
  </si>
  <si>
    <t xml:space="preserve">PR-7893</t>
  </si>
  <si>
    <t xml:space="preserve">C000681</t>
  </si>
  <si>
    <t xml:space="preserve">PR-9720</t>
  </si>
  <si>
    <t xml:space="preserve">C000682</t>
  </si>
  <si>
    <t xml:space="preserve">PR-9676</t>
  </si>
  <si>
    <t xml:space="preserve">C000683</t>
  </si>
  <si>
    <t xml:space="preserve">M0290</t>
  </si>
  <si>
    <t xml:space="preserve">PR-5651</t>
  </si>
  <si>
    <t xml:space="preserve">C000684</t>
  </si>
  <si>
    <t xml:space="preserve">PR-5740</t>
  </si>
  <si>
    <t xml:space="preserve">C000685</t>
  </si>
  <si>
    <t xml:space="preserve">DX-888</t>
  </si>
  <si>
    <t xml:space="preserve">PR-6950</t>
  </si>
  <si>
    <t xml:space="preserve">C000686</t>
  </si>
  <si>
    <t xml:space="preserve">PR-8363</t>
  </si>
  <si>
    <t xml:space="preserve">C000687</t>
  </si>
  <si>
    <t xml:space="preserve">M0051</t>
  </si>
  <si>
    <t xml:space="preserve">C000688</t>
  </si>
  <si>
    <t xml:space="preserve">PR-8731</t>
  </si>
  <si>
    <t xml:space="preserve">C000689</t>
  </si>
  <si>
    <t xml:space="preserve">PR-4920</t>
  </si>
  <si>
    <t xml:space="preserve">C000690</t>
  </si>
  <si>
    <t xml:space="preserve">M0236</t>
  </si>
  <si>
    <t xml:space="preserve">DX-347</t>
  </si>
  <si>
    <t xml:space="preserve">PR-3897</t>
  </si>
  <si>
    <t xml:space="preserve">C000691</t>
  </si>
  <si>
    <t xml:space="preserve">DX-866</t>
  </si>
  <si>
    <t xml:space="preserve">PR-1529</t>
  </si>
  <si>
    <t xml:space="preserve">C000692</t>
  </si>
  <si>
    <t xml:space="preserve">PR-9751</t>
  </si>
  <si>
    <t xml:space="preserve">C000693</t>
  </si>
  <si>
    <t xml:space="preserve">PR-3032</t>
  </si>
  <si>
    <t xml:space="preserve">C000694</t>
  </si>
  <si>
    <t xml:space="preserve">PR-2591</t>
  </si>
  <si>
    <t xml:space="preserve">C000695</t>
  </si>
  <si>
    <t xml:space="preserve">DX-906</t>
  </si>
  <si>
    <t xml:space="preserve">PR-8378</t>
  </si>
  <si>
    <t xml:space="preserve">C000696</t>
  </si>
  <si>
    <t xml:space="preserve">DX-830</t>
  </si>
  <si>
    <t xml:space="preserve">PR-5771</t>
  </si>
  <si>
    <t xml:space="preserve">C000697</t>
  </si>
  <si>
    <t xml:space="preserve">PR-5789</t>
  </si>
  <si>
    <t xml:space="preserve">C000698</t>
  </si>
  <si>
    <t xml:space="preserve">DX-588</t>
  </si>
  <si>
    <t xml:space="preserve">PR-3791</t>
  </si>
  <si>
    <t xml:space="preserve">C000699</t>
  </si>
  <si>
    <t xml:space="preserve">DX-488</t>
  </si>
  <si>
    <t xml:space="preserve">PR-1233</t>
  </si>
  <si>
    <t xml:space="preserve">C000700</t>
  </si>
  <si>
    <t xml:space="preserve">DX-683</t>
  </si>
  <si>
    <t xml:space="preserve">PR-1199</t>
  </si>
  <si>
    <t xml:space="preserve">C000701</t>
  </si>
  <si>
    <t xml:space="preserve">C000702</t>
  </si>
  <si>
    <t xml:space="preserve">DX-281</t>
  </si>
  <si>
    <t xml:space="preserve">PR-1659</t>
  </si>
  <si>
    <t xml:space="preserve">C000703</t>
  </si>
  <si>
    <t xml:space="preserve">PR-4996</t>
  </si>
  <si>
    <t xml:space="preserve">C000704</t>
  </si>
  <si>
    <t xml:space="preserve">DX-185</t>
  </si>
  <si>
    <t xml:space="preserve">PR-8799</t>
  </si>
  <si>
    <t xml:space="preserve">C000705</t>
  </si>
  <si>
    <t xml:space="preserve">DX-703</t>
  </si>
  <si>
    <t xml:space="preserve">PR-8475</t>
  </si>
  <si>
    <t xml:space="preserve">C000706</t>
  </si>
  <si>
    <t xml:space="preserve">PR-9719</t>
  </si>
  <si>
    <t xml:space="preserve">C000707</t>
  </si>
  <si>
    <t xml:space="preserve">PR-3672</t>
  </si>
  <si>
    <t xml:space="preserve">C000708</t>
  </si>
  <si>
    <t xml:space="preserve">PR-4797</t>
  </si>
  <si>
    <t xml:space="preserve">C000709</t>
  </si>
  <si>
    <t xml:space="preserve">DX-260</t>
  </si>
  <si>
    <t xml:space="preserve">PR-4144</t>
  </si>
  <si>
    <t xml:space="preserve">C000710</t>
  </si>
  <si>
    <t xml:space="preserve">M0214</t>
  </si>
  <si>
    <t xml:space="preserve">PR-5306</t>
  </si>
  <si>
    <t xml:space="preserve">C000711</t>
  </si>
  <si>
    <t xml:space="preserve">PR-7834</t>
  </si>
  <si>
    <t xml:space="preserve">C000712</t>
  </si>
  <si>
    <t xml:space="preserve">DX-313</t>
  </si>
  <si>
    <t xml:space="preserve">PR-5193</t>
  </si>
  <si>
    <t xml:space="preserve">C000713</t>
  </si>
  <si>
    <t xml:space="preserve">PR-5488</t>
  </si>
  <si>
    <t xml:space="preserve">C000714</t>
  </si>
  <si>
    <t xml:space="preserve">DX-355</t>
  </si>
  <si>
    <t xml:space="preserve">PR-5589</t>
  </si>
  <si>
    <t xml:space="preserve">C000715</t>
  </si>
  <si>
    <t xml:space="preserve">PR-7779</t>
  </si>
  <si>
    <t xml:space="preserve">C000716</t>
  </si>
  <si>
    <t xml:space="preserve">PR-2114</t>
  </si>
  <si>
    <t xml:space="preserve">C000717</t>
  </si>
  <si>
    <t xml:space="preserve">DX-571</t>
  </si>
  <si>
    <t xml:space="preserve">PR-6934</t>
  </si>
  <si>
    <t xml:space="preserve">C000718</t>
  </si>
  <si>
    <t xml:space="preserve">PR-9657</t>
  </si>
  <si>
    <t xml:space="preserve">C000719</t>
  </si>
  <si>
    <t xml:space="preserve">PR-2099</t>
  </si>
  <si>
    <t xml:space="preserve">C000720</t>
  </si>
  <si>
    <t xml:space="preserve">PR-2197</t>
  </si>
  <si>
    <t xml:space="preserve">C000721</t>
  </si>
  <si>
    <t xml:space="preserve">PR-9646</t>
  </si>
  <si>
    <t xml:space="preserve">C000722</t>
  </si>
  <si>
    <t xml:space="preserve">DX-254</t>
  </si>
  <si>
    <t xml:space="preserve">PR-5241</t>
  </si>
  <si>
    <t xml:space="preserve">C000723</t>
  </si>
  <si>
    <t xml:space="preserve">DX-311</t>
  </si>
  <si>
    <t xml:space="preserve">PR-6054</t>
  </si>
  <si>
    <t xml:space="preserve">C000724</t>
  </si>
  <si>
    <t xml:space="preserve">PR-4421</t>
  </si>
  <si>
    <t xml:space="preserve">C000725</t>
  </si>
  <si>
    <t xml:space="preserve">PR-7145</t>
  </si>
  <si>
    <t xml:space="preserve">C000726</t>
  </si>
  <si>
    <t xml:space="preserve">PR-4434</t>
  </si>
  <si>
    <t xml:space="preserve">C000727</t>
  </si>
  <si>
    <t xml:space="preserve">PR-2834</t>
  </si>
  <si>
    <t xml:space="preserve">C000728</t>
  </si>
  <si>
    <t xml:space="preserve">PR-2383</t>
  </si>
  <si>
    <t xml:space="preserve">C000729</t>
  </si>
  <si>
    <t xml:space="preserve">PR-9497</t>
  </si>
  <si>
    <t xml:space="preserve">C000730</t>
  </si>
  <si>
    <t xml:space="preserve">DX-278</t>
  </si>
  <si>
    <t xml:space="preserve">PR-9496</t>
  </si>
  <si>
    <t xml:space="preserve">C000731</t>
  </si>
  <si>
    <t xml:space="preserve">PR-5344</t>
  </si>
  <si>
    <t xml:space="preserve">C000732</t>
  </si>
  <si>
    <t xml:space="preserve">DX-261</t>
  </si>
  <si>
    <t xml:space="preserve">PR-2640</t>
  </si>
  <si>
    <t xml:space="preserve">C000733</t>
  </si>
  <si>
    <t xml:space="preserve">PR-8802</t>
  </si>
  <si>
    <t xml:space="preserve">C000734</t>
  </si>
  <si>
    <t xml:space="preserve">PR-4593</t>
  </si>
  <si>
    <t xml:space="preserve">C000735</t>
  </si>
  <si>
    <t xml:space="preserve">DX-847</t>
  </si>
  <si>
    <t xml:space="preserve">PR-5933</t>
  </si>
  <si>
    <t xml:space="preserve">C000736</t>
  </si>
  <si>
    <t xml:space="preserve">PR-3379</t>
  </si>
  <si>
    <t xml:space="preserve">C000737</t>
  </si>
  <si>
    <t xml:space="preserve">DX-955</t>
  </si>
  <si>
    <t xml:space="preserve">PR-4896</t>
  </si>
  <si>
    <t xml:space="preserve">C000738</t>
  </si>
  <si>
    <t xml:space="preserve">DX-658</t>
  </si>
  <si>
    <t xml:space="preserve">PR-8206</t>
  </si>
  <si>
    <t xml:space="preserve">C000739</t>
  </si>
  <si>
    <t xml:space="preserve">PR-2581</t>
  </si>
  <si>
    <t xml:space="preserve">C000740</t>
  </si>
  <si>
    <t xml:space="preserve">DX-223</t>
  </si>
  <si>
    <t xml:space="preserve">PR-5844</t>
  </si>
  <si>
    <t xml:space="preserve">C000741</t>
  </si>
  <si>
    <t xml:space="preserve">PR-4634</t>
  </si>
  <si>
    <t xml:space="preserve">C000742</t>
  </si>
  <si>
    <t xml:space="preserve">M0273</t>
  </si>
  <si>
    <t xml:space="preserve">PR-9697</t>
  </si>
  <si>
    <t xml:space="preserve">C000743</t>
  </si>
  <si>
    <t xml:space="preserve">DX-978</t>
  </si>
  <si>
    <t xml:space="preserve">PR-4312</t>
  </si>
  <si>
    <t xml:space="preserve">C000744</t>
  </si>
  <si>
    <t xml:space="preserve">PR-5117</t>
  </si>
  <si>
    <t xml:space="preserve">C000745</t>
  </si>
  <si>
    <t xml:space="preserve">DX-882</t>
  </si>
  <si>
    <t xml:space="preserve">PR-4972</t>
  </si>
  <si>
    <t xml:space="preserve">C000746</t>
  </si>
  <si>
    <t xml:space="preserve">DX-843</t>
  </si>
  <si>
    <t xml:space="preserve">PR-3487</t>
  </si>
  <si>
    <t xml:space="preserve">C000747</t>
  </si>
  <si>
    <t xml:space="preserve">DX-405</t>
  </si>
  <si>
    <t xml:space="preserve">PR-3045</t>
  </si>
  <si>
    <t xml:space="preserve">C000748</t>
  </si>
  <si>
    <t xml:space="preserve">PR-8643</t>
  </si>
  <si>
    <t xml:space="preserve">C000749</t>
  </si>
  <si>
    <t xml:space="preserve">PR-9102</t>
  </si>
  <si>
    <t xml:space="preserve">C000750</t>
  </si>
  <si>
    <t xml:space="preserve">PR-5116</t>
  </si>
  <si>
    <t xml:space="preserve">C000751</t>
  </si>
  <si>
    <t xml:space="preserve">DX-899</t>
  </si>
  <si>
    <t xml:space="preserve">PR-8993</t>
  </si>
  <si>
    <t xml:space="preserve">C000752</t>
  </si>
  <si>
    <t xml:space="preserve">PR-2555</t>
  </si>
  <si>
    <t xml:space="preserve">C000753</t>
  </si>
  <si>
    <t xml:space="preserve">PR-8548</t>
  </si>
  <si>
    <t xml:space="preserve">C000754</t>
  </si>
  <si>
    <t xml:space="preserve">DX-745</t>
  </si>
  <si>
    <t xml:space="preserve">PR-6389</t>
  </si>
  <si>
    <t xml:space="preserve">C000755</t>
  </si>
  <si>
    <t xml:space="preserve">DX-556</t>
  </si>
  <si>
    <t xml:space="preserve">PR-1783</t>
  </si>
  <si>
    <t xml:space="preserve">C000756</t>
  </si>
  <si>
    <t xml:space="preserve">PR-9189</t>
  </si>
  <si>
    <t xml:space="preserve">C000757</t>
  </si>
  <si>
    <t xml:space="preserve">PR-9146</t>
  </si>
  <si>
    <t xml:space="preserve">C000758</t>
  </si>
  <si>
    <t xml:space="preserve">PR-1260</t>
  </si>
  <si>
    <t xml:space="preserve">C000759</t>
  </si>
  <si>
    <t xml:space="preserve">M0039</t>
  </si>
  <si>
    <t xml:space="preserve">PR-7629</t>
  </si>
  <si>
    <t xml:space="preserve">C000760</t>
  </si>
  <si>
    <t xml:space="preserve">DX-553</t>
  </si>
  <si>
    <t xml:space="preserve">PR-1668</t>
  </si>
  <si>
    <t xml:space="preserve">C000761</t>
  </si>
  <si>
    <t xml:space="preserve">DX-248</t>
  </si>
  <si>
    <t xml:space="preserve">PR-1203</t>
  </si>
  <si>
    <t xml:space="preserve">C000762</t>
  </si>
  <si>
    <t xml:space="preserve">PR-7342</t>
  </si>
  <si>
    <t xml:space="preserve">C000763</t>
  </si>
  <si>
    <t xml:space="preserve">DX-429</t>
  </si>
  <si>
    <t xml:space="preserve">PR-5045</t>
  </si>
  <si>
    <t xml:space="preserve">C000764</t>
  </si>
  <si>
    <t xml:space="preserve">DX-837</t>
  </si>
  <si>
    <t xml:space="preserve">PR-6707</t>
  </si>
  <si>
    <t xml:space="preserve">C000765</t>
  </si>
  <si>
    <t xml:space="preserve">M0225</t>
  </si>
  <si>
    <t xml:space="preserve">DX-166</t>
  </si>
  <si>
    <t xml:space="preserve">PR-3807</t>
  </si>
  <si>
    <t xml:space="preserve">C000766</t>
  </si>
  <si>
    <t xml:space="preserve">PR-5523</t>
  </si>
  <si>
    <t xml:space="preserve">C000767</t>
  </si>
  <si>
    <t xml:space="preserve">DX-417</t>
  </si>
  <si>
    <t xml:space="preserve">PR-9821</t>
  </si>
  <si>
    <t xml:space="preserve">C000768</t>
  </si>
  <si>
    <t xml:space="preserve">DX-701</t>
  </si>
  <si>
    <t xml:space="preserve">PR-2960</t>
  </si>
  <si>
    <t xml:space="preserve">C000769</t>
  </si>
  <si>
    <t xml:space="preserve">PR-2957</t>
  </si>
  <si>
    <t xml:space="preserve">C000770</t>
  </si>
  <si>
    <t xml:space="preserve">PR-6818</t>
  </si>
  <si>
    <t xml:space="preserve">C000771</t>
  </si>
  <si>
    <t xml:space="preserve">DX-636</t>
  </si>
  <si>
    <t xml:space="preserve">PR-5223</t>
  </si>
  <si>
    <t xml:space="preserve">C000772</t>
  </si>
  <si>
    <t xml:space="preserve">PR-7141</t>
  </si>
  <si>
    <t xml:space="preserve">C000773</t>
  </si>
  <si>
    <t xml:space="preserve">DX-687</t>
  </si>
  <si>
    <t xml:space="preserve">C000774</t>
  </si>
  <si>
    <t xml:space="preserve">DX-799</t>
  </si>
  <si>
    <t xml:space="preserve">PR-3955</t>
  </si>
  <si>
    <t xml:space="preserve">C000775</t>
  </si>
  <si>
    <t xml:space="preserve">DX-784</t>
  </si>
  <si>
    <t xml:space="preserve">C000776</t>
  </si>
  <si>
    <t xml:space="preserve">DX-968</t>
  </si>
  <si>
    <t xml:space="preserve">PR-9517</t>
  </si>
  <si>
    <t xml:space="preserve">C000777</t>
  </si>
  <si>
    <t xml:space="preserve">DX-558</t>
  </si>
  <si>
    <t xml:space="preserve">PR-4244</t>
  </si>
  <si>
    <t xml:space="preserve">C000778</t>
  </si>
  <si>
    <t xml:space="preserve">DX-889</t>
  </si>
  <si>
    <t xml:space="preserve">PR-1903</t>
  </si>
  <si>
    <t xml:space="preserve">C000779</t>
  </si>
  <si>
    <t xml:space="preserve">M0025</t>
  </si>
  <si>
    <t xml:space="preserve">PR-7306</t>
  </si>
  <si>
    <t xml:space="preserve">C000780</t>
  </si>
  <si>
    <t xml:space="preserve">PR-2616</t>
  </si>
  <si>
    <t xml:space="preserve">C000781</t>
  </si>
  <si>
    <t xml:space="preserve">PR-1077</t>
  </si>
  <si>
    <t xml:space="preserve">C000782</t>
  </si>
  <si>
    <t xml:space="preserve">DX-713</t>
  </si>
  <si>
    <t xml:space="preserve">PR-5033</t>
  </si>
  <si>
    <t xml:space="preserve">C000783</t>
  </si>
  <si>
    <t xml:space="preserve">PR-1167</t>
  </si>
  <si>
    <t xml:space="preserve">C000784</t>
  </si>
  <si>
    <t xml:space="preserve">PR-4653</t>
  </si>
  <si>
    <t xml:space="preserve">C000785</t>
  </si>
  <si>
    <t xml:space="preserve">DX-391</t>
  </si>
  <si>
    <t xml:space="preserve">PR-9786</t>
  </si>
  <si>
    <t xml:space="preserve">C000786</t>
  </si>
  <si>
    <t xml:space="preserve">PR-1584</t>
  </si>
  <si>
    <t xml:space="preserve">C000787</t>
  </si>
  <si>
    <t xml:space="preserve">PR-3338</t>
  </si>
  <si>
    <t xml:space="preserve">C000788</t>
  </si>
  <si>
    <t xml:space="preserve">C000789</t>
  </si>
  <si>
    <t xml:space="preserve">PR-4184</t>
  </si>
  <si>
    <t xml:space="preserve">C000790</t>
  </si>
  <si>
    <t xml:space="preserve">PR-2824</t>
  </si>
  <si>
    <t xml:space="preserve">C000791</t>
  </si>
  <si>
    <t xml:space="preserve">DX-106</t>
  </si>
  <si>
    <t xml:space="preserve">PR-7245</t>
  </si>
  <si>
    <t xml:space="preserve">C000792</t>
  </si>
  <si>
    <t xml:space="preserve">DX-685</t>
  </si>
  <si>
    <t xml:space="preserve">PR-7325</t>
  </si>
  <si>
    <t xml:space="preserve">C000793</t>
  </si>
  <si>
    <t xml:space="preserve">DX-649</t>
  </si>
  <si>
    <t xml:space="preserve">PR-6900</t>
  </si>
  <si>
    <t xml:space="preserve">C000794</t>
  </si>
  <si>
    <t xml:space="preserve">DX-542</t>
  </si>
  <si>
    <t xml:space="preserve">PR-5912</t>
  </si>
  <si>
    <t xml:space="preserve">C000795</t>
  </si>
  <si>
    <t xml:space="preserve">PR-7899</t>
  </si>
  <si>
    <t xml:space="preserve">C000796</t>
  </si>
  <si>
    <t xml:space="preserve">PR-4554</t>
  </si>
  <si>
    <t xml:space="preserve">C000797</t>
  </si>
  <si>
    <t xml:space="preserve">DX-759</t>
  </si>
  <si>
    <t xml:space="preserve">PR-6028</t>
  </si>
  <si>
    <t xml:space="preserve">C000798</t>
  </si>
  <si>
    <t xml:space="preserve">DX-664</t>
  </si>
  <si>
    <t xml:space="preserve">PR-3567</t>
  </si>
  <si>
    <t xml:space="preserve">C000799</t>
  </si>
  <si>
    <t xml:space="preserve">PR-7584</t>
  </si>
  <si>
    <t xml:space="preserve">C000800</t>
  </si>
  <si>
    <t xml:space="preserve">DX-792</t>
  </si>
  <si>
    <t xml:space="preserve">PR-2590</t>
  </si>
  <si>
    <t xml:space="preserve">C000801</t>
  </si>
  <si>
    <t xml:space="preserve">PR-6039</t>
  </si>
  <si>
    <t xml:space="preserve">C000802</t>
  </si>
  <si>
    <t xml:space="preserve">PR-3618</t>
  </si>
  <si>
    <t xml:space="preserve">C000803</t>
  </si>
  <si>
    <t xml:space="preserve">PR-3402</t>
  </si>
  <si>
    <t xml:space="preserve">C000804</t>
  </si>
  <si>
    <t xml:space="preserve">PR-1325</t>
  </si>
  <si>
    <t xml:space="preserve">C000805</t>
  </si>
  <si>
    <t xml:space="preserve">DX-253</t>
  </si>
  <si>
    <t xml:space="preserve">C000806</t>
  </si>
  <si>
    <t xml:space="preserve">M0009</t>
  </si>
  <si>
    <t xml:space="preserve">DX-273</t>
  </si>
  <si>
    <t xml:space="preserve">PR-6983</t>
  </si>
  <si>
    <t xml:space="preserve">C000807</t>
  </si>
  <si>
    <t xml:space="preserve">PR-6023</t>
  </si>
  <si>
    <t xml:space="preserve">C000808</t>
  </si>
  <si>
    <t xml:space="preserve">PR-1174</t>
  </si>
  <si>
    <t xml:space="preserve">C000809</t>
  </si>
  <si>
    <t xml:space="preserve">PR-6605</t>
  </si>
  <si>
    <t xml:space="preserve">C000810</t>
  </si>
  <si>
    <t xml:space="preserve">M0164</t>
  </si>
  <si>
    <t xml:space="preserve">PR-3105</t>
  </si>
  <si>
    <t xml:space="preserve">C000811</t>
  </si>
  <si>
    <t xml:space="preserve">PR-2153</t>
  </si>
  <si>
    <t xml:space="preserve">C000812</t>
  </si>
  <si>
    <t xml:space="preserve">PR-2329</t>
  </si>
  <si>
    <t xml:space="preserve">C000813</t>
  </si>
  <si>
    <t xml:space="preserve">PR-4232</t>
  </si>
  <si>
    <t xml:space="preserve">C000814</t>
  </si>
  <si>
    <t xml:space="preserve">DX-181</t>
  </si>
  <si>
    <t xml:space="preserve">PR-3881</t>
  </si>
  <si>
    <t xml:space="preserve">C000815</t>
  </si>
  <si>
    <t xml:space="preserve">C000816</t>
  </si>
  <si>
    <t xml:space="preserve">DX-643</t>
  </si>
  <si>
    <t xml:space="preserve">PR-1114</t>
  </si>
  <si>
    <t xml:space="preserve">C000817</t>
  </si>
  <si>
    <t xml:space="preserve">PR-2445</t>
  </si>
  <si>
    <t xml:space="preserve">C000818</t>
  </si>
  <si>
    <t xml:space="preserve">DX-466</t>
  </si>
  <si>
    <t xml:space="preserve">PR-8871</t>
  </si>
  <si>
    <t xml:space="preserve">C000819</t>
  </si>
  <si>
    <t xml:space="preserve">PR-7606</t>
  </si>
  <si>
    <t xml:space="preserve">C000820</t>
  </si>
  <si>
    <t xml:space="preserve">PR-6991</t>
  </si>
  <si>
    <t xml:space="preserve">C000821</t>
  </si>
  <si>
    <t xml:space="preserve">PR-6526</t>
  </si>
  <si>
    <t xml:space="preserve">C000822</t>
  </si>
  <si>
    <t xml:space="preserve">PR-8128</t>
  </si>
  <si>
    <t xml:space="preserve">C000823</t>
  </si>
  <si>
    <t xml:space="preserve">DX-922</t>
  </si>
  <si>
    <t xml:space="preserve">PR-4545</t>
  </si>
  <si>
    <t xml:space="preserve">C000824</t>
  </si>
  <si>
    <t xml:space="preserve">DX-642</t>
  </si>
  <si>
    <t xml:space="preserve">PR-5618</t>
  </si>
  <si>
    <t xml:space="preserve">C000825</t>
  </si>
  <si>
    <t xml:space="preserve">PR-6344</t>
  </si>
  <si>
    <t xml:space="preserve">C000826</t>
  </si>
  <si>
    <t xml:space="preserve">PR-4750</t>
  </si>
  <si>
    <t xml:space="preserve">C000827</t>
  </si>
  <si>
    <t xml:space="preserve">PR-6269</t>
  </si>
  <si>
    <t xml:space="preserve">C000828</t>
  </si>
  <si>
    <t xml:space="preserve">DX-910</t>
  </si>
  <si>
    <t xml:space="preserve">PR-5525</t>
  </si>
  <si>
    <t xml:space="preserve">C000829</t>
  </si>
  <si>
    <t xml:space="preserve">PR-6147</t>
  </si>
  <si>
    <t xml:space="preserve">C000830</t>
  </si>
  <si>
    <t xml:space="preserve">PR-7160</t>
  </si>
  <si>
    <t xml:space="preserve">C000831</t>
  </si>
  <si>
    <t xml:space="preserve">DX-557</t>
  </si>
  <si>
    <t xml:space="preserve">PR-7259</t>
  </si>
  <si>
    <t xml:space="preserve">C000832</t>
  </si>
  <si>
    <t xml:space="preserve">PR-1277</t>
  </si>
  <si>
    <t xml:space="preserve">C000833</t>
  </si>
  <si>
    <t xml:space="preserve">PR-6351</t>
  </si>
  <si>
    <t xml:space="preserve">C000834</t>
  </si>
  <si>
    <t xml:space="preserve">PR-2046</t>
  </si>
  <si>
    <t xml:space="preserve">C000835</t>
  </si>
  <si>
    <t xml:space="preserve">DX-868</t>
  </si>
  <si>
    <t xml:space="preserve">PR-2139</t>
  </si>
  <si>
    <t xml:space="preserve">C000836</t>
  </si>
  <si>
    <t xml:space="preserve">M0107</t>
  </si>
  <si>
    <t xml:space="preserve">PR-5272</t>
  </si>
  <si>
    <t xml:space="preserve">C000837</t>
  </si>
  <si>
    <t xml:space="preserve">PR-4811</t>
  </si>
  <si>
    <t xml:space="preserve">C000838</t>
  </si>
  <si>
    <t xml:space="preserve">PR-2113</t>
  </si>
  <si>
    <t xml:space="preserve">C000839</t>
  </si>
  <si>
    <t xml:space="preserve">PR-9785</t>
  </si>
  <si>
    <t xml:space="preserve">C000840</t>
  </si>
  <si>
    <t xml:space="preserve">DX-366</t>
  </si>
  <si>
    <t xml:space="preserve">PR-7432</t>
  </si>
  <si>
    <t xml:space="preserve">C000841</t>
  </si>
  <si>
    <t xml:space="preserve">DX-496</t>
  </si>
  <si>
    <t xml:space="preserve">PR-2748</t>
  </si>
  <si>
    <t xml:space="preserve">C000842</t>
  </si>
  <si>
    <t xml:space="preserve">PR-4765</t>
  </si>
  <si>
    <t xml:space="preserve">C000843</t>
  </si>
  <si>
    <t xml:space="preserve">C000844</t>
  </si>
  <si>
    <t xml:space="preserve">DX-977</t>
  </si>
  <si>
    <t xml:space="preserve">PR-1183</t>
  </si>
  <si>
    <t xml:space="preserve">C000845</t>
  </si>
  <si>
    <t xml:space="preserve">DX-177</t>
  </si>
  <si>
    <t xml:space="preserve">PR-5587</t>
  </si>
  <si>
    <t xml:space="preserve">C000846</t>
  </si>
  <si>
    <t xml:space="preserve">PR-3860</t>
  </si>
  <si>
    <t xml:space="preserve">C000847</t>
  </si>
  <si>
    <t xml:space="preserve">DX-164</t>
  </si>
  <si>
    <t xml:space="preserve">PR-3511</t>
  </si>
  <si>
    <t xml:space="preserve">C000848</t>
  </si>
  <si>
    <t xml:space="preserve">PR-5601</t>
  </si>
  <si>
    <t xml:space="preserve">C000849</t>
  </si>
  <si>
    <t xml:space="preserve">PR-1722</t>
  </si>
  <si>
    <t xml:space="preserve">C000850</t>
  </si>
  <si>
    <t xml:space="preserve">DX-567</t>
  </si>
  <si>
    <t xml:space="preserve">PR-8741</t>
  </si>
  <si>
    <t xml:space="preserve">C000851</t>
  </si>
  <si>
    <t xml:space="preserve">DX-481</t>
  </si>
  <si>
    <t xml:space="preserve">PR-8659</t>
  </si>
  <si>
    <t xml:space="preserve">C000852</t>
  </si>
  <si>
    <t xml:space="preserve">PR-6452</t>
  </si>
  <si>
    <t xml:space="preserve">C000853</t>
  </si>
  <si>
    <t xml:space="preserve">PR-3612</t>
  </si>
  <si>
    <t xml:space="preserve">C000854</t>
  </si>
  <si>
    <t xml:space="preserve">PR-1066</t>
  </si>
  <si>
    <t xml:space="preserve">C000855</t>
  </si>
  <si>
    <t xml:space="preserve">C000856</t>
  </si>
  <si>
    <t xml:space="preserve">PR-4085</t>
  </si>
  <si>
    <t xml:space="preserve">C000857</t>
  </si>
  <si>
    <t xml:space="preserve">C000858</t>
  </si>
  <si>
    <t xml:space="preserve">PR-7602</t>
  </si>
  <si>
    <t xml:space="preserve">C000859</t>
  </si>
  <si>
    <t xml:space="preserve">DX-611</t>
  </si>
  <si>
    <t xml:space="preserve">PR-6236</t>
  </si>
  <si>
    <t xml:space="preserve">C000860</t>
  </si>
  <si>
    <t xml:space="preserve">M0180</t>
  </si>
  <si>
    <t xml:space="preserve">PR-1633</t>
  </si>
  <si>
    <t xml:space="preserve">C000861</t>
  </si>
  <si>
    <t xml:space="preserve">C000862</t>
  </si>
  <si>
    <t xml:space="preserve">PR-8281</t>
  </si>
  <si>
    <t xml:space="preserve">C000863</t>
  </si>
  <si>
    <t xml:space="preserve">PR-8401</t>
  </si>
  <si>
    <t xml:space="preserve">C000864</t>
  </si>
  <si>
    <t xml:space="preserve">PR-7345</t>
  </si>
  <si>
    <t xml:space="preserve">C000865</t>
  </si>
  <si>
    <t xml:space="preserve">PR-2902</t>
  </si>
  <si>
    <t xml:space="preserve">C000866</t>
  </si>
  <si>
    <t xml:space="preserve">PR-9604</t>
  </si>
  <si>
    <t xml:space="preserve">C000867</t>
  </si>
  <si>
    <t xml:space="preserve">PR-6859</t>
  </si>
  <si>
    <t xml:space="preserve">C000868</t>
  </si>
  <si>
    <t xml:space="preserve">PR-9944</t>
  </si>
  <si>
    <t xml:space="preserve">C000869</t>
  </si>
  <si>
    <t xml:space="preserve">PR-7401</t>
  </si>
  <si>
    <t xml:space="preserve">C000870</t>
  </si>
  <si>
    <t xml:space="preserve">DX-920</t>
  </si>
  <si>
    <t xml:space="preserve">PR-4498</t>
  </si>
  <si>
    <t xml:space="preserve">C000871</t>
  </si>
  <si>
    <t xml:space="preserve">DX-981</t>
  </si>
  <si>
    <t xml:space="preserve">C000872</t>
  </si>
  <si>
    <t xml:space="preserve">PR-6250</t>
  </si>
  <si>
    <t xml:space="preserve">C000873</t>
  </si>
  <si>
    <t xml:space="preserve">DX-761</t>
  </si>
  <si>
    <t xml:space="preserve">PR-3576</t>
  </si>
  <si>
    <t xml:space="preserve">C000874</t>
  </si>
  <si>
    <t xml:space="preserve">PR-5544</t>
  </si>
  <si>
    <t xml:space="preserve">C000875</t>
  </si>
  <si>
    <t xml:space="preserve">PR-3248</t>
  </si>
  <si>
    <t xml:space="preserve">C000876</t>
  </si>
  <si>
    <t xml:space="preserve">M0138</t>
  </si>
  <si>
    <t xml:space="preserve">PR-6311</t>
  </si>
  <si>
    <t xml:space="preserve">C000877</t>
  </si>
  <si>
    <t xml:space="preserve">DX-785</t>
  </si>
  <si>
    <t xml:space="preserve">C000878</t>
  </si>
  <si>
    <t xml:space="preserve">PR-5775</t>
  </si>
  <si>
    <t xml:space="preserve">C000879</t>
  </si>
  <si>
    <t xml:space="preserve">PR-8521</t>
  </si>
  <si>
    <t xml:space="preserve">C000880</t>
  </si>
  <si>
    <t xml:space="preserve">PR-5174</t>
  </si>
  <si>
    <t xml:space="preserve">C000881</t>
  </si>
  <si>
    <t xml:space="preserve">PR-8162</t>
  </si>
  <si>
    <t xml:space="preserve">C000882</t>
  </si>
  <si>
    <t xml:space="preserve">PR-2571</t>
  </si>
  <si>
    <t xml:space="preserve">C000883</t>
  </si>
  <si>
    <t xml:space="preserve">PR-5370</t>
  </si>
  <si>
    <t xml:space="preserve">C000884</t>
  </si>
  <si>
    <t xml:space="preserve">PR-2493</t>
  </si>
  <si>
    <t xml:space="preserve">C000885</t>
  </si>
  <si>
    <t xml:space="preserve">PR-4610</t>
  </si>
  <si>
    <t xml:space="preserve">C000886</t>
  </si>
  <si>
    <t xml:space="preserve">DX-967</t>
  </si>
  <si>
    <t xml:space="preserve">PR-2343</t>
  </si>
  <si>
    <t xml:space="preserve">C000887</t>
  </si>
  <si>
    <t xml:space="preserve">M0278</t>
  </si>
  <si>
    <t xml:space="preserve">DX-789</t>
  </si>
  <si>
    <t xml:space="preserve">PR-9053</t>
  </si>
  <si>
    <t xml:space="preserve">C000888</t>
  </si>
  <si>
    <t xml:space="preserve">C000889</t>
  </si>
  <si>
    <t xml:space="preserve">PR-4998</t>
  </si>
  <si>
    <t xml:space="preserve">C000890</t>
  </si>
  <si>
    <t xml:space="preserve">PR-8296</t>
  </si>
  <si>
    <t xml:space="preserve">C000891</t>
  </si>
  <si>
    <t xml:space="preserve">PR-1594</t>
  </si>
  <si>
    <t xml:space="preserve">C000892</t>
  </si>
  <si>
    <t xml:space="preserve">PR-3441</t>
  </si>
  <si>
    <t xml:space="preserve">C000893</t>
  </si>
  <si>
    <t xml:space="preserve">PR-3882</t>
  </si>
  <si>
    <t xml:space="preserve">C000894</t>
  </si>
  <si>
    <t xml:space="preserve">PR-3928</t>
  </si>
  <si>
    <t xml:space="preserve">C000895</t>
  </si>
  <si>
    <t xml:space="preserve">DX-884</t>
  </si>
  <si>
    <t xml:space="preserve">PR-5461</t>
  </si>
  <si>
    <t xml:space="preserve">C000896</t>
  </si>
  <si>
    <t xml:space="preserve">PR-5575</t>
  </si>
  <si>
    <t xml:space="preserve">C000897</t>
  </si>
  <si>
    <t xml:space="preserve">PR-5705</t>
  </si>
  <si>
    <t xml:space="preserve">C000898</t>
  </si>
  <si>
    <t xml:space="preserve">DX-905</t>
  </si>
  <si>
    <t xml:space="preserve">PR-7638</t>
  </si>
  <si>
    <t xml:space="preserve">C000899</t>
  </si>
  <si>
    <t xml:space="preserve">PR-7159</t>
  </si>
  <si>
    <t xml:space="preserve">C000900</t>
  </si>
  <si>
    <t xml:space="preserve">C000901</t>
  </si>
  <si>
    <t xml:space="preserve">PR-7812</t>
  </si>
  <si>
    <t xml:space="preserve">C000902</t>
  </si>
  <si>
    <t xml:space="preserve">PR-9397</t>
  </si>
  <si>
    <t xml:space="preserve">C000903</t>
  </si>
  <si>
    <t xml:space="preserve">PR-1404</t>
  </si>
  <si>
    <t xml:space="preserve">C000904</t>
  </si>
  <si>
    <t xml:space="preserve">M0168</t>
  </si>
  <si>
    <t xml:space="preserve">PR-9470</t>
  </si>
  <si>
    <t xml:space="preserve">C000905</t>
  </si>
  <si>
    <t xml:space="preserve">PR-5376</t>
  </si>
  <si>
    <t xml:space="preserve">C000906</t>
  </si>
  <si>
    <t xml:space="preserve">DX-682</t>
  </si>
  <si>
    <t xml:space="preserve">PR-4172</t>
  </si>
  <si>
    <t xml:space="preserve">C000907</t>
  </si>
  <si>
    <t xml:space="preserve">M0084</t>
  </si>
  <si>
    <t xml:space="preserve">PR-2082</t>
  </si>
  <si>
    <t xml:space="preserve">C000908</t>
  </si>
  <si>
    <t xml:space="preserve">PR-6349</t>
  </si>
  <si>
    <t xml:space="preserve">C000909</t>
  </si>
  <si>
    <t xml:space="preserve">DX-436</t>
  </si>
  <si>
    <t xml:space="preserve">PR-9336</t>
  </si>
  <si>
    <t xml:space="preserve">C000910</t>
  </si>
  <si>
    <t xml:space="preserve">DX-575</t>
  </si>
  <si>
    <t xml:space="preserve">PR-3510</t>
  </si>
  <si>
    <t xml:space="preserve">C000911</t>
  </si>
  <si>
    <t xml:space="preserve">PR-2086</t>
  </si>
  <si>
    <t xml:space="preserve">C000912</t>
  </si>
  <si>
    <t xml:space="preserve">PR-9058</t>
  </si>
  <si>
    <t xml:space="preserve">C000913</t>
  </si>
  <si>
    <t xml:space="preserve">PR-2357</t>
  </si>
  <si>
    <t xml:space="preserve">C000914</t>
  </si>
  <si>
    <t xml:space="preserve">DX-133</t>
  </si>
  <si>
    <t xml:space="preserve">PR-3186</t>
  </si>
  <si>
    <t xml:space="preserve">C000915</t>
  </si>
  <si>
    <t xml:space="preserve">PR-2637</t>
  </si>
  <si>
    <t xml:space="preserve">C000916</t>
  </si>
  <si>
    <t xml:space="preserve">PR-5774</t>
  </si>
  <si>
    <t xml:space="preserve">C000917</t>
  </si>
  <si>
    <t xml:space="preserve">PR-5648</t>
  </si>
  <si>
    <t xml:space="preserve">C000918</t>
  </si>
  <si>
    <t xml:space="preserve">PR-4852</t>
  </si>
  <si>
    <t xml:space="preserve">C000919</t>
  </si>
  <si>
    <t xml:space="preserve">DX-252</t>
  </si>
  <si>
    <t xml:space="preserve">PR-2203</t>
  </si>
  <si>
    <t xml:space="preserve">C000920</t>
  </si>
  <si>
    <t xml:space="preserve">DX-472</t>
  </si>
  <si>
    <t xml:space="preserve">PR-3564</t>
  </si>
  <si>
    <t xml:space="preserve">C000921</t>
  </si>
  <si>
    <t xml:space="preserve">PR-3177</t>
  </si>
  <si>
    <t xml:space="preserve">C000922</t>
  </si>
  <si>
    <t xml:space="preserve">PR-2527</t>
  </si>
  <si>
    <t xml:space="preserve">C000923</t>
  </si>
  <si>
    <t xml:space="preserve">PR-6910</t>
  </si>
  <si>
    <t xml:space="preserve">C000924</t>
  </si>
  <si>
    <t xml:space="preserve">C000925</t>
  </si>
  <si>
    <t xml:space="preserve">PR-6449</t>
  </si>
  <si>
    <t xml:space="preserve">C000926</t>
  </si>
  <si>
    <t xml:space="preserve">DX-422</t>
  </si>
  <si>
    <t xml:space="preserve">PR-4651</t>
  </si>
  <si>
    <t xml:space="preserve">C000927</t>
  </si>
  <si>
    <t xml:space="preserve">DX-141</t>
  </si>
  <si>
    <t xml:space="preserve">PR-4633</t>
  </si>
  <si>
    <t xml:space="preserve">C000928</t>
  </si>
  <si>
    <t xml:space="preserve">DX-887</t>
  </si>
  <si>
    <t xml:space="preserve">PR-1838</t>
  </si>
  <si>
    <t xml:space="preserve">C000929</t>
  </si>
  <si>
    <t xml:space="preserve">C000930</t>
  </si>
  <si>
    <t xml:space="preserve">C000931</t>
  </si>
  <si>
    <t xml:space="preserve">PR-3548</t>
  </si>
  <si>
    <t xml:space="preserve">C000932</t>
  </si>
  <si>
    <t xml:space="preserve">DX-224</t>
  </si>
  <si>
    <t xml:space="preserve">PR-9199</t>
  </si>
  <si>
    <t xml:space="preserve">C000933</t>
  </si>
  <si>
    <t xml:space="preserve">PR-5100</t>
  </si>
  <si>
    <t xml:space="preserve">C000934</t>
  </si>
  <si>
    <t xml:space="preserve">PR-6573</t>
  </si>
  <si>
    <t xml:space="preserve">C000935</t>
  </si>
  <si>
    <t xml:space="preserve">DX-862</t>
  </si>
  <si>
    <t xml:space="preserve">PR-4715</t>
  </si>
  <si>
    <t xml:space="preserve">C000936</t>
  </si>
  <si>
    <t xml:space="preserve">DX-684</t>
  </si>
  <si>
    <t xml:space="preserve">PR-6823</t>
  </si>
  <si>
    <t xml:space="preserve">C000937</t>
  </si>
  <si>
    <t xml:space="preserve">PR-3224</t>
  </si>
  <si>
    <t xml:space="preserve">C000938</t>
  </si>
  <si>
    <t xml:space="preserve">PR-1637</t>
  </si>
  <si>
    <t xml:space="preserve">C000939</t>
  </si>
  <si>
    <t xml:space="preserve">PR-9699</t>
  </si>
  <si>
    <t xml:space="preserve">C000940</t>
  </si>
  <si>
    <t xml:space="preserve">DX-990</t>
  </si>
  <si>
    <t xml:space="preserve">PR-3251</t>
  </si>
  <si>
    <t xml:space="preserve">C000941</t>
  </si>
  <si>
    <t xml:space="preserve">DX-337</t>
  </si>
  <si>
    <t xml:space="preserve">PR-1804</t>
  </si>
  <si>
    <t xml:space="preserve">C000942</t>
  </si>
  <si>
    <t xml:space="preserve">DX-419</t>
  </si>
  <si>
    <t xml:space="preserve">PR-7884</t>
  </si>
  <si>
    <t xml:space="preserve">C000943</t>
  </si>
  <si>
    <t xml:space="preserve">PR-6916</t>
  </si>
  <si>
    <t xml:space="preserve">C000944</t>
  </si>
  <si>
    <t xml:space="preserve">PR-1275</t>
  </si>
  <si>
    <t xml:space="preserve">C000945</t>
  </si>
  <si>
    <t xml:space="preserve">PR-4072</t>
  </si>
  <si>
    <t xml:space="preserve">C000946</t>
  </si>
  <si>
    <t xml:space="preserve">DX-692</t>
  </si>
  <si>
    <t xml:space="preserve">C000947</t>
  </si>
  <si>
    <t xml:space="preserve">PR-5144</t>
  </si>
  <si>
    <t xml:space="preserve">C000948</t>
  </si>
  <si>
    <t xml:space="preserve">PR-2182</t>
  </si>
  <si>
    <t xml:space="preserve">C000949</t>
  </si>
  <si>
    <t xml:space="preserve">PR-8324</t>
  </si>
  <si>
    <t xml:space="preserve">C000950</t>
  </si>
  <si>
    <t xml:space="preserve">PR-4302</t>
  </si>
  <si>
    <t xml:space="preserve">C000951</t>
  </si>
  <si>
    <t xml:space="preserve">PR-1050</t>
  </si>
  <si>
    <t xml:space="preserve">C000952</t>
  </si>
  <si>
    <t xml:space="preserve">DX-390</t>
  </si>
  <si>
    <t xml:space="preserve">PR-5576</t>
  </si>
  <si>
    <t xml:space="preserve">C000953</t>
  </si>
  <si>
    <t xml:space="preserve">DX-959</t>
  </si>
  <si>
    <t xml:space="preserve">PR-8812</t>
  </si>
  <si>
    <t xml:space="preserve">C000954</t>
  </si>
  <si>
    <t xml:space="preserve">PR-5385</t>
  </si>
  <si>
    <t xml:space="preserve">C000955</t>
  </si>
  <si>
    <t xml:space="preserve">M0207</t>
  </si>
  <si>
    <t xml:space="preserve">PR-5633</t>
  </si>
  <si>
    <t xml:space="preserve">C000956</t>
  </si>
  <si>
    <t xml:space="preserve">C000957</t>
  </si>
  <si>
    <t xml:space="preserve">PR-6847</t>
  </si>
  <si>
    <t xml:space="preserve">C000958</t>
  </si>
  <si>
    <t xml:space="preserve">PR-8058</t>
  </si>
  <si>
    <t xml:space="preserve">C000959</t>
  </si>
  <si>
    <t xml:space="preserve">DX-205</t>
  </si>
  <si>
    <t xml:space="preserve">C000960</t>
  </si>
  <si>
    <t xml:space="preserve">PR-8370</t>
  </si>
  <si>
    <t xml:space="preserve">C000961</t>
  </si>
  <si>
    <t xml:space="preserve">PR-8798</t>
  </si>
  <si>
    <t xml:space="preserve">C000962</t>
  </si>
  <si>
    <t xml:space="preserve">PR-9252</t>
  </si>
  <si>
    <t xml:space="preserve">C000963</t>
  </si>
  <si>
    <t xml:space="preserve">DX-783</t>
  </si>
  <si>
    <t xml:space="preserve">PR-5509</t>
  </si>
  <si>
    <t xml:space="preserve">C000964</t>
  </si>
  <si>
    <t xml:space="preserve">PR-8364</t>
  </si>
  <si>
    <t xml:space="preserve">C000965</t>
  </si>
  <si>
    <t xml:space="preserve">DX-953</t>
  </si>
  <si>
    <t xml:space="preserve">PR-3606</t>
  </si>
  <si>
    <t xml:space="preserve">C000966</t>
  </si>
  <si>
    <t xml:space="preserve">DX-174</t>
  </si>
  <si>
    <t xml:space="preserve">PR-3518</t>
  </si>
  <si>
    <t xml:space="preserve">C000967</t>
  </si>
  <si>
    <t xml:space="preserve">PR-3578</t>
  </si>
  <si>
    <t xml:space="preserve">C000968</t>
  </si>
  <si>
    <t xml:space="preserve">PR-1328</t>
  </si>
  <si>
    <t xml:space="preserve">C000969</t>
  </si>
  <si>
    <t xml:space="preserve">PR-8853</t>
  </si>
  <si>
    <t xml:space="preserve">C000970</t>
  </si>
  <si>
    <t xml:space="preserve">PR-9907</t>
  </si>
  <si>
    <t xml:space="preserve">C000971</t>
  </si>
  <si>
    <t xml:space="preserve">DX-970</t>
  </si>
  <si>
    <t xml:space="preserve">PR-4363</t>
  </si>
  <si>
    <t xml:space="preserve">C000972</t>
  </si>
  <si>
    <t xml:space="preserve">PR-6273</t>
  </si>
  <si>
    <t xml:space="preserve">C000973</t>
  </si>
  <si>
    <t xml:space="preserve">PR-1497</t>
  </si>
  <si>
    <t xml:space="preserve">C000974</t>
  </si>
  <si>
    <t xml:space="preserve">PR-1423</t>
  </si>
  <si>
    <t xml:space="preserve">C000975</t>
  </si>
  <si>
    <t xml:space="preserve">PR-9847</t>
  </si>
  <si>
    <t xml:space="preserve">C000976</t>
  </si>
  <si>
    <t xml:space="preserve">PR-9309</t>
  </si>
  <si>
    <t xml:space="preserve">C000977</t>
  </si>
  <si>
    <t xml:space="preserve">PR-6922</t>
  </si>
  <si>
    <t xml:space="preserve">C000978</t>
  </si>
  <si>
    <t xml:space="preserve">PR-1802</t>
  </si>
  <si>
    <t xml:space="preserve">C000979</t>
  </si>
  <si>
    <t xml:space="preserve">DX-520</t>
  </si>
  <si>
    <t xml:space="preserve">PR-8537</t>
  </si>
  <si>
    <t xml:space="preserve">C000980</t>
  </si>
  <si>
    <t xml:space="preserve">DX-225</t>
  </si>
  <si>
    <t xml:space="preserve">PR-7417</t>
  </si>
  <si>
    <t xml:space="preserve">C000981</t>
  </si>
  <si>
    <t xml:space="preserve">PR-9448</t>
  </si>
  <si>
    <t xml:space="preserve">C000982</t>
  </si>
  <si>
    <t xml:space="preserve">C000983</t>
  </si>
  <si>
    <t xml:space="preserve">PR-9656</t>
  </si>
  <si>
    <t xml:space="preserve">C000984</t>
  </si>
  <si>
    <t xml:space="preserve">C000985</t>
  </si>
  <si>
    <t xml:space="preserve">PR-2386</t>
  </si>
  <si>
    <t xml:space="preserve">C000986</t>
  </si>
  <si>
    <t xml:space="preserve">PR-5512</t>
  </si>
  <si>
    <t xml:space="preserve">C000987</t>
  </si>
  <si>
    <t xml:space="preserve">PR-5773</t>
  </si>
  <si>
    <t xml:space="preserve">C000988</t>
  </si>
  <si>
    <t xml:space="preserve">DX-845</t>
  </si>
  <si>
    <t xml:space="preserve">PR-4635</t>
  </si>
  <si>
    <t xml:space="preserve">C000989</t>
  </si>
  <si>
    <t xml:space="preserve">PR-2497</t>
  </si>
  <si>
    <t xml:space="preserve">C000990</t>
  </si>
  <si>
    <t xml:space="preserve">PR-9272</t>
  </si>
  <si>
    <t xml:space="preserve">C000991</t>
  </si>
  <si>
    <t xml:space="preserve">PR-1481</t>
  </si>
  <si>
    <t xml:space="preserve">C000992</t>
  </si>
  <si>
    <t xml:space="preserve">PR-5647</t>
  </si>
  <si>
    <t xml:space="preserve">C000993</t>
  </si>
  <si>
    <t xml:space="preserve">PR-2161</t>
  </si>
  <si>
    <t xml:space="preserve">C000994</t>
  </si>
  <si>
    <t xml:space="preserve">DX-958</t>
  </si>
  <si>
    <t xml:space="preserve">PR-1432</t>
  </si>
  <si>
    <t xml:space="preserve">C000995</t>
  </si>
  <si>
    <t xml:space="preserve">PR-6532</t>
  </si>
  <si>
    <t xml:space="preserve">C000996</t>
  </si>
  <si>
    <t xml:space="preserve">PR-7010</t>
  </si>
  <si>
    <t xml:space="preserve">C000997</t>
  </si>
  <si>
    <t xml:space="preserve">PR-3110</t>
  </si>
  <si>
    <t xml:space="preserve">C000998</t>
  </si>
  <si>
    <t xml:space="preserve">PR-1446</t>
  </si>
  <si>
    <t xml:space="preserve">C000999</t>
  </si>
  <si>
    <t xml:space="preserve">M0131</t>
  </si>
  <si>
    <t xml:space="preserve">PR-8041</t>
  </si>
  <si>
    <t xml:space="preserve">C001000</t>
  </si>
  <si>
    <t xml:space="preserve">DX-867</t>
  </si>
  <si>
    <t xml:space="preserve">PR-1660</t>
  </si>
  <si>
    <t xml:space="preserve">C001001</t>
  </si>
  <si>
    <t xml:space="preserve">DX-517</t>
  </si>
  <si>
    <t xml:space="preserve">PR-1755</t>
  </si>
  <si>
    <t xml:space="preserve">C001002</t>
  </si>
  <si>
    <t xml:space="preserve">DX-720</t>
  </si>
  <si>
    <t xml:space="preserve">PR-1778</t>
  </si>
  <si>
    <t xml:space="preserve">C001003</t>
  </si>
  <si>
    <t xml:space="preserve">PR-3713</t>
  </si>
  <si>
    <t xml:space="preserve">C001004</t>
  </si>
  <si>
    <t xml:space="preserve">DX-191</t>
  </si>
  <si>
    <t xml:space="preserve">PR-9555</t>
  </si>
  <si>
    <t xml:space="preserve">C001005</t>
  </si>
  <si>
    <t xml:space="preserve">PR-4185</t>
  </si>
  <si>
    <t xml:space="preserve">C001006</t>
  </si>
  <si>
    <t xml:space="preserve">C001007</t>
  </si>
  <si>
    <t xml:space="preserve">PR-4737</t>
  </si>
  <si>
    <t xml:space="preserve">C001008</t>
  </si>
  <si>
    <t xml:space="preserve">PR-5664</t>
  </si>
  <si>
    <t xml:space="preserve">C001009</t>
  </si>
  <si>
    <t xml:space="preserve">PR-6877</t>
  </si>
  <si>
    <t xml:space="preserve">C001010</t>
  </si>
  <si>
    <t xml:space="preserve">PR-4549</t>
  </si>
  <si>
    <t xml:space="preserve">C001011</t>
  </si>
  <si>
    <t xml:space="preserve">DX-357</t>
  </si>
  <si>
    <t xml:space="preserve">PR-4146</t>
  </si>
  <si>
    <t xml:space="preserve">C001012</t>
  </si>
  <si>
    <t xml:space="preserve">DX-101</t>
  </si>
  <si>
    <t xml:space="preserve">PR-1106</t>
  </si>
  <si>
    <t xml:space="preserve">C001013</t>
  </si>
  <si>
    <t xml:space="preserve">PR-2330</t>
  </si>
  <si>
    <t xml:space="preserve">C001014</t>
  </si>
  <si>
    <t xml:space="preserve">PR-5801</t>
  </si>
  <si>
    <t xml:space="preserve">C001015</t>
  </si>
  <si>
    <t xml:space="preserve">PR-3353</t>
  </si>
  <si>
    <t xml:space="preserve">C001016</t>
  </si>
  <si>
    <t xml:space="preserve">PR-1953</t>
  </si>
  <si>
    <t xml:space="preserve">C001017</t>
  </si>
  <si>
    <t xml:space="preserve">DX-842</t>
  </si>
  <si>
    <t xml:space="preserve">PR-8768</t>
  </si>
  <si>
    <t xml:space="preserve">C001018</t>
  </si>
  <si>
    <t xml:space="preserve">DX-168</t>
  </si>
  <si>
    <t xml:space="preserve">PR-4199</t>
  </si>
  <si>
    <t xml:space="preserve">C001019</t>
  </si>
  <si>
    <t xml:space="preserve">PR-9924</t>
  </si>
  <si>
    <t xml:space="preserve">C001020</t>
  </si>
  <si>
    <t xml:space="preserve">PR-7912</t>
  </si>
  <si>
    <t xml:space="preserve">C001021</t>
  </si>
  <si>
    <t xml:space="preserve">PR-9932</t>
  </si>
  <si>
    <t xml:space="preserve">C001022</t>
  </si>
  <si>
    <t xml:space="preserve">PR-2548</t>
  </si>
  <si>
    <t xml:space="preserve">C001023</t>
  </si>
  <si>
    <t xml:space="preserve">M0274</t>
  </si>
  <si>
    <t xml:space="preserve">DX-858</t>
  </si>
  <si>
    <t xml:space="preserve">PR-9186</t>
  </si>
  <si>
    <t xml:space="preserve">C001024</t>
  </si>
  <si>
    <t xml:space="preserve">DX-631</t>
  </si>
  <si>
    <t xml:space="preserve">PR-7879</t>
  </si>
  <si>
    <t xml:space="preserve">C001025</t>
  </si>
  <si>
    <t xml:space="preserve">DX-987</t>
  </si>
  <si>
    <t xml:space="preserve">PR-4795</t>
  </si>
  <si>
    <t xml:space="preserve">C001026</t>
  </si>
  <si>
    <t xml:space="preserve">DX-604</t>
  </si>
  <si>
    <t xml:space="preserve">PR-9922</t>
  </si>
  <si>
    <t xml:space="preserve">C001027</t>
  </si>
  <si>
    <t xml:space="preserve">DX-514</t>
  </si>
  <si>
    <t xml:space="preserve">PR-9491</t>
  </si>
  <si>
    <t xml:space="preserve">C001028</t>
  </si>
  <si>
    <t xml:space="preserve">C001029</t>
  </si>
  <si>
    <t xml:space="preserve">DX-850</t>
  </si>
  <si>
    <t xml:space="preserve">PR-2193</t>
  </si>
  <si>
    <t xml:space="preserve">C001030</t>
  </si>
  <si>
    <t xml:space="preserve">DX-340</t>
  </si>
  <si>
    <t xml:space="preserve">PR-8044</t>
  </si>
  <si>
    <t xml:space="preserve">C001031</t>
  </si>
  <si>
    <t xml:space="preserve">PR-9884</t>
  </si>
  <si>
    <t xml:space="preserve">C001032</t>
  </si>
  <si>
    <t xml:space="preserve">DX-762</t>
  </si>
  <si>
    <t xml:space="preserve">C001033</t>
  </si>
  <si>
    <t xml:space="preserve">DX-657</t>
  </si>
  <si>
    <t xml:space="preserve">PR-7580</t>
  </si>
  <si>
    <t xml:space="preserve">C001034</t>
  </si>
  <si>
    <t xml:space="preserve">DX-728</t>
  </si>
  <si>
    <t xml:space="preserve">PR-2040</t>
  </si>
  <si>
    <t xml:space="preserve">C001035</t>
  </si>
  <si>
    <t xml:space="preserve">DX-957</t>
  </si>
  <si>
    <t xml:space="preserve">PR-3121</t>
  </si>
  <si>
    <t xml:space="preserve">C001036</t>
  </si>
  <si>
    <t xml:space="preserve">C001037</t>
  </si>
  <si>
    <t xml:space="preserve">DX-131</t>
  </si>
  <si>
    <t xml:space="preserve">C001038</t>
  </si>
  <si>
    <t xml:space="preserve">PR-3299</t>
  </si>
  <si>
    <t xml:space="preserve">C001039</t>
  </si>
  <si>
    <t xml:space="preserve">DX-448</t>
  </si>
  <si>
    <t xml:space="preserve">PR-7633</t>
  </si>
  <si>
    <t xml:space="preserve">C001040</t>
  </si>
  <si>
    <t xml:space="preserve">PR-3815</t>
  </si>
  <si>
    <t xml:space="preserve">C001041</t>
  </si>
  <si>
    <t xml:space="preserve">PR-6993</t>
  </si>
  <si>
    <t xml:space="preserve">C001042</t>
  </si>
  <si>
    <t xml:space="preserve">DX-944</t>
  </si>
  <si>
    <t xml:space="preserve">PR-5287</t>
  </si>
  <si>
    <t xml:space="preserve">C001043</t>
  </si>
  <si>
    <t xml:space="preserve">PR-8933</t>
  </si>
  <si>
    <t xml:space="preserve">C001044</t>
  </si>
  <si>
    <t xml:space="preserve">PR-6328</t>
  </si>
  <si>
    <t xml:space="preserve">C001045</t>
  </si>
  <si>
    <t xml:space="preserve">M0110</t>
  </si>
  <si>
    <t xml:space="preserve">PR-7983</t>
  </si>
  <si>
    <t xml:space="preserve">C001046</t>
  </si>
  <si>
    <t xml:space="preserve">PR-6797</t>
  </si>
  <si>
    <t xml:space="preserve">C001047</t>
  </si>
  <si>
    <t xml:space="preserve">DX-378</t>
  </si>
  <si>
    <t xml:space="preserve">PR-6914</t>
  </si>
  <si>
    <t xml:space="preserve">C001048</t>
  </si>
  <si>
    <t xml:space="preserve">DX-159</t>
  </si>
  <si>
    <t xml:space="preserve">PR-6315</t>
  </si>
  <si>
    <t xml:space="preserve">C001049</t>
  </si>
  <si>
    <t xml:space="preserve">DX-654</t>
  </si>
  <si>
    <t xml:space="preserve">PR-6562</t>
  </si>
  <si>
    <t xml:space="preserve">C001050</t>
  </si>
  <si>
    <t xml:space="preserve">PR-8014</t>
  </si>
  <si>
    <t xml:space="preserve">C001051</t>
  </si>
  <si>
    <t xml:space="preserve">DX-758</t>
  </si>
  <si>
    <t xml:space="preserve">PR-2896</t>
  </si>
  <si>
    <t xml:space="preserve">C001052</t>
  </si>
  <si>
    <t xml:space="preserve">PR-5968</t>
  </si>
  <si>
    <t xml:space="preserve">C001053</t>
  </si>
  <si>
    <t xml:space="preserve">PR-8356</t>
  </si>
  <si>
    <t xml:space="preserve">C001054</t>
  </si>
  <si>
    <t xml:space="preserve">M0188</t>
  </si>
  <si>
    <t xml:space="preserve">PR-5717</t>
  </si>
  <si>
    <t xml:space="preserve">C001055</t>
  </si>
  <si>
    <t xml:space="preserve">PR-3346</t>
  </si>
  <si>
    <t xml:space="preserve">C001056</t>
  </si>
  <si>
    <t xml:space="preserve">PR-3623</t>
  </si>
  <si>
    <t xml:space="preserve">C001057</t>
  </si>
  <si>
    <t xml:space="preserve">DX-591</t>
  </si>
  <si>
    <t xml:space="preserve">PR-8606</t>
  </si>
  <si>
    <t xml:space="preserve">C001058</t>
  </si>
  <si>
    <t xml:space="preserve">DX-623</t>
  </si>
  <si>
    <t xml:space="preserve">PR-8431</t>
  </si>
  <si>
    <t xml:space="preserve">C001059</t>
  </si>
  <si>
    <t xml:space="preserve">DX-279</t>
  </si>
  <si>
    <t xml:space="preserve">PR-2037</t>
  </si>
  <si>
    <t xml:space="preserve">C001060</t>
  </si>
  <si>
    <t xml:space="preserve">DX-258</t>
  </si>
  <si>
    <t xml:space="preserve">PR-4507</t>
  </si>
  <si>
    <t xml:space="preserve">C001061</t>
  </si>
  <si>
    <t xml:space="preserve">DX-666</t>
  </si>
  <si>
    <t xml:space="preserve">PR-3357</t>
  </si>
  <si>
    <t xml:space="preserve">C001062</t>
  </si>
  <si>
    <t xml:space="preserve">PR-3001</t>
  </si>
  <si>
    <t xml:space="preserve">C001063</t>
  </si>
  <si>
    <t xml:space="preserve">DX-367</t>
  </si>
  <si>
    <t xml:space="preserve">PR-5159</t>
  </si>
  <si>
    <t xml:space="preserve">C001064</t>
  </si>
  <si>
    <t xml:space="preserve">PR-3856</t>
  </si>
  <si>
    <t xml:space="preserve">C001065</t>
  </si>
  <si>
    <t xml:space="preserve">DX-241</t>
  </si>
  <si>
    <t xml:space="preserve">PR-9502</t>
  </si>
  <si>
    <t xml:space="preserve">C001066</t>
  </si>
  <si>
    <t xml:space="preserve">PR-1728</t>
  </si>
  <si>
    <t xml:space="preserve">C001067</t>
  </si>
  <si>
    <t xml:space="preserve">DX-457</t>
  </si>
  <si>
    <t xml:space="preserve">PR-4450</t>
  </si>
  <si>
    <t xml:space="preserve">C001068</t>
  </si>
  <si>
    <t xml:space="preserve">DX-306</t>
  </si>
  <si>
    <t xml:space="preserve">PR-1284</t>
  </si>
  <si>
    <t xml:space="preserve">C001069</t>
  </si>
  <si>
    <t xml:space="preserve">PR-3670</t>
  </si>
  <si>
    <t xml:space="preserve">C001070</t>
  </si>
  <si>
    <t xml:space="preserve">PR-1393</t>
  </si>
  <si>
    <t xml:space="preserve">C001071</t>
  </si>
  <si>
    <t xml:space="preserve">PR-4447</t>
  </si>
  <si>
    <t xml:space="preserve">C001072</t>
  </si>
  <si>
    <t xml:space="preserve">C001073</t>
  </si>
  <si>
    <t xml:space="preserve">PR-2846</t>
  </si>
  <si>
    <t xml:space="preserve">C001074</t>
  </si>
  <si>
    <t xml:space="preserve">PR-4243</t>
  </si>
  <si>
    <t xml:space="preserve">C001075</t>
  </si>
  <si>
    <t xml:space="preserve">DX-895</t>
  </si>
  <si>
    <t xml:space="preserve">C001076</t>
  </si>
  <si>
    <t xml:space="preserve">C001077</t>
  </si>
  <si>
    <t xml:space="preserve">PR-1020</t>
  </si>
  <si>
    <t xml:space="preserve">C001078</t>
  </si>
  <si>
    <t xml:space="preserve">PR-2943</t>
  </si>
  <si>
    <t xml:space="preserve">C001079</t>
  </si>
  <si>
    <t xml:space="preserve">PR-3558</t>
  </si>
  <si>
    <t xml:space="preserve">C001080</t>
  </si>
  <si>
    <t xml:space="preserve">PR-2398</t>
  </si>
  <si>
    <t xml:space="preserve">C001081</t>
  </si>
  <si>
    <t xml:space="preserve">PR-1124</t>
  </si>
  <si>
    <t xml:space="preserve">C001082</t>
  </si>
  <si>
    <t xml:space="preserve">PR-7933</t>
  </si>
  <si>
    <t xml:space="preserve">C001083</t>
  </si>
  <si>
    <t xml:space="preserve">PR-2743</t>
  </si>
  <si>
    <t xml:space="preserve">C001084</t>
  </si>
  <si>
    <t xml:space="preserve">PR-7759</t>
  </si>
  <si>
    <t xml:space="preserve">C001085</t>
  </si>
  <si>
    <t xml:space="preserve">PR-7000</t>
  </si>
  <si>
    <t xml:space="preserve">C001086</t>
  </si>
  <si>
    <t xml:space="preserve">PR-8421</t>
  </si>
  <si>
    <t xml:space="preserve">C001087</t>
  </si>
  <si>
    <t xml:space="preserve">PR-4268</t>
  </si>
  <si>
    <t xml:space="preserve">C001088</t>
  </si>
  <si>
    <t xml:space="preserve">PR-5157</t>
  </si>
  <si>
    <t xml:space="preserve">C001089</t>
  </si>
  <si>
    <t xml:space="preserve">PR-8167</t>
  </si>
  <si>
    <t xml:space="preserve">C001090</t>
  </si>
  <si>
    <t xml:space="preserve">PR-7796</t>
  </si>
  <si>
    <t xml:space="preserve">C001091</t>
  </si>
  <si>
    <t xml:space="preserve">DX-782</t>
  </si>
  <si>
    <t xml:space="preserve">PR-8657</t>
  </si>
  <si>
    <t xml:space="preserve">C001092</t>
  </si>
  <si>
    <t xml:space="preserve">PR-1049</t>
  </si>
  <si>
    <t xml:space="preserve">C001093</t>
  </si>
  <si>
    <t xml:space="preserve">DX-504</t>
  </si>
  <si>
    <t xml:space="preserve">PR-9670</t>
  </si>
  <si>
    <t xml:space="preserve">C001094</t>
  </si>
  <si>
    <t xml:space="preserve">DX-204</t>
  </si>
  <si>
    <t xml:space="preserve">C001095</t>
  </si>
  <si>
    <t xml:space="preserve">PR-3998</t>
  </si>
  <si>
    <t xml:space="preserve">C001096</t>
  </si>
  <si>
    <t xml:space="preserve">C001097</t>
  </si>
  <si>
    <t xml:space="preserve">PR-3594</t>
  </si>
  <si>
    <t xml:space="preserve">C001098</t>
  </si>
  <si>
    <t xml:space="preserve">C001099</t>
  </si>
  <si>
    <t xml:space="preserve">PR-5982</t>
  </si>
  <si>
    <t xml:space="preserve">C001100</t>
  </si>
  <si>
    <t xml:space="preserve">PR-1188</t>
  </si>
  <si>
    <t xml:space="preserve">C001101</t>
  </si>
  <si>
    <t xml:space="preserve">DX-406</t>
  </si>
  <si>
    <t xml:space="preserve">C001102</t>
  </si>
  <si>
    <t xml:space="preserve">PR-9268</t>
  </si>
  <si>
    <t xml:space="preserve">C001103</t>
  </si>
  <si>
    <t xml:space="preserve">PR-2931</t>
  </si>
  <si>
    <t xml:space="preserve">C001104</t>
  </si>
  <si>
    <t xml:space="preserve">C001105</t>
  </si>
  <si>
    <t xml:space="preserve">DX-719</t>
  </si>
  <si>
    <t xml:space="preserve">PR-7908</t>
  </si>
  <si>
    <t xml:space="preserve">C001106</t>
  </si>
  <si>
    <t xml:space="preserve">PR-2061</t>
  </si>
  <si>
    <t xml:space="preserve">C001107</t>
  </si>
  <si>
    <t xml:space="preserve">PR-9233</t>
  </si>
  <si>
    <t xml:space="preserve">C001108</t>
  </si>
  <si>
    <t xml:space="preserve">PR-3479</t>
  </si>
  <si>
    <t xml:space="preserve">C001109</t>
  </si>
  <si>
    <t xml:space="preserve">PR-3674</t>
  </si>
  <si>
    <t xml:space="preserve">C001110</t>
  </si>
  <si>
    <t xml:space="preserve">DX-669</t>
  </si>
  <si>
    <t xml:space="preserve">C001111</t>
  </si>
  <si>
    <t xml:space="preserve">PR-2595</t>
  </si>
  <si>
    <t xml:space="preserve">C001112</t>
  </si>
  <si>
    <t xml:space="preserve">PR-2070</t>
  </si>
  <si>
    <t xml:space="preserve">C001113</t>
  </si>
  <si>
    <t xml:space="preserve">C001114</t>
  </si>
  <si>
    <t xml:space="preserve">PR-7169</t>
  </si>
  <si>
    <t xml:space="preserve">C001115</t>
  </si>
  <si>
    <t xml:space="preserve">PR-9302</t>
  </si>
  <si>
    <t xml:space="preserve">C001116</t>
  </si>
  <si>
    <t xml:space="preserve">PR-3958</t>
  </si>
  <si>
    <t xml:space="preserve">C001117</t>
  </si>
  <si>
    <t xml:space="preserve">PR-7921</t>
  </si>
  <si>
    <t xml:space="preserve">C001118</t>
  </si>
  <si>
    <t xml:space="preserve">DX-826</t>
  </si>
  <si>
    <t xml:space="preserve">PR-3060</t>
  </si>
  <si>
    <t xml:space="preserve">C001119</t>
  </si>
  <si>
    <t xml:space="preserve">PR-5099</t>
  </si>
  <si>
    <t xml:space="preserve">C001120</t>
  </si>
  <si>
    <t xml:space="preserve">DX-434</t>
  </si>
  <si>
    <t xml:space="preserve">C001121</t>
  </si>
  <si>
    <t xml:space="preserve">PR-4150</t>
  </si>
  <si>
    <t xml:space="preserve">C001122</t>
  </si>
  <si>
    <t xml:space="preserve">PR-7860</t>
  </si>
  <si>
    <t xml:space="preserve">C001123</t>
  </si>
  <si>
    <t xml:space="preserve">PR-4059</t>
  </si>
  <si>
    <t xml:space="preserve">C001124</t>
  </si>
  <si>
    <t xml:space="preserve">PR-6177</t>
  </si>
  <si>
    <t xml:space="preserve">C001125</t>
  </si>
  <si>
    <t xml:space="preserve">PR-1100</t>
  </si>
  <si>
    <t xml:space="preserve">C001126</t>
  </si>
  <si>
    <t xml:space="preserve">PR-6871</t>
  </si>
  <si>
    <t xml:space="preserve">C001127</t>
  </si>
  <si>
    <t xml:space="preserve">PR-1876</t>
  </si>
  <si>
    <t xml:space="preserve">C001128</t>
  </si>
  <si>
    <t xml:space="preserve">PR-9721</t>
  </si>
  <si>
    <t xml:space="preserve">C001129</t>
  </si>
  <si>
    <t xml:space="preserve">PR-4810</t>
  </si>
  <si>
    <t xml:space="preserve">C001130</t>
  </si>
  <si>
    <t xml:space="preserve">DX-392</t>
  </si>
  <si>
    <t xml:space="preserve">PR-8654</t>
  </si>
  <si>
    <t xml:space="preserve">C001131</t>
  </si>
  <si>
    <t xml:space="preserve">DX-798</t>
  </si>
  <si>
    <t xml:space="preserve">PR-2390</t>
  </si>
  <si>
    <t xml:space="preserve">C001132</t>
  </si>
  <si>
    <t xml:space="preserve">DX-801</t>
  </si>
  <si>
    <t xml:space="preserve">PR-3780</t>
  </si>
  <si>
    <t xml:space="preserve">C001133</t>
  </si>
  <si>
    <t xml:space="preserve">C001134</t>
  </si>
  <si>
    <t xml:space="preserve">PR-2701</t>
  </si>
  <si>
    <t xml:space="preserve">C001135</t>
  </si>
  <si>
    <t xml:space="preserve">PR-6889</t>
  </si>
  <si>
    <t xml:space="preserve">C001136</t>
  </si>
  <si>
    <t xml:space="preserve">DX-561</t>
  </si>
  <si>
    <t xml:space="preserve">PR-2755</t>
  </si>
  <si>
    <t xml:space="preserve">C001137</t>
  </si>
  <si>
    <t xml:space="preserve">PR-9396</t>
  </si>
  <si>
    <t xml:space="preserve">C001138</t>
  </si>
  <si>
    <t xml:space="preserve">PR-3176</t>
  </si>
  <si>
    <t xml:space="preserve">C001139</t>
  </si>
  <si>
    <t xml:space="preserve">PR-5387</t>
  </si>
  <si>
    <t xml:space="preserve">C001140</t>
  </si>
  <si>
    <t xml:space="preserve">PR-7420</t>
  </si>
  <si>
    <t xml:space="preserve">C001141</t>
  </si>
  <si>
    <t xml:space="preserve">PR-2916</t>
  </si>
  <si>
    <t xml:space="preserve">C001142</t>
  </si>
  <si>
    <t xml:space="preserve">PR-9321</t>
  </si>
  <si>
    <t xml:space="preserve">C001143</t>
  </si>
  <si>
    <t xml:space="preserve">PR-7286</t>
  </si>
  <si>
    <t xml:space="preserve">C001144</t>
  </si>
  <si>
    <t xml:space="preserve">C001145</t>
  </si>
  <si>
    <t xml:space="preserve">C001146</t>
  </si>
  <si>
    <t xml:space="preserve">DX-546</t>
  </si>
  <si>
    <t xml:space="preserve">PR-8091</t>
  </si>
  <si>
    <t xml:space="preserve">C001147</t>
  </si>
  <si>
    <t xml:space="preserve">PR-1025</t>
  </si>
  <si>
    <t xml:space="preserve">C001148</t>
  </si>
  <si>
    <t xml:space="preserve">DX-476</t>
  </si>
  <si>
    <t xml:space="preserve">PR-4189</t>
  </si>
  <si>
    <t xml:space="preserve">C001149</t>
  </si>
  <si>
    <t xml:space="preserve">DX-903</t>
  </si>
  <si>
    <t xml:space="preserve">PR-1252</t>
  </si>
  <si>
    <t xml:space="preserve">C001150</t>
  </si>
  <si>
    <t xml:space="preserve">PR-8024</t>
  </si>
  <si>
    <t xml:space="preserve">C001151</t>
  </si>
  <si>
    <t xml:space="preserve">DX-818</t>
  </si>
  <si>
    <t xml:space="preserve">PR-6873</t>
  </si>
  <si>
    <t xml:space="preserve">C001152</t>
  </si>
  <si>
    <t xml:space="preserve">DX-242</t>
  </si>
  <si>
    <t xml:space="preserve">C001153</t>
  </si>
  <si>
    <t xml:space="preserve">DX-716</t>
  </si>
  <si>
    <t xml:space="preserve">PR-4029</t>
  </si>
  <si>
    <t xml:space="preserve">C001154</t>
  </si>
  <si>
    <t xml:space="preserve">PR-3665</t>
  </si>
  <si>
    <t xml:space="preserve">C001155</t>
  </si>
  <si>
    <t xml:space="preserve">PR-6678</t>
  </si>
  <si>
    <t xml:space="preserve">C001156</t>
  </si>
  <si>
    <t xml:space="preserve">PR-1000</t>
  </si>
  <si>
    <t xml:space="preserve">C001157</t>
  </si>
  <si>
    <t xml:space="preserve">PR-4461</t>
  </si>
  <si>
    <t xml:space="preserve">C001158</t>
  </si>
  <si>
    <t xml:space="preserve">PR-9465</t>
  </si>
  <si>
    <t xml:space="preserve">C001159</t>
  </si>
  <si>
    <t xml:space="preserve">PR-8888</t>
  </si>
  <si>
    <t xml:space="preserve">C001160</t>
  </si>
  <si>
    <t xml:space="preserve">DX-725</t>
  </si>
  <si>
    <t xml:space="preserve">PR-3916</t>
  </si>
  <si>
    <t xml:space="preserve">C001161</t>
  </si>
  <si>
    <t xml:space="preserve">PR-1718</t>
  </si>
  <si>
    <t xml:space="preserve">C001162</t>
  </si>
  <si>
    <t xml:space="preserve">PR-9260</t>
  </si>
  <si>
    <t xml:space="preserve">C001163</t>
  </si>
  <si>
    <t xml:space="preserve">PR-4495</t>
  </si>
  <si>
    <t xml:space="preserve">C001164</t>
  </si>
  <si>
    <t xml:space="preserve">PR-6093</t>
  </si>
  <si>
    <t xml:space="preserve">C001165</t>
  </si>
  <si>
    <t xml:space="preserve">PR-4001</t>
  </si>
  <si>
    <t xml:space="preserve">C001166</t>
  </si>
  <si>
    <t xml:space="preserve">PR-3480</t>
  </si>
  <si>
    <t xml:space="preserve">C001167</t>
  </si>
  <si>
    <t xml:space="preserve">PR-5118</t>
  </si>
  <si>
    <t xml:space="preserve">C001168</t>
  </si>
  <si>
    <t xml:space="preserve">PR-6472</t>
  </si>
  <si>
    <t xml:space="preserve">C001169</t>
  </si>
  <si>
    <t xml:space="preserve">C001170</t>
  </si>
  <si>
    <t xml:space="preserve">PR-1451</t>
  </si>
  <si>
    <t xml:space="preserve">C001171</t>
  </si>
  <si>
    <t xml:space="preserve">PR-6382</t>
  </si>
  <si>
    <t xml:space="preserve">C001172</t>
  </si>
  <si>
    <t xml:space="preserve">DX-815</t>
  </si>
  <si>
    <t xml:space="preserve">PR-2362</t>
  </si>
  <si>
    <t xml:space="preserve">C001173</t>
  </si>
  <si>
    <t xml:space="preserve">PR-7843</t>
  </si>
  <si>
    <t xml:space="preserve">C001174</t>
  </si>
  <si>
    <t xml:space="preserve">DX-132</t>
  </si>
  <si>
    <t xml:space="preserve">PR-8177</t>
  </si>
  <si>
    <t xml:space="preserve">C001175</t>
  </si>
  <si>
    <t xml:space="preserve">PR-1459</t>
  </si>
  <si>
    <t xml:space="preserve">C001176</t>
  </si>
  <si>
    <t xml:space="preserve">PR-2941</t>
  </si>
  <si>
    <t xml:space="preserve">C001177</t>
  </si>
  <si>
    <t xml:space="preserve">PR-6518</t>
  </si>
  <si>
    <t xml:space="preserve">C001178</t>
  </si>
  <si>
    <t xml:space="preserve">DX-172</t>
  </si>
  <si>
    <t xml:space="preserve">C001179</t>
  </si>
  <si>
    <t xml:space="preserve">PR-8196</t>
  </si>
  <si>
    <t xml:space="preserve">C001180</t>
  </si>
  <si>
    <t xml:space="preserve">DX-694</t>
  </si>
  <si>
    <t xml:space="preserve">PR-7143</t>
  </si>
  <si>
    <t xml:space="preserve">C001181</t>
  </si>
  <si>
    <t xml:space="preserve">PR-1181</t>
  </si>
  <si>
    <t xml:space="preserve">C001182</t>
  </si>
  <si>
    <t xml:space="preserve">PR-4060</t>
  </si>
  <si>
    <t xml:space="preserve">C001183</t>
  </si>
  <si>
    <t xml:space="preserve">PR-1760</t>
  </si>
  <si>
    <t xml:space="preserve">C001184</t>
  </si>
  <si>
    <t xml:space="preserve">C001185</t>
  </si>
  <si>
    <t xml:space="preserve">PR-4048</t>
  </si>
  <si>
    <t xml:space="preserve">C001186</t>
  </si>
  <si>
    <t xml:space="preserve">DX-916</t>
  </si>
  <si>
    <t xml:space="preserve">PR-1138</t>
  </si>
  <si>
    <t xml:space="preserve">C001187</t>
  </si>
  <si>
    <t xml:space="preserve">DX-193</t>
  </si>
  <si>
    <t xml:space="preserve">C001188</t>
  </si>
  <si>
    <t xml:space="preserve">PR-9009</t>
  </si>
  <si>
    <t xml:space="preserve">C001189</t>
  </si>
  <si>
    <t xml:space="preserve">PR-6127</t>
  </si>
  <si>
    <t xml:space="preserve">C001190</t>
  </si>
  <si>
    <t xml:space="preserve">PR-6565</t>
  </si>
  <si>
    <t xml:space="preserve">C001191</t>
  </si>
  <si>
    <t xml:space="preserve">PR-9340</t>
  </si>
  <si>
    <t xml:space="preserve">C001192</t>
  </si>
  <si>
    <t xml:space="preserve">PR-4502</t>
  </si>
  <si>
    <t xml:space="preserve">C001193</t>
  </si>
  <si>
    <t xml:space="preserve">DX-384</t>
  </si>
  <si>
    <t xml:space="preserve">PR-5566</t>
  </si>
  <si>
    <t xml:space="preserve">C001194</t>
  </si>
  <si>
    <t xml:space="preserve">PR-4215</t>
  </si>
  <si>
    <t xml:space="preserve">C001195</t>
  </si>
  <si>
    <t xml:space="preserve">PR-3149</t>
  </si>
  <si>
    <t xml:space="preserve">C001196</t>
  </si>
  <si>
    <t xml:space="preserve">PR-2532</t>
  </si>
  <si>
    <t xml:space="preserve">C001197</t>
  </si>
  <si>
    <t xml:space="preserve">DX-464</t>
  </si>
  <si>
    <t xml:space="preserve">C001198</t>
  </si>
  <si>
    <t xml:space="preserve">PR-5891</t>
  </si>
  <si>
    <t xml:space="preserve">C001199</t>
  </si>
  <si>
    <t xml:space="preserve">C001200</t>
  </si>
  <si>
    <t xml:space="preserve">DX-670</t>
  </si>
  <si>
    <t xml:space="preserve">PR-7038</t>
  </si>
  <si>
    <t xml:space="preserve">C001201</t>
  </si>
  <si>
    <t xml:space="preserve">DX-470</t>
  </si>
  <si>
    <t xml:space="preserve">PR-6925</t>
  </si>
  <si>
    <t xml:space="preserve">C001202</t>
  </si>
  <si>
    <t xml:space="preserve">PR-4089</t>
  </si>
  <si>
    <t xml:space="preserve">C001203</t>
  </si>
  <si>
    <t xml:space="preserve">PR-2924</t>
  </si>
  <si>
    <t xml:space="preserve">C001204</t>
  </si>
  <si>
    <t xml:space="preserve">PR-3478</t>
  </si>
  <si>
    <t xml:space="preserve">C001205</t>
  </si>
  <si>
    <t xml:space="preserve">PR-4933</t>
  </si>
  <si>
    <t xml:space="preserve">C001206</t>
  </si>
  <si>
    <t xml:space="preserve">PR-5615</t>
  </si>
  <si>
    <t xml:space="preserve">C001207</t>
  </si>
  <si>
    <t xml:space="preserve">C001208</t>
  </si>
  <si>
    <t xml:space="preserve">PR-8430</t>
  </si>
  <si>
    <t xml:space="preserve">C001209</t>
  </si>
  <si>
    <t xml:space="preserve">PR-8736</t>
  </si>
  <si>
    <t xml:space="preserve">C001210</t>
  </si>
  <si>
    <t xml:space="preserve">PR-3901</t>
  </si>
  <si>
    <t xml:space="preserve">C001211</t>
  </si>
  <si>
    <t xml:space="preserve">PR-7538</t>
  </si>
  <si>
    <t xml:space="preserve">C001212</t>
  </si>
  <si>
    <t xml:space="preserve">PR-7028</t>
  </si>
  <si>
    <t xml:space="preserve">C001213</t>
  </si>
  <si>
    <t xml:space="preserve">PR-3579</t>
  </si>
  <si>
    <t xml:space="preserve">C001214</t>
  </si>
  <si>
    <t xml:space="preserve">DX-331</t>
  </si>
  <si>
    <t xml:space="preserve">PR-2708</t>
  </si>
  <si>
    <t xml:space="preserve">C001215</t>
  </si>
  <si>
    <t xml:space="preserve">C001216</t>
  </si>
  <si>
    <t xml:space="preserve">PR-8547</t>
  </si>
  <si>
    <t xml:space="preserve">C001217</t>
  </si>
  <si>
    <t xml:space="preserve">DX-915</t>
  </si>
  <si>
    <t xml:space="preserve">C001218</t>
  </si>
  <si>
    <t xml:space="preserve">DX-579</t>
  </si>
  <si>
    <t xml:space="preserve">PR-1055</t>
  </si>
  <si>
    <t xml:space="preserve">C001219</t>
  </si>
  <si>
    <t xml:space="preserve">PR-6332</t>
  </si>
  <si>
    <t xml:space="preserve">C001220</t>
  </si>
  <si>
    <t xml:space="preserve">PR-4192</t>
  </si>
  <si>
    <t xml:space="preserve">C001221</t>
  </si>
  <si>
    <t xml:space="preserve">DX-606</t>
  </si>
  <si>
    <t xml:space="preserve">PR-3694</t>
  </si>
  <si>
    <t xml:space="preserve">C001222</t>
  </si>
  <si>
    <t xml:space="preserve">PR-8940</t>
  </si>
  <si>
    <t xml:space="preserve">C001223</t>
  </si>
  <si>
    <t xml:space="preserve">DX-755</t>
  </si>
  <si>
    <t xml:space="preserve">PR-8253</t>
  </si>
  <si>
    <t xml:space="preserve">C001224</t>
  </si>
  <si>
    <t xml:space="preserve">DX-900</t>
  </si>
  <si>
    <t xml:space="preserve">PR-6800</t>
  </si>
  <si>
    <t xml:space="preserve">C001225</t>
  </si>
  <si>
    <t xml:space="preserve">PR-4070</t>
  </si>
  <si>
    <t xml:space="preserve">C001226</t>
  </si>
  <si>
    <t xml:space="preserve">PR-3555</t>
  </si>
  <si>
    <t xml:space="preserve">C001227</t>
  </si>
  <si>
    <t xml:space="preserve">DX-824</t>
  </si>
  <si>
    <t xml:space="preserve">PR-5294</t>
  </si>
  <si>
    <t xml:space="preserve">C001228</t>
  </si>
  <si>
    <t xml:space="preserve">C001229</t>
  </si>
  <si>
    <t xml:space="preserve">PR-1936</t>
  </si>
  <si>
    <t xml:space="preserve">C001230</t>
  </si>
  <si>
    <t xml:space="preserve">DX-985</t>
  </si>
  <si>
    <t xml:space="preserve">PR-5008</t>
  </si>
  <si>
    <t xml:space="preserve">C001231</t>
  </si>
  <si>
    <t xml:space="preserve">PR-5995</t>
  </si>
  <si>
    <t xml:space="preserve">C001232</t>
  </si>
  <si>
    <t xml:space="preserve">PR-7542</t>
  </si>
  <si>
    <t xml:space="preserve">C001233</t>
  </si>
  <si>
    <t xml:space="preserve">PR-2191</t>
  </si>
  <si>
    <t xml:space="preserve">C001234</t>
  </si>
  <si>
    <t xml:space="preserve">M0169</t>
  </si>
  <si>
    <t xml:space="preserve">PR-2496</t>
  </si>
  <si>
    <t xml:space="preserve">C001235</t>
  </si>
  <si>
    <t xml:space="preserve">PR-1008</t>
  </si>
  <si>
    <t xml:space="preserve">C001236</t>
  </si>
  <si>
    <t xml:space="preserve">PR-6037</t>
  </si>
  <si>
    <t xml:space="preserve">C001237</t>
  </si>
  <si>
    <t xml:space="preserve">PR-1595</t>
  </si>
  <si>
    <t xml:space="preserve">C001238</t>
  </si>
  <si>
    <t xml:space="preserve">DX-791</t>
  </si>
  <si>
    <t xml:space="preserve">PR-1463</t>
  </si>
  <si>
    <t xml:space="preserve">C001239</t>
  </si>
  <si>
    <t xml:space="preserve">PR-6058</t>
  </si>
  <si>
    <t xml:space="preserve">C001240</t>
  </si>
  <si>
    <t xml:space="preserve">PR-4820</t>
  </si>
  <si>
    <t xml:space="preserve">C001241</t>
  </si>
  <si>
    <t xml:space="preserve">PR-5654</t>
  </si>
  <si>
    <t xml:space="preserve">C001242</t>
  </si>
  <si>
    <t xml:space="preserve">PR-7568</t>
  </si>
  <si>
    <t xml:space="preserve">C001243</t>
  </si>
  <si>
    <t xml:space="preserve">DX-363</t>
  </si>
  <si>
    <t xml:space="preserve">PR-6416</t>
  </si>
  <si>
    <t xml:space="preserve">C001244</t>
  </si>
  <si>
    <t xml:space="preserve">PR-8231</t>
  </si>
  <si>
    <t xml:space="preserve">C001245</t>
  </si>
  <si>
    <t xml:space="preserve">PR-8634</t>
  </si>
  <si>
    <t xml:space="preserve">C001246</t>
  </si>
  <si>
    <t xml:space="preserve">PR-6144</t>
  </si>
  <si>
    <t xml:space="preserve">C001247</t>
  </si>
  <si>
    <t xml:space="preserve">M0145</t>
  </si>
  <si>
    <t xml:space="preserve">DX-353</t>
  </si>
  <si>
    <t xml:space="preserve">C001248</t>
  </si>
  <si>
    <t xml:space="preserve">PR-5007</t>
  </si>
  <si>
    <t xml:space="preserve">C001249</t>
  </si>
  <si>
    <t xml:space="preserve">DX-249</t>
  </si>
  <si>
    <t xml:space="preserve">PR-4678</t>
  </si>
  <si>
    <t xml:space="preserve">C001250</t>
  </si>
  <si>
    <t xml:space="preserve">PR-8299</t>
  </si>
  <si>
    <t xml:space="preserve">C001251</t>
  </si>
  <si>
    <t xml:space="preserve">M0099</t>
  </si>
  <si>
    <t xml:space="preserve">DX-479</t>
  </si>
  <si>
    <t xml:space="preserve">PR-6516</t>
  </si>
  <si>
    <t xml:space="preserve">C001252</t>
  </si>
  <si>
    <t xml:space="preserve">PR-2050</t>
  </si>
  <si>
    <t xml:space="preserve">C001253</t>
  </si>
  <si>
    <t xml:space="preserve">PR-8560</t>
  </si>
  <si>
    <t xml:space="preserve">C001254</t>
  </si>
  <si>
    <t xml:space="preserve">M0002</t>
  </si>
  <si>
    <t xml:space="preserve">PR-4578</t>
  </si>
  <si>
    <t xml:space="preserve">C001255</t>
  </si>
  <si>
    <t xml:space="preserve">PR-4353</t>
  </si>
  <si>
    <t xml:space="preserve">C001256</t>
  </si>
  <si>
    <t xml:space="preserve">PR-7661</t>
  </si>
  <si>
    <t xml:space="preserve">C001257</t>
  </si>
  <si>
    <t xml:space="preserve">C001258</t>
  </si>
  <si>
    <t xml:space="preserve">C001259</t>
  </si>
  <si>
    <t xml:space="preserve">C001260</t>
  </si>
  <si>
    <t xml:space="preserve">PR-4830</t>
  </si>
  <si>
    <t xml:space="preserve">C001261</t>
  </si>
  <si>
    <t xml:space="preserve">PR-7689</t>
  </si>
  <si>
    <t xml:space="preserve">C001262</t>
  </si>
  <si>
    <t xml:space="preserve">PR-8837</t>
  </si>
  <si>
    <t xml:space="preserve">C001263</t>
  </si>
  <si>
    <t xml:space="preserve">PR-5232</t>
  </si>
  <si>
    <t xml:space="preserve">C001264</t>
  </si>
  <si>
    <t xml:space="preserve">PR-1268</t>
  </si>
  <si>
    <t xml:space="preserve">C001265</t>
  </si>
  <si>
    <t xml:space="preserve">PR-5242</t>
  </si>
  <si>
    <t xml:space="preserve">C001266</t>
  </si>
  <si>
    <t xml:space="preserve">PR-1819</t>
  </si>
  <si>
    <t xml:space="preserve">C001267</t>
  </si>
  <si>
    <t xml:space="preserve">DX-284</t>
  </si>
  <si>
    <t xml:space="preserve">C001268</t>
  </si>
  <si>
    <t xml:space="preserve">PR-8953</t>
  </si>
  <si>
    <t xml:space="preserve">C001269</t>
  </si>
  <si>
    <t xml:space="preserve">C001270</t>
  </si>
  <si>
    <t xml:space="preserve">PR-1590</t>
  </si>
  <si>
    <t xml:space="preserve">C001271</t>
  </si>
  <si>
    <t xml:space="preserve">DX-605</t>
  </si>
  <si>
    <t xml:space="preserve">PR-2671</t>
  </si>
  <si>
    <t xml:space="preserve">C001272</t>
  </si>
  <si>
    <t xml:space="preserve">PR-3364</t>
  </si>
  <si>
    <t xml:space="preserve">C001273</t>
  </si>
  <si>
    <t xml:space="preserve">DX-808</t>
  </si>
  <si>
    <t xml:space="preserve">PR-9840</t>
  </si>
  <si>
    <t xml:space="preserve">C001274</t>
  </si>
  <si>
    <t xml:space="preserve">C001275</t>
  </si>
  <si>
    <t xml:space="preserve">PR-8343</t>
  </si>
  <si>
    <t xml:space="preserve">C001276</t>
  </si>
  <si>
    <t xml:space="preserve">PR-8411</t>
  </si>
  <si>
    <t xml:space="preserve">C001277</t>
  </si>
  <si>
    <t xml:space="preserve">PR-3192</t>
  </si>
  <si>
    <t xml:space="preserve">C001278</t>
  </si>
  <si>
    <t xml:space="preserve">PR-1688</t>
  </si>
  <si>
    <t xml:space="preserve">C001279</t>
  </si>
  <si>
    <t xml:space="preserve">PR-7694</t>
  </si>
  <si>
    <t xml:space="preserve">C001280</t>
  </si>
  <si>
    <t xml:space="preserve">PR-6564</t>
  </si>
  <si>
    <t xml:space="preserve">C001281</t>
  </si>
  <si>
    <t xml:space="preserve">PR-2371</t>
  </si>
  <si>
    <t xml:space="preserve">C001282</t>
  </si>
  <si>
    <t xml:space="preserve">PR-8134</t>
  </si>
  <si>
    <t xml:space="preserve">C001283</t>
  </si>
  <si>
    <t xml:space="preserve">M0272</t>
  </si>
  <si>
    <t xml:space="preserve">DX-498</t>
  </si>
  <si>
    <t xml:space="preserve">C001284</t>
  </si>
  <si>
    <t xml:space="preserve">DX-350</t>
  </si>
  <si>
    <t xml:space="preserve">C001285</t>
  </si>
  <si>
    <t xml:space="preserve">PR-8132</t>
  </si>
  <si>
    <t xml:space="preserve">C001286</t>
  </si>
  <si>
    <t xml:space="preserve">PR-1280</t>
  </si>
  <si>
    <t xml:space="preserve">C001287</t>
  </si>
  <si>
    <t xml:space="preserve">DX-192</t>
  </si>
  <si>
    <t xml:space="preserve">PR-8717</t>
  </si>
  <si>
    <t xml:space="preserve">C001288</t>
  </si>
  <si>
    <t xml:space="preserve">DX-626</t>
  </si>
  <si>
    <t xml:space="preserve">PR-4263</t>
  </si>
  <si>
    <t xml:space="preserve">C001289</t>
  </si>
  <si>
    <t xml:space="preserve">DX-301</t>
  </si>
  <si>
    <t xml:space="preserve">PR-3642</t>
  </si>
  <si>
    <t xml:space="preserve">C001290</t>
  </si>
  <si>
    <t xml:space="preserve">PR-1031</t>
  </si>
  <si>
    <t xml:space="preserve">C001291</t>
  </si>
  <si>
    <t xml:space="preserve">PR-8493</t>
  </si>
  <si>
    <t xml:space="preserve">C001292</t>
  </si>
  <si>
    <t xml:space="preserve">PR-6508</t>
  </si>
  <si>
    <t xml:space="preserve">C001293</t>
  </si>
  <si>
    <t xml:space="preserve">PR-5992</t>
  </si>
  <si>
    <t xml:space="preserve">C001294</t>
  </si>
  <si>
    <t xml:space="preserve">PR-4061</t>
  </si>
  <si>
    <t xml:space="preserve">C001295</t>
  </si>
  <si>
    <t xml:space="preserve">M0247</t>
  </si>
  <si>
    <t xml:space="preserve">DX-766</t>
  </si>
  <si>
    <t xml:space="preserve">C001296</t>
  </si>
  <si>
    <t xml:space="preserve">DX-736</t>
  </si>
  <si>
    <t xml:space="preserve">PR-3087</t>
  </si>
  <si>
    <t xml:space="preserve">C001297</t>
  </si>
  <si>
    <t xml:space="preserve">PR-5897</t>
  </si>
  <si>
    <t xml:space="preserve">C001298</t>
  </si>
  <si>
    <t xml:space="preserve">C001299</t>
  </si>
  <si>
    <t xml:space="preserve">PR-9310</t>
  </si>
  <si>
    <t xml:space="preserve">C001300</t>
  </si>
  <si>
    <t xml:space="preserve">DX-693</t>
  </si>
  <si>
    <t xml:space="preserve">PR-1368</t>
  </si>
  <si>
    <t xml:space="preserve">C001301</t>
  </si>
  <si>
    <t xml:space="preserve">PR-1353</t>
  </si>
  <si>
    <t xml:space="preserve">C001302</t>
  </si>
  <si>
    <t xml:space="preserve">PR-9258</t>
  </si>
  <si>
    <t xml:space="preserve">C001303</t>
  </si>
  <si>
    <t xml:space="preserve">PR-5799</t>
  </si>
  <si>
    <t xml:space="preserve">C001304</t>
  </si>
  <si>
    <t xml:space="preserve">PR-1514</t>
  </si>
  <si>
    <t xml:space="preserve">C001305</t>
  </si>
  <si>
    <t xml:space="preserve">PR-9521</t>
  </si>
  <si>
    <t xml:space="preserve">C001306</t>
  </si>
  <si>
    <t xml:space="preserve">DX-733</t>
  </si>
  <si>
    <t xml:space="preserve">PR-8761</t>
  </si>
  <si>
    <t xml:space="preserve">C001307</t>
  </si>
  <si>
    <t xml:space="preserve">DX-317</t>
  </si>
  <si>
    <t xml:space="preserve">PR-1752</t>
  </si>
  <si>
    <t xml:space="preserve">C001308</t>
  </si>
  <si>
    <t xml:space="preserve">PR-5277</t>
  </si>
  <si>
    <t xml:space="preserve">C001309</t>
  </si>
  <si>
    <t xml:space="preserve">PR-1319</t>
  </si>
  <si>
    <t xml:space="preserve">C001310</t>
  </si>
  <si>
    <t xml:space="preserve">DX-148</t>
  </si>
  <si>
    <t xml:space="preserve">PR-4783</t>
  </si>
  <si>
    <t xml:space="preserve">C001311</t>
  </si>
  <si>
    <t xml:space="preserve">PR-5929</t>
  </si>
  <si>
    <t xml:space="preserve">C001312</t>
  </si>
  <si>
    <t xml:space="preserve">PR-3962</t>
  </si>
  <si>
    <t xml:space="preserve">C001313</t>
  </si>
  <si>
    <t xml:space="preserve">PR-5973</t>
  </si>
  <si>
    <t xml:space="preserve">C001314</t>
  </si>
  <si>
    <t xml:space="preserve">DX-600</t>
  </si>
  <si>
    <t xml:space="preserve">PR-2340</t>
  </si>
  <si>
    <t xml:space="preserve">C001315</t>
  </si>
  <si>
    <t xml:space="preserve">PR-4028</t>
  </si>
  <si>
    <t xml:space="preserve">C001316</t>
  </si>
  <si>
    <t xml:space="preserve">PR-9938</t>
  </si>
  <si>
    <t xml:space="preserve">C001317</t>
  </si>
  <si>
    <t xml:space="preserve">PR-6673</t>
  </si>
  <si>
    <t xml:space="preserve">C001318</t>
  </si>
  <si>
    <t xml:space="preserve">PR-9668</t>
  </si>
  <si>
    <t xml:space="preserve">C001319</t>
  </si>
  <si>
    <t xml:space="preserve">PR-4519</t>
  </si>
  <si>
    <t xml:space="preserve">C001320</t>
  </si>
  <si>
    <t xml:space="preserve">PR-8527</t>
  </si>
  <si>
    <t xml:space="preserve">C001321</t>
  </si>
  <si>
    <t xml:space="preserve">C001322</t>
  </si>
  <si>
    <t xml:space="preserve">PR-2119</t>
  </si>
  <si>
    <t xml:space="preserve">C001323</t>
  </si>
  <si>
    <t xml:space="preserve">PR-3002</t>
  </si>
  <si>
    <t xml:space="preserve">C001324</t>
  </si>
  <si>
    <t xml:space="preserve">PR-7960</t>
  </si>
  <si>
    <t xml:space="preserve">C001325</t>
  </si>
  <si>
    <t xml:space="preserve">PR-4677</t>
  </si>
  <si>
    <t xml:space="preserve">C001326</t>
  </si>
  <si>
    <t xml:space="preserve">DX-724</t>
  </si>
  <si>
    <t xml:space="preserve">PR-1475</t>
  </si>
  <si>
    <t xml:space="preserve">C001327</t>
  </si>
  <si>
    <t xml:space="preserve">PR-7710</t>
  </si>
  <si>
    <t xml:space="preserve">C001328</t>
  </si>
  <si>
    <t xml:space="preserve">DX-274</t>
  </si>
  <si>
    <t xml:space="preserve">PR-7077</t>
  </si>
  <si>
    <t xml:space="preserve">C001329</t>
  </si>
  <si>
    <t xml:space="preserve">DX-551</t>
  </si>
  <si>
    <t xml:space="preserve">PR-8581</t>
  </si>
  <si>
    <t xml:space="preserve">C001330</t>
  </si>
  <si>
    <t xml:space="preserve">PR-8571</t>
  </si>
  <si>
    <t xml:space="preserve">C001331</t>
  </si>
  <si>
    <t xml:space="preserve">PR-3619</t>
  </si>
  <si>
    <t xml:space="preserve">C001332</t>
  </si>
  <si>
    <t xml:space="preserve">PR-5026</t>
  </si>
  <si>
    <t xml:space="preserve">C001333</t>
  </si>
  <si>
    <t xml:space="preserve">DX-555</t>
  </si>
  <si>
    <t xml:space="preserve">PR-8667</t>
  </si>
  <si>
    <t xml:space="preserve">C001334</t>
  </si>
  <si>
    <t xml:space="preserve">PR-9267</t>
  </si>
  <si>
    <t xml:space="preserve">C001335</t>
  </si>
  <si>
    <t xml:space="preserve">PR-2991</t>
  </si>
  <si>
    <t xml:space="preserve">C001336</t>
  </si>
  <si>
    <t xml:space="preserve">PR-2986</t>
  </si>
  <si>
    <t xml:space="preserve">C001337</t>
  </si>
  <si>
    <t xml:space="preserve">PR-6369</t>
  </si>
  <si>
    <t xml:space="preserve">C001338</t>
  </si>
  <si>
    <t xml:space="preserve">PR-7587</t>
  </si>
  <si>
    <t xml:space="preserve">C001339</t>
  </si>
  <si>
    <t xml:space="preserve">DX-917</t>
  </si>
  <si>
    <t xml:space="preserve">PR-1988</t>
  </si>
  <si>
    <t xml:space="preserve">C001340</t>
  </si>
  <si>
    <t xml:space="preserve">PR-5035</t>
  </si>
  <si>
    <t xml:space="preserve">C001341</t>
  </si>
  <si>
    <t xml:space="preserve">PR-5032</t>
  </si>
  <si>
    <t xml:space="preserve">C001342</t>
  </si>
  <si>
    <t xml:space="preserve">DX-975</t>
  </si>
  <si>
    <t xml:space="preserve">C001343</t>
  </si>
  <si>
    <t xml:space="preserve">PR-7753</t>
  </si>
  <si>
    <t xml:space="preserve">C001344</t>
  </si>
  <si>
    <t xml:space="preserve">PR-5351</t>
  </si>
  <si>
    <t xml:space="preserve">C001345</t>
  </si>
  <si>
    <t xml:space="preserve">PR-4416</t>
  </si>
  <si>
    <t xml:space="preserve">C001346</t>
  </si>
  <si>
    <t xml:space="preserve">PR-1735</t>
  </si>
  <si>
    <t xml:space="preserve">C001347</t>
  </si>
  <si>
    <t xml:space="preserve">PR-9791</t>
  </si>
  <si>
    <t xml:space="preserve">C001348</t>
  </si>
  <si>
    <t xml:space="preserve">PR-9043</t>
  </si>
  <si>
    <t xml:space="preserve">C001349</t>
  </si>
  <si>
    <t xml:space="preserve">PR-1575</t>
  </si>
  <si>
    <t xml:space="preserve">C001350</t>
  </si>
  <si>
    <t xml:space="preserve">DX-624</t>
  </si>
  <si>
    <t xml:space="preserve">PR-4644</t>
  </si>
  <si>
    <t xml:space="preserve">C001351</t>
  </si>
  <si>
    <t xml:space="preserve">PR-4162</t>
  </si>
  <si>
    <t xml:space="preserve">C001352</t>
  </si>
  <si>
    <t xml:space="preserve">DX-368</t>
  </si>
  <si>
    <t xml:space="preserve">PR-2111</t>
  </si>
  <si>
    <t xml:space="preserve">C001353</t>
  </si>
  <si>
    <t xml:space="preserve">DX-876</t>
  </si>
  <si>
    <t xml:space="preserve">PR-5579</t>
  </si>
  <si>
    <t xml:space="preserve">C001354</t>
  </si>
  <si>
    <t xml:space="preserve">PR-7082</t>
  </si>
  <si>
    <t xml:space="preserve">C001355</t>
  </si>
  <si>
    <t xml:space="preserve">PR-8776</t>
  </si>
  <si>
    <t xml:space="preserve">C001356</t>
  </si>
  <si>
    <t xml:space="preserve">PR-5745</t>
  </si>
  <si>
    <t xml:space="preserve">C001357</t>
  </si>
  <si>
    <t xml:space="preserve">PR-9615</t>
  </si>
  <si>
    <t xml:space="preserve">C001358</t>
  </si>
  <si>
    <t xml:space="preserve">PR-6492</t>
  </si>
  <si>
    <t xml:space="preserve">C001359</t>
  </si>
  <si>
    <t xml:space="preserve">PR-8616</t>
  </si>
  <si>
    <t xml:space="preserve">C001360</t>
  </si>
  <si>
    <t xml:space="preserve">C001361</t>
  </si>
  <si>
    <t xml:space="preserve">PR-3335</t>
  </si>
  <si>
    <t xml:space="preserve">C001362</t>
  </si>
  <si>
    <t xml:space="preserve">DX-660</t>
  </si>
  <si>
    <t xml:space="preserve">PR-2120</t>
  </si>
  <si>
    <t xml:space="preserve">C001363</t>
  </si>
  <si>
    <t xml:space="preserve">DX-469</t>
  </si>
  <si>
    <t xml:space="preserve">PR-3362</t>
  </si>
  <si>
    <t xml:space="preserve">C001364</t>
  </si>
  <si>
    <t xml:space="preserve">PR-5449</t>
  </si>
  <si>
    <t xml:space="preserve">C001365</t>
  </si>
  <si>
    <t xml:space="preserve">PR-2546</t>
  </si>
  <si>
    <t xml:space="preserve">C001366</t>
  </si>
  <si>
    <t xml:space="preserve">DX-698</t>
  </si>
  <si>
    <t xml:space="preserve">PR-9848</t>
  </si>
  <si>
    <t xml:space="preserve">C001367</t>
  </si>
  <si>
    <t xml:space="preserve">PR-5678</t>
  </si>
  <si>
    <t xml:space="preserve">C001368</t>
  </si>
  <si>
    <t xml:space="preserve">PR-9195</t>
  </si>
  <si>
    <t xml:space="preserve">C001369</t>
  </si>
  <si>
    <t xml:space="preserve">PR-5777</t>
  </si>
  <si>
    <t xml:space="preserve">C001370</t>
  </si>
  <si>
    <t xml:space="preserve">PR-4233</t>
  </si>
  <si>
    <t xml:space="preserve">C001371</t>
  </si>
  <si>
    <t xml:space="preserve">C001372</t>
  </si>
  <si>
    <t xml:space="preserve">PR-4410</t>
  </si>
  <si>
    <t xml:space="preserve">C001373</t>
  </si>
  <si>
    <t xml:space="preserve">DX-726</t>
  </si>
  <si>
    <t xml:space="preserve">PR-1079</t>
  </si>
  <si>
    <t xml:space="preserve">C001374</t>
  </si>
  <si>
    <t xml:space="preserve">PR-3494</t>
  </si>
  <si>
    <t xml:space="preserve">C001375</t>
  </si>
  <si>
    <t xml:space="preserve">PR-9901</t>
  </si>
  <si>
    <t xml:space="preserve">C001376</t>
  </si>
  <si>
    <t xml:space="preserve">PR-5002</t>
  </si>
  <si>
    <t xml:space="preserve">C001377</t>
  </si>
  <si>
    <t xml:space="preserve">PR-1297</t>
  </si>
  <si>
    <t xml:space="preserve">C001378</t>
  </si>
  <si>
    <t xml:space="preserve">DX-484</t>
  </si>
  <si>
    <t xml:space="preserve">PR-5102</t>
  </si>
  <si>
    <t xml:space="preserve">C001379</t>
  </si>
  <si>
    <t xml:space="preserve">M0030</t>
  </si>
  <si>
    <t xml:space="preserve">PR-1262</t>
  </si>
  <si>
    <t xml:space="preserve">C001380</t>
  </si>
  <si>
    <t xml:space="preserve">PR-3445</t>
  </si>
  <si>
    <t xml:space="preserve">C001381</t>
  </si>
  <si>
    <t xml:space="preserve">PR-6104</t>
  </si>
  <si>
    <t xml:space="preserve">C001382</t>
  </si>
  <si>
    <t xml:space="preserve">DX-662</t>
  </si>
  <si>
    <t xml:space="preserve">PR-2903</t>
  </si>
  <si>
    <t xml:space="preserve">C001383</t>
  </si>
  <si>
    <t xml:space="preserve">PR-3832</t>
  </si>
  <si>
    <t xml:space="preserve">C001384</t>
  </si>
  <si>
    <t xml:space="preserve">DX-840</t>
  </si>
  <si>
    <t xml:space="preserve">PR-3879</t>
  </si>
  <si>
    <t xml:space="preserve">C001385</t>
  </si>
  <si>
    <t xml:space="preserve">C001386</t>
  </si>
  <si>
    <t xml:space="preserve">DX-996</t>
  </si>
  <si>
    <t xml:space="preserve">C001387</t>
  </si>
  <si>
    <t xml:space="preserve">DX-342</t>
  </si>
  <si>
    <t xml:space="preserve">PR-1112</t>
  </si>
  <si>
    <t xml:space="preserve">C001388</t>
  </si>
  <si>
    <t xml:space="preserve">DX-671</t>
  </si>
  <si>
    <t xml:space="preserve">PR-7911</t>
  </si>
  <si>
    <t xml:space="preserve">C001389</t>
  </si>
  <si>
    <t xml:space="preserve">PR-1062</t>
  </si>
  <si>
    <t xml:space="preserve">C001390</t>
  </si>
  <si>
    <t xml:space="preserve">PR-9942</t>
  </si>
  <si>
    <t xml:space="preserve">C001391</t>
  </si>
  <si>
    <t xml:space="preserve">DX-522</t>
  </si>
  <si>
    <t xml:space="preserve">PR-2783</t>
  </si>
  <si>
    <t xml:space="preserve">C001392</t>
  </si>
  <si>
    <t xml:space="preserve">PR-7869</t>
  </si>
  <si>
    <t xml:space="preserve">C001393</t>
  </si>
  <si>
    <t xml:space="preserve">C001394</t>
  </si>
  <si>
    <t xml:space="preserve">PR-4204</t>
  </si>
  <si>
    <t xml:space="preserve">C001395</t>
  </si>
  <si>
    <t xml:space="preserve">PR-9236</t>
  </si>
  <si>
    <t xml:space="preserve">C001396</t>
  </si>
  <si>
    <t xml:space="preserve">PR-2611</t>
  </si>
  <si>
    <t xml:space="preserve">C001397</t>
  </si>
  <si>
    <t xml:space="preserve">PR-1480</t>
  </si>
  <si>
    <t xml:space="preserve">C001398</t>
  </si>
  <si>
    <t xml:space="preserve">DX-154</t>
  </si>
  <si>
    <t xml:space="preserve">PR-1957</t>
  </si>
  <si>
    <t xml:space="preserve">C001399</t>
  </si>
  <si>
    <t xml:space="preserve">DX-113</t>
  </si>
  <si>
    <t xml:space="preserve">C001400</t>
  </si>
  <si>
    <t xml:space="preserve">PR-7356</t>
  </si>
  <si>
    <t xml:space="preserve">C001401</t>
  </si>
  <si>
    <t xml:space="preserve">PR-8645</t>
  </si>
  <si>
    <t xml:space="preserve">C001402</t>
  </si>
  <si>
    <t xml:space="preserve">PR-2955</t>
  </si>
  <si>
    <t xml:space="preserve">C001403</t>
  </si>
  <si>
    <t xml:space="preserve">PR-4714</t>
  </si>
  <si>
    <t xml:space="preserve">C001404</t>
  </si>
  <si>
    <t xml:space="preserve">PR-8882</t>
  </si>
  <si>
    <t xml:space="preserve">C001405</t>
  </si>
  <si>
    <t xml:space="preserve">PR-5698</t>
  </si>
  <si>
    <t xml:space="preserve">C001406</t>
  </si>
  <si>
    <t xml:space="preserve">PR-5803</t>
  </si>
  <si>
    <t xml:space="preserve">C001407</t>
  </si>
  <si>
    <t xml:space="preserve">PR-7265</t>
  </si>
  <si>
    <t xml:space="preserve">C001408</t>
  </si>
  <si>
    <t xml:space="preserve">PR-6974</t>
  </si>
  <si>
    <t xml:space="preserve">C001409</t>
  </si>
  <si>
    <t xml:space="preserve">PR-4564</t>
  </si>
  <si>
    <t xml:space="preserve">C001410</t>
  </si>
  <si>
    <t xml:space="preserve">PR-3243</t>
  </si>
  <si>
    <t xml:space="preserve">C001411</t>
  </si>
  <si>
    <t xml:space="preserve">DX-147</t>
  </si>
  <si>
    <t xml:space="preserve">C001412</t>
  </si>
  <si>
    <t xml:space="preserve">DX-336</t>
  </si>
  <si>
    <t xml:space="preserve">PR-6406</t>
  </si>
  <si>
    <t xml:space="preserve">C001413</t>
  </si>
  <si>
    <t xml:space="preserve">PR-9283</t>
  </si>
  <si>
    <t xml:space="preserve">C001414</t>
  </si>
  <si>
    <t xml:space="preserve">PR-9072</t>
  </si>
  <si>
    <t xml:space="preserve">C001415</t>
  </si>
  <si>
    <t xml:space="preserve">DX-974</t>
  </si>
  <si>
    <t xml:space="preserve">PR-1747</t>
  </si>
  <si>
    <t xml:space="preserve">C001416</t>
  </si>
  <si>
    <t xml:space="preserve">DX-890</t>
  </si>
  <si>
    <t xml:space="preserve">PR-5590</t>
  </si>
  <si>
    <t xml:space="preserve">C001417</t>
  </si>
  <si>
    <t xml:space="preserve">PR-7295</t>
  </si>
  <si>
    <t xml:space="preserve">C001418</t>
  </si>
  <si>
    <t xml:space="preserve">PR-4739</t>
  </si>
  <si>
    <t xml:space="preserve">C001419</t>
  </si>
  <si>
    <t xml:space="preserve">PR-1816</t>
  </si>
  <si>
    <t xml:space="preserve">C001420</t>
  </si>
  <si>
    <t xml:space="preserve">DX-146</t>
  </si>
  <si>
    <t xml:space="preserve">PR-8351</t>
  </si>
  <si>
    <t xml:space="preserve">C001421</t>
  </si>
  <si>
    <t xml:space="preserve">PR-9986</t>
  </si>
  <si>
    <t xml:space="preserve">C001422</t>
  </si>
  <si>
    <t xml:space="preserve">PR-5313</t>
  </si>
  <si>
    <t xml:space="preserve">C001423</t>
  </si>
  <si>
    <t xml:space="preserve">DX-907</t>
  </si>
  <si>
    <t xml:space="preserve">PR-1416</t>
  </si>
  <si>
    <t xml:space="preserve">C001424</t>
  </si>
  <si>
    <t xml:space="preserve">PR-4143</t>
  </si>
  <si>
    <t xml:space="preserve">C001425</t>
  </si>
  <si>
    <t xml:space="preserve">PR-3601</t>
  </si>
  <si>
    <t xml:space="preserve">C001426</t>
  </si>
  <si>
    <t xml:space="preserve">PR-7593</t>
  </si>
  <si>
    <t xml:space="preserve">C001427</t>
  </si>
  <si>
    <t xml:space="preserve">PR-2228</t>
  </si>
  <si>
    <t xml:space="preserve">C001428</t>
  </si>
  <si>
    <t xml:space="preserve">PR-9899</t>
  </si>
  <si>
    <t xml:space="preserve">C001429</t>
  </si>
  <si>
    <t xml:space="preserve">PR-3935</t>
  </si>
  <si>
    <t xml:space="preserve">C001430</t>
  </si>
  <si>
    <t xml:space="preserve">PR-9117</t>
  </si>
  <si>
    <t xml:space="preserve">C001431</t>
  </si>
  <si>
    <t xml:space="preserve">C001432</t>
  </si>
  <si>
    <t xml:space="preserve">PR-2853</t>
  </si>
  <si>
    <t xml:space="preserve">C001433</t>
  </si>
  <si>
    <t xml:space="preserve">DX-874</t>
  </si>
  <si>
    <t xml:space="preserve">PR-6326</t>
  </si>
  <si>
    <t xml:space="preserve">C001434</t>
  </si>
  <si>
    <t xml:space="preserve">PR-4684</t>
  </si>
  <si>
    <t xml:space="preserve">C001435</t>
  </si>
  <si>
    <t xml:space="preserve">PR-6702</t>
  </si>
  <si>
    <t xml:space="preserve">C001436</t>
  </si>
  <si>
    <t xml:space="preserve">PR-3723</t>
  </si>
  <si>
    <t xml:space="preserve">C001437</t>
  </si>
  <si>
    <t xml:space="preserve">PR-9947</t>
  </si>
  <si>
    <t xml:space="preserve">C001438</t>
  </si>
  <si>
    <t xml:space="preserve">PR-2692</t>
  </si>
  <si>
    <t xml:space="preserve">C001439</t>
  </si>
  <si>
    <t xml:space="preserve">DX-365</t>
  </si>
  <si>
    <t xml:space="preserve">PR-9883</t>
  </si>
  <si>
    <t xml:space="preserve">C001440</t>
  </si>
  <si>
    <t xml:space="preserve">PR-1667</t>
  </si>
  <si>
    <t xml:space="preserve">C001441</t>
  </si>
  <si>
    <t xml:space="preserve">PR-1547</t>
  </si>
  <si>
    <t xml:space="preserve">C001442</t>
  </si>
  <si>
    <t xml:space="preserve">PR-3657</t>
  </si>
  <si>
    <t xml:space="preserve">C001443</t>
  </si>
  <si>
    <t xml:space="preserve">PR-3069</t>
  </si>
  <si>
    <t xml:space="preserve">C001444</t>
  </si>
  <si>
    <t xml:space="preserve">M0161</t>
  </si>
  <si>
    <t xml:space="preserve">DX-157</t>
  </si>
  <si>
    <t xml:space="preserve">C001445</t>
  </si>
  <si>
    <t xml:space="preserve">DX-709</t>
  </si>
  <si>
    <t xml:space="preserve">PR-5394</t>
  </si>
  <si>
    <t xml:space="preserve">C001446</t>
  </si>
  <si>
    <t xml:space="preserve">PR-4753</t>
  </si>
  <si>
    <t xml:space="preserve">C001447</t>
  </si>
  <si>
    <t xml:space="preserve">PR-7276</t>
  </si>
  <si>
    <t xml:space="preserve">C001448</t>
  </si>
  <si>
    <t xml:space="preserve">DX-775</t>
  </si>
  <si>
    <t xml:space="preserve">PR-9733</t>
  </si>
  <si>
    <t xml:space="preserve">C001449</t>
  </si>
  <si>
    <t xml:space="preserve">PR-5438</t>
  </si>
  <si>
    <t xml:space="preserve">C001450</t>
  </si>
  <si>
    <t xml:space="preserve">PR-3288</t>
  </si>
  <si>
    <t xml:space="preserve">C001451</t>
  </si>
  <si>
    <t xml:space="preserve">DX-743</t>
  </si>
  <si>
    <t xml:space="preserve">PR-6264</t>
  </si>
  <si>
    <t xml:space="preserve">C001452</t>
  </si>
  <si>
    <t xml:space="preserve">C001453</t>
  </si>
  <si>
    <t xml:space="preserve">PR-6575</t>
  </si>
  <si>
    <t xml:space="preserve">C001454</t>
  </si>
  <si>
    <t xml:space="preserve">PR-6253</t>
  </si>
  <si>
    <t xml:space="preserve">C001455</t>
  </si>
  <si>
    <t xml:space="preserve">DX-471</t>
  </si>
  <si>
    <t xml:space="preserve">PR-5999</t>
  </si>
  <si>
    <t xml:space="preserve">C001456</t>
  </si>
  <si>
    <t xml:space="preserve">PR-6740</t>
  </si>
  <si>
    <t xml:space="preserve">C001457</t>
  </si>
  <si>
    <t xml:space="preserve">PR-5127</t>
  </si>
  <si>
    <t xml:space="preserve">C001458</t>
  </si>
  <si>
    <t xml:space="preserve">DX-708</t>
  </si>
  <si>
    <t xml:space="preserve">PR-1187</t>
  </si>
  <si>
    <t xml:space="preserve">C001459</t>
  </si>
  <si>
    <t xml:space="preserve">PR-1862</t>
  </si>
  <si>
    <t xml:space="preserve">C001460</t>
  </si>
  <si>
    <t xml:space="preserve">PR-4598</t>
  </si>
  <si>
    <t xml:space="preserve">C001461</t>
  </si>
  <si>
    <t xml:space="preserve">PR-1094</t>
  </si>
  <si>
    <t xml:space="preserve">C001462</t>
  </si>
  <si>
    <t xml:space="preserve">PR-7848</t>
  </si>
  <si>
    <t xml:space="preserve">C001463</t>
  </si>
  <si>
    <t xml:space="preserve">PR-3842</t>
  </si>
  <si>
    <t xml:space="preserve">C001464</t>
  </si>
  <si>
    <t xml:space="preserve">PR-5243</t>
  </si>
  <si>
    <t xml:space="preserve">C001465</t>
  </si>
  <si>
    <t xml:space="preserve">DX-570</t>
  </si>
  <si>
    <t xml:space="preserve">PR-3927</t>
  </si>
  <si>
    <t xml:space="preserve">C001466</t>
  </si>
  <si>
    <t xml:space="preserve">C001467</t>
  </si>
  <si>
    <t xml:space="preserve">DX-188</t>
  </si>
  <si>
    <t xml:space="preserve">PR-9100</t>
  </si>
  <si>
    <t xml:space="preserve">C001468</t>
  </si>
  <si>
    <t xml:space="preserve">PR-9129</t>
  </si>
  <si>
    <t xml:space="preserve">C001469</t>
  </si>
  <si>
    <t xml:space="preserve">PR-6880</t>
  </si>
  <si>
    <t xml:space="preserve">C001470</t>
  </si>
  <si>
    <t xml:space="preserve">DX-804</t>
  </si>
  <si>
    <t xml:space="preserve">PR-8661</t>
  </si>
  <si>
    <t xml:space="preserve">C001471</t>
  </si>
  <si>
    <t xml:space="preserve">C001472</t>
  </si>
  <si>
    <t xml:space="preserve">PR-9743</t>
  </si>
  <si>
    <t xml:space="preserve">C001473</t>
  </si>
  <si>
    <t xml:space="preserve">PR-4477</t>
  </si>
  <si>
    <t xml:space="preserve">C001474</t>
  </si>
  <si>
    <t xml:space="preserve">PR-7352</t>
  </si>
  <si>
    <t xml:space="preserve">C001475</t>
  </si>
  <si>
    <t xml:space="preserve">PR-3735</t>
  </si>
  <si>
    <t xml:space="preserve">C001476</t>
  </si>
  <si>
    <t xml:space="preserve">PR-7748</t>
  </si>
  <si>
    <t xml:space="preserve">C001477</t>
  </si>
  <si>
    <t xml:space="preserve">PR-8209</t>
  </si>
  <si>
    <t xml:space="preserve">C001478</t>
  </si>
  <si>
    <t xml:space="preserve">PR-8788</t>
  </si>
  <si>
    <t xml:space="preserve">C001479</t>
  </si>
  <si>
    <t xml:space="preserve">PR-6398</t>
  </si>
  <si>
    <t xml:space="preserve">C001480</t>
  </si>
  <si>
    <t xml:space="preserve">PR-1394</t>
  </si>
  <si>
    <t xml:space="preserve">C001481</t>
  </si>
  <si>
    <t xml:space="preserve">PR-5298</t>
  </si>
  <si>
    <t xml:space="preserve">C001482</t>
  </si>
  <si>
    <t xml:space="preserve">PR-2002</t>
  </si>
  <si>
    <t xml:space="preserve">C001483</t>
  </si>
  <si>
    <t xml:space="preserve">PR-9790</t>
  </si>
  <si>
    <t xml:space="preserve">C001484</t>
  </si>
  <si>
    <t xml:space="preserve">PR-7928</t>
  </si>
  <si>
    <t xml:space="preserve">C001485</t>
  </si>
  <si>
    <t xml:space="preserve">PR-5955</t>
  </si>
  <si>
    <t xml:space="preserve">C001486</t>
  </si>
  <si>
    <t xml:space="preserve">PR-6570</t>
  </si>
  <si>
    <t xml:space="preserve">C001487</t>
  </si>
  <si>
    <t xml:space="preserve">PR-5019</t>
  </si>
  <si>
    <t xml:space="preserve">C001488</t>
  </si>
  <si>
    <t xml:space="preserve">PR-7175</t>
  </si>
  <si>
    <t xml:space="preserve">C001489</t>
  </si>
  <si>
    <t xml:space="preserve">PR-3325</t>
  </si>
  <si>
    <t xml:space="preserve">C001490</t>
  </si>
  <si>
    <t xml:space="preserve">PR-8311</t>
  </si>
  <si>
    <t xml:space="preserve">C001491</t>
  </si>
  <si>
    <t xml:space="preserve">DX-641</t>
  </si>
  <si>
    <t xml:space="preserve">C001492</t>
  </si>
  <si>
    <t xml:space="preserve">PR-3413</t>
  </si>
  <si>
    <t xml:space="preserve">C001493</t>
  </si>
  <si>
    <t xml:space="preserve">DX-652</t>
  </si>
  <si>
    <t xml:space="preserve">PR-1035</t>
  </si>
  <si>
    <t xml:space="preserve">C001494</t>
  </si>
  <si>
    <t xml:space="preserve">DX-235</t>
  </si>
  <si>
    <t xml:space="preserve">PR-1254</t>
  </si>
  <si>
    <t xml:space="preserve">C001495</t>
  </si>
  <si>
    <t xml:space="preserve">PR-5412</t>
  </si>
  <si>
    <t xml:space="preserve">C001496</t>
  </si>
  <si>
    <t xml:space="preserve">PR-5837</t>
  </si>
  <si>
    <t xml:space="preserve">C001497</t>
  </si>
  <si>
    <t xml:space="preserve">PR-1146</t>
  </si>
  <si>
    <t xml:space="preserve">C001498</t>
  </si>
  <si>
    <t xml:space="preserve">DX-348</t>
  </si>
  <si>
    <t xml:space="preserve">PR-7151</t>
  </si>
  <si>
    <t xml:space="preserve">C001499</t>
  </si>
  <si>
    <t xml:space="preserve">PR-7016</t>
  </si>
  <si>
    <t xml:space="preserve">C001500</t>
  </si>
  <si>
    <t xml:space="preserve">DX-610</t>
  </si>
  <si>
    <t xml:space="preserve">PR-5075</t>
  </si>
  <si>
    <t xml:space="preserve">Claim / Status</t>
  </si>
  <si>
    <t xml:space="preserve">Total Result</t>
  </si>
  <si>
    <t xml:space="preserve">Data</t>
  </si>
  <si>
    <t xml:space="preserve">Claim / Type</t>
  </si>
  <si>
    <t xml:space="preserve">Avg Processing Days</t>
  </si>
  <si>
    <t xml:space="preserve">Count of Claim_ID</t>
  </si>
  <si>
    <t xml:space="preserve">Sum of Billed_Amount</t>
  </si>
  <si>
    <t xml:space="preserve">Sum of Paid_Amount</t>
  </si>
  <si>
    <t xml:space="preserve">Average of Processing_Days</t>
  </si>
  <si>
    <t xml:space="preserve">Member_Name</t>
  </si>
  <si>
    <t xml:space="preserve">Gender</t>
  </si>
  <si>
    <t xml:space="preserve">DOB</t>
  </si>
  <si>
    <t xml:space="preserve">State</t>
  </si>
  <si>
    <t xml:space="preserve">City</t>
  </si>
  <si>
    <t xml:space="preserve">Plan_Type</t>
  </si>
  <si>
    <t xml:space="preserve">Policy_Start_Date</t>
  </si>
  <si>
    <t xml:space="preserve">Active_Status</t>
  </si>
  <si>
    <t xml:space="preserve">Arjun Sharma</t>
  </si>
  <si>
    <t xml:space="preserve">Female</t>
  </si>
  <si>
    <t xml:space="preserve">Gold</t>
  </si>
  <si>
    <t xml:space="preserve">Active</t>
  </si>
  <si>
    <t xml:space="preserve">Kavya Sharma</t>
  </si>
  <si>
    <t xml:space="preserve">Male</t>
  </si>
  <si>
    <t xml:space="preserve">Hyderabad</t>
  </si>
  <si>
    <t xml:space="preserve">Amit Joshi</t>
  </si>
  <si>
    <t xml:space="preserve">Gurugram</t>
  </si>
  <si>
    <t xml:space="preserve">Kavya Kumar</t>
  </si>
  <si>
    <t xml:space="preserve">Arjun Kumar</t>
  </si>
  <si>
    <t xml:space="preserve">Chennai</t>
  </si>
  <si>
    <t xml:space="preserve">Standard</t>
  </si>
  <si>
    <t xml:space="preserve">Arjun Patel</t>
  </si>
  <si>
    <t xml:space="preserve">Platinum</t>
  </si>
  <si>
    <t xml:space="preserve">Amit Verma</t>
  </si>
  <si>
    <t xml:space="preserve">Silver</t>
  </si>
  <si>
    <t xml:space="preserve">Pooja Mehta</t>
  </si>
  <si>
    <t xml:space="preserve">Mumbai</t>
  </si>
  <si>
    <t xml:space="preserve">Neha Verma</t>
  </si>
  <si>
    <t xml:space="preserve">Bengaluru</t>
  </si>
  <si>
    <t xml:space="preserve">Rohit Gupta</t>
  </si>
  <si>
    <t xml:space="preserve">Ishita Singh</t>
  </si>
  <si>
    <t xml:space="preserve">Kavya Kapoor</t>
  </si>
  <si>
    <t xml:space="preserve">Arjun Singh</t>
  </si>
  <si>
    <t xml:space="preserve">Neha Joshi</t>
  </si>
  <si>
    <t xml:space="preserve">Priya Patel</t>
  </si>
  <si>
    <t xml:space="preserve">Arjun Mehta</t>
  </si>
  <si>
    <t xml:space="preserve">Ananya Malhotra</t>
  </si>
  <si>
    <t xml:space="preserve">Karan Kapoor</t>
  </si>
  <si>
    <t xml:space="preserve">Vikas Joshi</t>
  </si>
  <si>
    <t xml:space="preserve">Amit Mehta</t>
  </si>
  <si>
    <t xml:space="preserve">Karan Gupta</t>
  </si>
  <si>
    <t xml:space="preserve">Noida</t>
  </si>
  <si>
    <t xml:space="preserve">Aditya Sharma</t>
  </si>
  <si>
    <t xml:space="preserve">Vikas Gupta</t>
  </si>
  <si>
    <t xml:space="preserve">Kavya Singh</t>
  </si>
  <si>
    <t xml:space="preserve">Rohit Sharma</t>
  </si>
  <si>
    <t xml:space="preserve">Vivaan Singh</t>
  </si>
  <si>
    <t xml:space="preserve">Kavya Joshi</t>
  </si>
  <si>
    <t xml:space="preserve">Vivaan Sharma</t>
  </si>
  <si>
    <t xml:space="preserve">Aditya Kapoor</t>
  </si>
  <si>
    <t xml:space="preserve">Aditya Patel</t>
  </si>
  <si>
    <t xml:space="preserve">Pooja Singh</t>
  </si>
  <si>
    <t xml:space="preserve">Meera Verma</t>
  </si>
  <si>
    <t xml:space="preserve">M0036</t>
  </si>
  <si>
    <t xml:space="preserve">Karan Kumar</t>
  </si>
  <si>
    <t xml:space="preserve">Anjali Sharma</t>
  </si>
  <si>
    <t xml:space="preserve">Rahul Mehta</t>
  </si>
  <si>
    <t xml:space="preserve">Vikas Mehta</t>
  </si>
  <si>
    <t xml:space="preserve">Ananya Singh</t>
  </si>
  <si>
    <t xml:space="preserve">Aarav Verma</t>
  </si>
  <si>
    <t xml:space="preserve">Rahul Sharma</t>
  </si>
  <si>
    <t xml:space="preserve">Rohan Verma</t>
  </si>
  <si>
    <t xml:space="preserve">Priya Gupta</t>
  </si>
  <si>
    <t xml:space="preserve">Neha Kumar</t>
  </si>
  <si>
    <t xml:space="preserve">Neha Sharma</t>
  </si>
  <si>
    <t xml:space="preserve">Nitin Joshi</t>
  </si>
  <si>
    <t xml:space="preserve">Anjali Joshi</t>
  </si>
  <si>
    <t xml:space="preserve">Rahul Gupta</t>
  </si>
  <si>
    <t xml:space="preserve">M0054</t>
  </si>
  <si>
    <t xml:space="preserve">Ishita Malhotra</t>
  </si>
  <si>
    <t xml:space="preserve">Aditya Mehta</t>
  </si>
  <si>
    <t xml:space="preserve">Aarav Sharma</t>
  </si>
  <si>
    <t xml:space="preserve">Meera Gupta</t>
  </si>
  <si>
    <t xml:space="preserve">Kavya Gupta</t>
  </si>
  <si>
    <t xml:space="preserve">Rahul Malhotra</t>
  </si>
  <si>
    <t xml:space="preserve">Ananya Joshi</t>
  </si>
  <si>
    <t xml:space="preserve">Kavya Patel</t>
  </si>
  <si>
    <t xml:space="preserve">Ananya Patel</t>
  </si>
  <si>
    <t xml:space="preserve">Meera Sharma</t>
  </si>
  <si>
    <t xml:space="preserve">Neha Patel</t>
  </si>
  <si>
    <t xml:space="preserve">Kavya Mehta</t>
  </si>
  <si>
    <t xml:space="preserve">Nitin Kapoor</t>
  </si>
  <si>
    <t xml:space="preserve">Pooja Patel</t>
  </si>
  <si>
    <t xml:space="preserve">Priya Kapoor</t>
  </si>
  <si>
    <t xml:space="preserve">Anjali Kumar</t>
  </si>
  <si>
    <t xml:space="preserve">Rahul Patel</t>
  </si>
  <si>
    <t xml:space="preserve">Ishita Kapoor</t>
  </si>
  <si>
    <t xml:space="preserve">Amit Kumar</t>
  </si>
  <si>
    <t xml:space="preserve">Vikas Malhotra</t>
  </si>
  <si>
    <t xml:space="preserve">Meera Kumar</t>
  </si>
  <si>
    <t xml:space="preserve">Ishita Mehta</t>
  </si>
  <si>
    <t xml:space="preserve">Rohit Singh</t>
  </si>
  <si>
    <t xml:space="preserve">Meera Mehta</t>
  </si>
  <si>
    <t xml:space="preserve">Arjun Verma</t>
  </si>
  <si>
    <t xml:space="preserve">Rahul Kapoor</t>
  </si>
  <si>
    <t xml:space="preserve">Meera Kapoor</t>
  </si>
  <si>
    <t xml:space="preserve">Aditya Singh</t>
  </si>
  <si>
    <t xml:space="preserve">Nitin Malhotra</t>
  </si>
  <si>
    <t xml:space="preserve">Karan Mehta</t>
  </si>
  <si>
    <t xml:space="preserve">Rahul Verma</t>
  </si>
  <si>
    <t xml:space="preserve">Arjun Malhotra</t>
  </si>
  <si>
    <t xml:space="preserve">Nitin Sharma</t>
  </si>
  <si>
    <t xml:space="preserve">Anjali Malhotra</t>
  </si>
  <si>
    <t xml:space="preserve">Vikas Kumar</t>
  </si>
  <si>
    <t xml:space="preserve">Kavya Malhotra</t>
  </si>
  <si>
    <t xml:space="preserve">Aditya Kumar</t>
  </si>
  <si>
    <t xml:space="preserve">Rohit Malhotra</t>
  </si>
  <si>
    <t xml:space="preserve">Ishita Sharma</t>
  </si>
  <si>
    <t xml:space="preserve">Aarav Kapoor</t>
  </si>
  <si>
    <t xml:space="preserve">Karan Verma</t>
  </si>
  <si>
    <t xml:space="preserve">Anjali Mehta</t>
  </si>
  <si>
    <t xml:space="preserve">Ishita Joshi</t>
  </si>
  <si>
    <t xml:space="preserve">Ananya Gupta</t>
  </si>
  <si>
    <t xml:space="preserve">Aditya Gupta</t>
  </si>
  <si>
    <t xml:space="preserve">Rohan Mehta</t>
  </si>
  <si>
    <t xml:space="preserve">Neha Malhotra</t>
  </si>
  <si>
    <t xml:space="preserve">Amit Kapoor</t>
  </si>
  <si>
    <t xml:space="preserve">Vivaan Mehta</t>
  </si>
  <si>
    <t xml:space="preserve">Pooja Joshi</t>
  </si>
  <si>
    <t xml:space="preserve">Sneha Mehta</t>
  </si>
  <si>
    <t xml:space="preserve">Karan Joshi</t>
  </si>
  <si>
    <t xml:space="preserve">Amit Gupta</t>
  </si>
  <si>
    <t xml:space="preserve">Rohit Mehta</t>
  </si>
  <si>
    <t xml:space="preserve">Vikas Patel</t>
  </si>
  <si>
    <t xml:space="preserve">Nitin Singh</t>
  </si>
  <si>
    <t xml:space="preserve">Kavya Verma</t>
  </si>
  <si>
    <t xml:space="preserve">Vikas Verma</t>
  </si>
  <si>
    <t xml:space="preserve">M0150</t>
  </si>
  <si>
    <t xml:space="preserve">Karan Patel</t>
  </si>
  <si>
    <t xml:space="preserve">Neha Mehta</t>
  </si>
  <si>
    <t xml:space="preserve">Vivaan Verma</t>
  </si>
  <si>
    <t xml:space="preserve">Neha Gupta</t>
  </si>
  <si>
    <t xml:space="preserve">Priya Sharma</t>
  </si>
  <si>
    <t xml:space="preserve">Pooja Sharma</t>
  </si>
  <si>
    <t xml:space="preserve">Sneha Verma</t>
  </si>
  <si>
    <t xml:space="preserve">Priya Kumar</t>
  </si>
  <si>
    <t xml:space="preserve">Anjali Gupta</t>
  </si>
  <si>
    <t xml:space="preserve">Ishita Verma</t>
  </si>
  <si>
    <t xml:space="preserve">Anjali Verma</t>
  </si>
  <si>
    <t xml:space="preserve">Ananya Verma</t>
  </si>
  <si>
    <t xml:space="preserve">M0173</t>
  </si>
  <si>
    <t xml:space="preserve">Nitin Verma</t>
  </si>
  <si>
    <t xml:space="preserve">Rohit Joshi</t>
  </si>
  <si>
    <t xml:space="preserve">Rohan Singh</t>
  </si>
  <si>
    <t xml:space="preserve">Nitin Mehta</t>
  </si>
  <si>
    <t xml:space="preserve">Sneha Kapoor</t>
  </si>
  <si>
    <t xml:space="preserve">Arjun Joshi</t>
  </si>
  <si>
    <t xml:space="preserve">Anjali Kapoor</t>
  </si>
  <si>
    <t xml:space="preserve">Meera Patel</t>
  </si>
  <si>
    <t xml:space="preserve">Aarav Kumar</t>
  </si>
  <si>
    <t xml:space="preserve">Amit Sharma</t>
  </si>
  <si>
    <t xml:space="preserve">Vivaan Gupta</t>
  </si>
  <si>
    <t xml:space="preserve">Sneha Patel</t>
  </si>
  <si>
    <t xml:space="preserve">Pooja Kapoor</t>
  </si>
  <si>
    <t xml:space="preserve">Ishita Gupta</t>
  </si>
  <si>
    <t xml:space="preserve">Rohan Malhotra</t>
  </si>
  <si>
    <t xml:space="preserve">Vikas Sharma</t>
  </si>
  <si>
    <t xml:space="preserve">Aditya Verma</t>
  </si>
  <si>
    <t xml:space="preserve">Rohit Kapoor</t>
  </si>
  <si>
    <t xml:space="preserve">Rohan Kapoor</t>
  </si>
  <si>
    <t xml:space="preserve">Rohan Kumar</t>
  </si>
  <si>
    <t xml:space="preserve">Neha Kapoor</t>
  </si>
  <si>
    <t xml:space="preserve">Sneha Singh</t>
  </si>
  <si>
    <t xml:space="preserve">Rahul Kumar</t>
  </si>
  <si>
    <t xml:space="preserve">Nitin Kumar</t>
  </si>
  <si>
    <t xml:space="preserve">Meera Malhotra</t>
  </si>
  <si>
    <t xml:space="preserve">Karan Sharma</t>
  </si>
  <si>
    <t xml:space="preserve">Amit Patel</t>
  </si>
  <si>
    <t xml:space="preserve">Arjun Kapoor</t>
  </si>
  <si>
    <t xml:space="preserve">Priya Verma</t>
  </si>
  <si>
    <t xml:space="preserve">Vivaan Joshi</t>
  </si>
  <si>
    <t xml:space="preserve">Amit Singh</t>
  </si>
  <si>
    <t xml:space="preserve">Ananya Mehta</t>
  </si>
  <si>
    <t xml:space="preserve">Anjali Patel</t>
  </si>
  <si>
    <t xml:space="preserve">Aditya Joshi</t>
  </si>
  <si>
    <t xml:space="preserve">Aarav Mehta</t>
  </si>
  <si>
    <t xml:space="preserve">Ishita Kumar</t>
  </si>
  <si>
    <t xml:space="preserve">Rahul Joshi</t>
  </si>
  <si>
    <t xml:space="preserve">Priya Singh</t>
  </si>
  <si>
    <t xml:space="preserve">Rohit Kumar</t>
  </si>
  <si>
    <t xml:space="preserve">Sneha Joshi</t>
  </si>
  <si>
    <t xml:space="preserve">Sneha Kumar</t>
  </si>
  <si>
    <t xml:space="preserve">Karan Malhotra</t>
  </si>
  <si>
    <t xml:space="preserve">Ananya Kumar</t>
  </si>
  <si>
    <t xml:space="preserve">Provider_Name</t>
  </si>
  <si>
    <t xml:space="preserve">Specialty</t>
  </si>
  <si>
    <t xml:space="preserve">Network_Status</t>
  </si>
  <si>
    <t xml:space="preserve">Provider_Rating</t>
  </si>
  <si>
    <t xml:space="preserve">Apollo Hospital 1</t>
  </si>
  <si>
    <t xml:space="preserve">Orthopedics</t>
  </si>
  <si>
    <t xml:space="preserve">Out-of-Network</t>
  </si>
  <si>
    <t xml:space="preserve">Apollo Clinic 2</t>
  </si>
  <si>
    <t xml:space="preserve">Pediatrics</t>
  </si>
  <si>
    <t xml:space="preserve">In-Network</t>
  </si>
  <si>
    <t xml:space="preserve">City Hospital 3</t>
  </si>
  <si>
    <t xml:space="preserve">Dermatology</t>
  </si>
  <si>
    <t xml:space="preserve">Fortis Clinic 4</t>
  </si>
  <si>
    <t xml:space="preserve">Fortis Clinic 5</t>
  </si>
  <si>
    <t xml:space="preserve">Max Healthcare 6</t>
  </si>
  <si>
    <t xml:space="preserve">Max Clinic 7</t>
  </si>
  <si>
    <t xml:space="preserve">General Medicine</t>
  </si>
  <si>
    <t xml:space="preserve">Fortis Clinic 8</t>
  </si>
  <si>
    <t xml:space="preserve">City Healthcare 9</t>
  </si>
  <si>
    <t xml:space="preserve">Cardiology</t>
  </si>
  <si>
    <t xml:space="preserve">Fortis Clinic 10</t>
  </si>
  <si>
    <t xml:space="preserve">Metro Hospital 11</t>
  </si>
  <si>
    <t xml:space="preserve">City Hospital 12</t>
  </si>
  <si>
    <t xml:space="preserve">Care Healthcare 13</t>
  </si>
  <si>
    <t xml:space="preserve">Apollo Clinic 14</t>
  </si>
  <si>
    <t xml:space="preserve">Sunrise Hospital 15</t>
  </si>
  <si>
    <t xml:space="preserve">City Clinic 16</t>
  </si>
  <si>
    <t xml:space="preserve">Metro Clinic 17</t>
  </si>
  <si>
    <t xml:space="preserve">Max Healthcare 18</t>
  </si>
  <si>
    <t xml:space="preserve">Sunrise Healthcare 19</t>
  </si>
  <si>
    <t xml:space="preserve">Care Hospital 20</t>
  </si>
  <si>
    <t xml:space="preserve">City Healthcare 21</t>
  </si>
  <si>
    <t xml:space="preserve">Care Clinic 22</t>
  </si>
  <si>
    <t xml:space="preserve">Ophthalmology</t>
  </si>
  <si>
    <t xml:space="preserve">Apollo Clinic 23</t>
  </si>
  <si>
    <t xml:space="preserve">Sunrise Hospital 24</t>
  </si>
  <si>
    <t xml:space="preserve">City Clinic 25</t>
  </si>
  <si>
    <t xml:space="preserve">Care Clinic 26</t>
  </si>
  <si>
    <t xml:space="preserve">Fortis Healthcare 27</t>
  </si>
  <si>
    <t xml:space="preserve">Sunrise Hospital 28</t>
  </si>
  <si>
    <t xml:space="preserve">Care Clinic 29</t>
  </si>
  <si>
    <t xml:space="preserve">Sunrise Clinic 30</t>
  </si>
  <si>
    <t xml:space="preserve">Care Clinic 31</t>
  </si>
  <si>
    <t xml:space="preserve">Sunrise Hospital 32</t>
  </si>
  <si>
    <t xml:space="preserve">Max Clinic 33</t>
  </si>
  <si>
    <t xml:space="preserve">Sunrise Clinic 34</t>
  </si>
  <si>
    <t xml:space="preserve">Fortis Clinic 35</t>
  </si>
  <si>
    <t xml:space="preserve">Sunrise Clinic 36</t>
  </si>
  <si>
    <t xml:space="preserve">Max Clinic 37</t>
  </si>
  <si>
    <t xml:space="preserve">Care Healthcare 38</t>
  </si>
  <si>
    <t xml:space="preserve">Sunrise Healthcare 39</t>
  </si>
  <si>
    <t xml:space="preserve">Max Hospital 40</t>
  </si>
  <si>
    <t xml:space="preserve">Apollo Clinic 41</t>
  </si>
  <si>
    <t xml:space="preserve">City Healthcare 42</t>
  </si>
  <si>
    <t xml:space="preserve">Metro Clinic 43</t>
  </si>
  <si>
    <t xml:space="preserve">Max Clinic 44</t>
  </si>
  <si>
    <t xml:space="preserve">Care Healthcare 45</t>
  </si>
  <si>
    <t xml:space="preserve">Apollo Healthcare 46</t>
  </si>
  <si>
    <t xml:space="preserve">Metro Hospital 47</t>
  </si>
  <si>
    <t xml:space="preserve">Apollo Healthcare 48</t>
  </si>
  <si>
    <t xml:space="preserve">Apollo Clinic 49</t>
  </si>
  <si>
    <t xml:space="preserve">Apollo Hospital 50</t>
  </si>
  <si>
    <t xml:space="preserve">Employee_Name</t>
  </si>
  <si>
    <t xml:space="preserve">Department</t>
  </si>
  <si>
    <t xml:space="preserve">Team</t>
  </si>
  <si>
    <t xml:space="preserve">Manager</t>
  </si>
  <si>
    <t xml:space="preserve">Shift</t>
  </si>
  <si>
    <t xml:space="preserve">Location</t>
  </si>
  <si>
    <t xml:space="preserve">Joining_Date</t>
  </si>
  <si>
    <t xml:space="preserve">Nitin Patel</t>
  </si>
  <si>
    <t xml:space="preserve">Provider Services</t>
  </si>
  <si>
    <t xml:space="preserve">Team B</t>
  </si>
  <si>
    <t xml:space="preserve">Manager 2</t>
  </si>
  <si>
    <t xml:space="preserve">Morning</t>
  </si>
  <si>
    <t xml:space="preserve">Finance</t>
  </si>
  <si>
    <t xml:space="preserve">Manager 3</t>
  </si>
  <si>
    <t xml:space="preserve">Night</t>
  </si>
  <si>
    <t xml:space="preserve">Appeals</t>
  </si>
  <si>
    <t xml:space="preserve">Team A</t>
  </si>
  <si>
    <t xml:space="preserve">Evening</t>
  </si>
  <si>
    <t xml:space="preserve">Rahul Singh</t>
  </si>
  <si>
    <t xml:space="preserve">Enrollment</t>
  </si>
  <si>
    <t xml:space="preserve">Team C</t>
  </si>
  <si>
    <t xml:space="preserve">Manager 4</t>
  </si>
  <si>
    <t xml:space="preserve">Rohit Patel</t>
  </si>
  <si>
    <t xml:space="preserve">Team D</t>
  </si>
  <si>
    <t xml:space="preserve">Claims Processing</t>
  </si>
  <si>
    <t xml:space="preserve">Manager 1</t>
  </si>
  <si>
    <t xml:space="preserve">Customer Support</t>
  </si>
  <si>
    <t xml:space="preserve">Aarav Singh</t>
  </si>
  <si>
    <t xml:space="preserve">Aarav Gupta</t>
  </si>
  <si>
    <t xml:space="preserve">Sneha Sharma</t>
  </si>
  <si>
    <t xml:space="preserve">Sneha Gupta</t>
  </si>
  <si>
    <t xml:space="preserve">Pooja Malhotra</t>
  </si>
  <si>
    <t xml:space="preserve">Vivaan Kapoor</t>
  </si>
  <si>
    <t xml:space="preserve">Ananya Kapoor</t>
  </si>
  <si>
    <t xml:space="preserve">Meera Singh</t>
  </si>
  <si>
    <t xml:space="preserve">Ananya Sharma</t>
  </si>
  <si>
    <t xml:space="preserve">Rohan Patel</t>
  </si>
  <si>
    <t xml:space="preserve">Vivaan Patel</t>
  </si>
  <si>
    <t xml:space="preserve">Rohan Sharma</t>
  </si>
  <si>
    <t xml:space="preserve">Vikas Kapoor</t>
  </si>
  <si>
    <t xml:space="preserve">City_Country</t>
  </si>
  <si>
    <t xml:space="preserve">Email</t>
  </si>
  <si>
    <t xml:space="preserve">Mumbai,India</t>
  </si>
  <si>
    <t xml:space="preserve">rohan.kumar@example.com</t>
  </si>
  <si>
    <t xml:space="preserve">Chennai,India</t>
  </si>
  <si>
    <t xml:space="preserve">meera.kumar@example.com</t>
  </si>
  <si>
    <t xml:space="preserve">Bengaluru,India</t>
  </si>
  <si>
    <t xml:space="preserve">vikas.kapoor@example.com</t>
  </si>
  <si>
    <t xml:space="preserve">rohit.malhotra@example.com</t>
  </si>
  <si>
    <t xml:space="preserve">Noida,India</t>
  </si>
  <si>
    <t xml:space="preserve">kavya.verma@example.com</t>
  </si>
  <si>
    <t xml:space="preserve">sneha.joshi@example.com</t>
  </si>
  <si>
    <t xml:space="preserve">nitin.patel@example.com</t>
  </si>
  <si>
    <t xml:space="preserve">karan.mehta@example.com</t>
  </si>
  <si>
    <t xml:space="preserve">  Rohan   Mehta  </t>
  </si>
  <si>
    <t xml:space="preserve">rohan...mehta@example.com</t>
  </si>
  <si>
    <t xml:space="preserve"> Delhi , India </t>
  </si>
  <si>
    <t xml:space="preserve">ananya.verma@example.com</t>
  </si>
  <si>
    <t xml:space="preserve">claims processing</t>
  </si>
  <si>
    <t xml:space="preserve">sneha.mehta@example.com</t>
  </si>
  <si>
    <t xml:space="preserve">meera.sharma@example.com</t>
  </si>
  <si>
    <t xml:space="preserve">Meera Patel
</t>
  </si>
  <si>
    <t xml:space="preserve">Gurugram,India</t>
  </si>
  <si>
    <t xml:space="preserve">meera.patel@example.com</t>
  </si>
  <si>
    <t xml:space="preserve">aditya.mehta@example.com</t>
  </si>
  <si>
    <t xml:space="preserve">Hyderabad,India</t>
  </si>
  <si>
    <t xml:space="preserve">rahul.kapoor@example.com</t>
  </si>
  <si>
    <t xml:space="preserve">aditya.singh@example.com</t>
  </si>
  <si>
    <t xml:space="preserve">rahul.patel @example.com</t>
  </si>
  <si>
    <t xml:space="preserve">  Aditya   Verma  </t>
  </si>
  <si>
    <t xml:space="preserve">aditya...verma@example.com</t>
  </si>
  <si>
    <t xml:space="preserve">neha.kapoor@example.com</t>
  </si>
  <si>
    <t xml:space="preserve"> Mumbai , India </t>
  </si>
  <si>
    <t xml:space="preserve">karan.patel@example.com</t>
  </si>
  <si>
    <t xml:space="preserve">provider services</t>
  </si>
  <si>
    <t xml:space="preserve">Delhi,India</t>
  </si>
  <si>
    <t xml:space="preserve">aarav.singh@example.com</t>
  </si>
  <si>
    <t xml:space="preserve">nitin.malhotra@example.com</t>
  </si>
  <si>
    <t xml:space="preserve">rohit.singh@example.com</t>
  </si>
  <si>
    <t xml:space="preserve">Amit Gupta
</t>
  </si>
  <si>
    <t xml:space="preserve">amit.gupta@example.com</t>
  </si>
  <si>
    <t xml:space="preserve">  Rahul   Kapoor  </t>
  </si>
  <si>
    <t xml:space="preserve">rahul...kapoor@example.com</t>
  </si>
  <si>
    <t xml:space="preserve">vikas.sharma@example.com</t>
  </si>
  <si>
    <t xml:space="preserve">rohit.mehta@example.com</t>
  </si>
  <si>
    <t xml:space="preserve"> Gurugram , India </t>
  </si>
  <si>
    <t xml:space="preserve">rohan.patel@example.com</t>
  </si>
  <si>
    <t xml:space="preserve">pooja.malhotra@example.com</t>
  </si>
  <si>
    <t xml:space="preserve">ishita.mehta@example.com</t>
  </si>
  <si>
    <t xml:space="preserve">kavya.singh @example.com</t>
  </si>
  <si>
    <t xml:space="preserve">aditya.kapoor@example.com</t>
  </si>
  <si>
    <t xml:space="preserve">  Sneha   Kumar  </t>
  </si>
  <si>
    <t xml:space="preserve">sneha...kumar@example.com</t>
  </si>
  <si>
    <t xml:space="preserve">meera.verma@example.com</t>
  </si>
  <si>
    <t xml:space="preserve">Rahul Gupta
</t>
  </si>
  <si>
    <t xml:space="preserve">rahul.gupta@example.com</t>
  </si>
  <si>
    <t xml:space="preserve"> Bengaluru , India </t>
  </si>
  <si>
    <t xml:space="preserve">customer support</t>
  </si>
  <si>
    <t xml:space="preserve">meera.singh@example.com</t>
  </si>
  <si>
    <t xml:space="preserve">  Aditya   Kumar  </t>
  </si>
  <si>
    <t xml:space="preserve">aditya...kumar@example.com</t>
  </si>
  <si>
    <t xml:space="preserve">ananya.sharma@example.com</t>
  </si>
  <si>
    <t xml:space="preserve">pooja.kapoor@example.com</t>
  </si>
  <si>
    <t xml:space="preserve">ishita.joshi@example.com</t>
  </si>
  <si>
    <t xml:space="preserve">vivaan.patel@example.com</t>
  </si>
  <si>
    <t xml:space="preserve">pooja.malhotra @example.com</t>
  </si>
  <si>
    <t xml:space="preserve">Meera Kumar
</t>
  </si>
  <si>
    <t xml:space="preserve">karan.kumar@example.com</t>
  </si>
  <si>
    <t xml:space="preserve">  Aditya   Patel  </t>
  </si>
  <si>
    <t xml:space="preserve">aditya...patel@example.com</t>
  </si>
  <si>
    <t xml:space="preserve">rohan.mehta@example.com</t>
  </si>
  <si>
    <t xml:space="preserve">aditya.kumar@example.com</t>
  </si>
  <si>
    <t xml:space="preserve">ishita.singh@example.com</t>
  </si>
  <si>
    <t xml:space="preserve">anjali.gupta@example.com</t>
  </si>
  <si>
    <t xml:space="preserve"> Hyderabad , India </t>
  </si>
  <si>
    <t xml:space="preserve">sneha.patel@example.com</t>
  </si>
  <si>
    <t xml:space="preserve">aditya.patel@example.com</t>
  </si>
  <si>
    <t xml:space="preserve">priya.gupta @example.com</t>
  </si>
  <si>
    <t xml:space="preserve"> Chennai , India </t>
  </si>
  <si>
    <t xml:space="preserve">vikas.patel@example.com</t>
  </si>
  <si>
    <t xml:space="preserve">  Aditya   Kapoor  </t>
  </si>
  <si>
    <t xml:space="preserve">aditya...kapoor@example.com</t>
  </si>
  <si>
    <t xml:space="preserve">appeals</t>
  </si>
  <si>
    <t xml:space="preserve">priya.gupta@example.com</t>
  </si>
  <si>
    <t xml:space="preserve">Arjun Kapoor
</t>
  </si>
  <si>
    <t xml:space="preserve">arjun.kapoor@example.com</t>
  </si>
  <si>
    <t xml:space="preserve">anjali.kapoor@example.com</t>
  </si>
  <si>
    <t xml:space="preserve">kavya.kapoor@example.com</t>
  </si>
  <si>
    <t xml:space="preserve">arjun.patel@example.com</t>
  </si>
  <si>
    <t xml:space="preserve">sneha.joshi @example.com</t>
  </si>
  <si>
    <t xml:space="preserve">rohit.gupta@example.com</t>
  </si>
  <si>
    <t xml:space="preserve">  Ishita   Verma  </t>
  </si>
  <si>
    <t xml:space="preserve">ishita...verma@example.com</t>
  </si>
  <si>
    <t xml:space="preserve">Kavya Kapoor
</t>
  </si>
  <si>
    <t xml:space="preserve">rohan.kapoor@example.com</t>
  </si>
  <si>
    <t xml:space="preserve">sneha.sharma@example.com</t>
  </si>
  <si>
    <t xml:space="preserve">ishita.verma@example.com</t>
  </si>
  <si>
    <t xml:space="preserve">  Pooja   Kapoor  </t>
  </si>
  <si>
    <t xml:space="preserve">pooja...kapoor@example.com</t>
  </si>
  <si>
    <t xml:space="preserve">anjali.malhotra@example.com</t>
  </si>
  <si>
    <t xml:space="preserve">Aditya Kumar
</t>
  </si>
  <si>
    <t xml:space="preserve">rohan.sharma@example.com</t>
  </si>
  <si>
    <t xml:space="preserve">aarav.gupta@example.com</t>
  </si>
  <si>
    <t xml:space="preserve">  Vivaan   Patel  </t>
  </si>
  <si>
    <t xml:space="preserve">vivaan...patel@example.com</t>
  </si>
  <si>
    <t xml:space="preserve">meera.mehta@example.com</t>
  </si>
  <si>
    <t xml:space="preserve">  Sneha   Kapoor  
</t>
  </si>
  <si>
    <t xml:space="preserve">sneha...kapoor@example.com</t>
  </si>
  <si>
    <t xml:space="preserve">aditya.patel @example.com</t>
  </si>
  <si>
    <t xml:space="preserve">aarav.kumar@example.com</t>
  </si>
  <si>
    <t xml:space="preserve">Healthcare Claims Analytics — Portfolio Project</t>
  </si>
  <si>
    <t xml:space="preserve">Amounts shown in project currency units (source data does not specify a currency).</t>
  </si>
  <si>
    <t xml:space="preserve">Key Performance Indicators</t>
  </si>
  <si>
    <t xml:space="preserve">SLA Compliance</t>
  </si>
  <si>
    <t xml:space="preserve">Claim Type Breakdown</t>
  </si>
  <si>
    <t xml:space="preserve">Top Denial Reasons</t>
  </si>
  <si>
    <t xml:space="preserve">All KPIs and tables are formula-linked to the Claims table — they recalculate automatically if the underlying data changes.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</si>
</sst>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-mmm\-yyyy"/>
    <numFmt numFmtId="166" formatCode="&quot;₹ &quot;#,##0.00"/>
    <numFmt numFmtId="167" formatCode="0.00"/>
    <numFmt numFmtId="168" formatCode="0.00%"/>
    <numFmt numFmtId="169" formatCode="#,##0"/>
    <numFmt numFmtId="170" formatCode="#,##0.00"/>
    <numFmt numFmtId="171" formatCode="0.0%"/>
    <numFmt numFmtId="172" formatCode="0.0&quot; days&quot;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6"/>
      <color rgb="FFF2F2F2"/>
      <name val="Calibri"/>
      <family val="2"/>
    </font>
    <font>
      <sz val="9"/>
      <color rgb="FFD9D9D9"/>
      <name val="Calibri"/>
      <family val="2"/>
    </font>
    <font>
      <b val="true"/>
      <sz val="18"/>
      <color rgb="FF595959"/>
      <name val="Calibri"/>
      <family val="2"/>
    </font>
    <font>
      <b val="true"/>
      <sz val="9"/>
      <color rgb="FFFFFFFF"/>
      <name val="Calibri"/>
      <family val="2"/>
    </font>
    <font>
      <sz val="9"/>
      <color rgb="FF595959"/>
      <name val="Calibri"/>
      <family val="2"/>
    </font>
    <font>
      <sz val="9"/>
      <color rgb="FFBFBFBF"/>
      <name val="Calibri"/>
      <family val="2"/>
    </font>
    <font>
      <b val="true"/>
      <sz val="18"/>
      <color rgb="FF1F3864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sz val="11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0.1"/>
        <bgColor rgb="FFD9D9D9"/>
      </patternFill>
    </fill>
    <fill>
      <patternFill patternType="solid">
        <fgColor rgb="FFDCE6F1"/>
        <bgColor rgb="FFD9D9D9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6" fillId="0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3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8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8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8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8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C0504D"/>
      <rgbColor rgb="FFF2F2F2"/>
      <rgbColor rgb="FFDCE6F1"/>
      <rgbColor rgb="FF660066"/>
      <rgbColor rgb="FFFF8080"/>
      <rgbColor rgb="FF2E5F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DD9C3"/>
      <rgbColor rgb="FF397BCA"/>
      <rgbColor rgb="FF4BACC6"/>
      <rgbColor rgb="FF9BBB59"/>
      <rgbColor rgb="FFFFCC00"/>
      <rgbColor rgb="FFFF9900"/>
      <rgbColor rgb="FFFF6600"/>
      <rgbColor rgb="FF8064A2"/>
      <rgbColor rgb="FFB8B8B8"/>
      <rgbColor rgb="FF1F3864"/>
      <rgbColor rgb="FF4F81BD"/>
      <rgbColor rgb="FF003300"/>
      <rgbColor rgb="FF404040"/>
      <rgbColor rgb="FF993300"/>
      <rgbColor rgb="FF993366"/>
      <rgbColor rgb="FF59595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<Relationship Id="rId12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600" spc="94" strike="noStrike">
                <a:solidFill>
                  <a:srgbClr val="f2f2f2"/>
                </a:solidFill>
                <a:latin typeface="Calibri"/>
              </a:defRPr>
            </a:pPr>
            <a:r>
              <a:rPr b="1" lang="en-US" sz="1600" spc="94" strike="noStrike">
                <a:solidFill>
                  <a:srgbClr val="f2f2f2"/>
                </a:solidFill>
                <a:latin typeface="Calibri"/>
              </a:rPr>
              <a:t>Claims Denied by Reason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'Pivot Analysis'!$B$19</c:f>
              <c:strCache>
                <c:ptCount val="1"/>
                <c:pt idx="0">
                  <c:v>Claims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Analysis'!$A$20:$A$25</c:f>
              <c:strCache>
                <c:ptCount val="6"/>
                <c:pt idx="0">
                  <c:v>Duplicate Claim</c:v>
                </c:pt>
                <c:pt idx="1">
                  <c:v>Eligibility Issue</c:v>
                </c:pt>
                <c:pt idx="2">
                  <c:v>Invalid Procedure Code</c:v>
                </c:pt>
                <c:pt idx="3">
                  <c:v>Missing Documentation</c:v>
                </c:pt>
                <c:pt idx="4">
                  <c:v>Out of Network</c:v>
                </c:pt>
                <c:pt idx="5">
                  <c:v>Total Result</c:v>
                </c:pt>
              </c:strCache>
            </c:strRef>
          </c:cat>
          <c:val>
            <c:numRef>
              <c:f>'Pivot Analysis'!$B$20:$B$25</c:f>
              <c:numCache>
                <c:formatCode>General</c:formatCode>
                <c:ptCount val="6"/>
                <c:pt idx="0">
                  <c:v>59</c:v>
                </c:pt>
                <c:pt idx="1">
                  <c:v>65</c:v>
                </c:pt>
                <c:pt idx="2">
                  <c:v>60</c:v>
                </c:pt>
                <c:pt idx="3">
                  <c:v>63</c:v>
                </c:pt>
                <c:pt idx="4">
                  <c:v>44</c:v>
                </c:pt>
                <c:pt idx="5">
                  <c:v>291</c:v>
                </c:pt>
              </c:numCache>
            </c:numRef>
          </c:val>
        </c:ser>
        <c:gapWidth val="115"/>
        <c:overlap val="-20"/>
        <c:axId val="81683126"/>
        <c:axId val="54097722"/>
      </c:barChart>
      <c:catAx>
        <c:axId val="816831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Calibri"/>
              </a:defRPr>
            </a:pPr>
          </a:p>
        </c:txPr>
        <c:crossAx val="54097722"/>
        <c:crosses val="autoZero"/>
        <c:auto val="1"/>
        <c:lblAlgn val="ctr"/>
        <c:lblOffset val="100"/>
        <c:noMultiLvlLbl val="0"/>
      </c:catAx>
      <c:valAx>
        <c:axId val="54097722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Calibri"/>
              </a:defRPr>
            </a:pPr>
          </a:p>
        </c:txPr>
        <c:crossAx val="816831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595959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595959"/>
                </a:solidFill>
                <a:latin typeface="Calibri"/>
              </a:rPr>
              <a:t>Claims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'Pivot Analysis'!$B$1</c:f>
              <c:strCache>
                <c:ptCount val="1"/>
                <c:pt idx="0">
                  <c:v>Claim / Status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'Pivot Analysis'!$A$2:$A$6</c:f>
              <c:strCache>
                <c:ptCount val="5"/>
                <c:pt idx="0">
                  <c:v>Cancelled</c:v>
                </c:pt>
                <c:pt idx="1">
                  <c:v>Denied</c:v>
                </c:pt>
                <c:pt idx="2">
                  <c:v>Paid</c:v>
                </c:pt>
                <c:pt idx="3">
                  <c:v>Pending</c:v>
                </c:pt>
                <c:pt idx="4">
                  <c:v>Total Result</c:v>
                </c:pt>
              </c:strCache>
            </c:strRef>
          </c:cat>
          <c:val>
            <c:numRef>
              <c:f>'Pivot Analysis'!$B$2:$B$6</c:f>
              <c:numCache>
                <c:formatCode>General</c:formatCode>
                <c:ptCount val="5"/>
                <c:pt idx="0">
                  <c:v>83</c:v>
                </c:pt>
                <c:pt idx="1">
                  <c:v>291</c:v>
                </c:pt>
                <c:pt idx="2">
                  <c:v>868</c:v>
                </c:pt>
                <c:pt idx="3">
                  <c:v>258</c:v>
                </c:pt>
                <c:pt idx="4">
                  <c:v>1500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24899598393574"/>
          <c:y val="0.594929060440872"/>
          <c:w val="0.259036144578313"/>
          <c:h val="0.373100233100233"/>
        </c:manualLayout>
      </c:layout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pattFill prst="ltDnDiag">
      <a:fgClr>
        <a:srgbClr val="f2f2f2"/>
      </a:fgClr>
      <a:bgClr>
        <a:srgbClr val="ffffff"/>
      </a:bgClr>
    </a:patt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'Pivot Analysis'!$B$10</c:f>
              <c:strCache>
                <c:ptCount val="1"/>
                <c:pt idx="0">
                  <c:v>Data</c:v>
                </c:pt>
              </c:strCache>
            </c:strRef>
          </c:tx>
          <c:spPr>
            <a:noFill/>
            <a:ln w="9360">
              <a:solidFill>
                <a:srgbClr val="4f81bd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Analysis'!$A$11:$A$15</c:f>
              <c:strCache>
                <c:ptCount val="5"/>
                <c:pt idx="0">
                  <c:v>Claim_Type</c:v>
                </c:pt>
                <c:pt idx="1">
                  <c:v>Dental</c:v>
                </c:pt>
                <c:pt idx="2">
                  <c:v>Medical</c:v>
                </c:pt>
                <c:pt idx="3">
                  <c:v>Pharmacy</c:v>
                </c:pt>
                <c:pt idx="4">
                  <c:v>Vision</c:v>
                </c:pt>
              </c:strCache>
            </c:strRef>
          </c:cat>
          <c:val>
            <c:numRef>
              <c:f>'Pivot Analysis'!$B$11:$B$15</c:f>
              <c:numCache>
                <c:formatCode>General</c:formatCode>
                <c:ptCount val="5"/>
                <c:pt idx="1">
                  <c:v>353</c:v>
                </c:pt>
                <c:pt idx="2">
                  <c:v>399</c:v>
                </c:pt>
                <c:pt idx="3">
                  <c:v>372</c:v>
                </c:pt>
                <c:pt idx="4">
                  <c:v>376</c:v>
                </c:pt>
              </c:numCache>
            </c:numRef>
          </c:val>
        </c:ser>
        <c:ser>
          <c:idx val="1"/>
          <c:order val="1"/>
          <c:tx>
            <c:strRef>
              <c:f>'Pivot Analysis'!$C$10</c:f>
              <c:strCache>
                <c:ptCount val="1"/>
                <c:pt idx="0">
                  <c:v/>
                </c:pt>
              </c:strCache>
            </c:strRef>
          </c:tx>
          <c:spPr>
            <a:noFill/>
            <a:ln w="9360">
              <a:solidFill>
                <a:srgbClr val="c0504d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Analysis'!$A$11:$A$15</c:f>
              <c:strCache>
                <c:ptCount val="5"/>
                <c:pt idx="0">
                  <c:v>Claim_Type</c:v>
                </c:pt>
                <c:pt idx="1">
                  <c:v>Dental</c:v>
                </c:pt>
                <c:pt idx="2">
                  <c:v>Medical</c:v>
                </c:pt>
                <c:pt idx="3">
                  <c:v>Pharmacy</c:v>
                </c:pt>
                <c:pt idx="4">
                  <c:v>Vision</c:v>
                </c:pt>
              </c:strCache>
            </c:strRef>
          </c:cat>
          <c:val>
            <c:numRef>
              <c:f>'Pivot Analysis'!$C$11:$C$15</c:f>
              <c:numCache>
                <c:formatCode>General</c:formatCode>
                <c:ptCount val="5"/>
                <c:pt idx="1">
                  <c:v>8837669.49</c:v>
                </c:pt>
                <c:pt idx="2">
                  <c:v>10429787.81</c:v>
                </c:pt>
                <c:pt idx="3">
                  <c:v>9495447.01</c:v>
                </c:pt>
                <c:pt idx="4">
                  <c:v>9936667.49</c:v>
                </c:pt>
              </c:numCache>
            </c:numRef>
          </c:val>
        </c:ser>
        <c:ser>
          <c:idx val="2"/>
          <c:order val="2"/>
          <c:tx>
            <c:strRef>
              <c:f>'Pivot Analysis'!$D$10</c:f>
              <c:strCache>
                <c:ptCount val="1"/>
                <c:pt idx="0">
                  <c:v/>
                </c:pt>
              </c:strCache>
            </c:strRef>
          </c:tx>
          <c:spPr>
            <a:noFill/>
            <a:ln w="9360">
              <a:solidFill>
                <a:srgbClr val="9bbb5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Analysis'!$A$11:$A$15</c:f>
              <c:strCache>
                <c:ptCount val="5"/>
                <c:pt idx="0">
                  <c:v>Claim_Type</c:v>
                </c:pt>
                <c:pt idx="1">
                  <c:v>Dental</c:v>
                </c:pt>
                <c:pt idx="2">
                  <c:v>Medical</c:v>
                </c:pt>
                <c:pt idx="3">
                  <c:v>Pharmacy</c:v>
                </c:pt>
                <c:pt idx="4">
                  <c:v>Vision</c:v>
                </c:pt>
              </c:strCache>
            </c:strRef>
          </c:cat>
          <c:val>
            <c:numRef>
              <c:f>'Pivot Analysis'!$D$11:$D$15</c:f>
              <c:numCache>
                <c:formatCode>General</c:formatCode>
                <c:ptCount val="5"/>
                <c:pt idx="1">
                  <c:v>3522797.72</c:v>
                </c:pt>
                <c:pt idx="2">
                  <c:v>3917719.65</c:v>
                </c:pt>
                <c:pt idx="3">
                  <c:v>4052838.05</c:v>
                </c:pt>
                <c:pt idx="4">
                  <c:v>4287879.54</c:v>
                </c:pt>
              </c:numCache>
            </c:numRef>
          </c:val>
        </c:ser>
        <c:ser>
          <c:idx val="3"/>
          <c:order val="3"/>
          <c:tx>
            <c:strRef>
              <c:f>'Pivot Analysis'!$E$10</c:f>
              <c:strCache>
                <c:ptCount val="1"/>
                <c:pt idx="0">
                  <c:v/>
                </c:pt>
              </c:strCache>
            </c:strRef>
          </c:tx>
          <c:spPr>
            <a:noFill/>
            <a:ln w="9360">
              <a:solidFill>
                <a:srgbClr val="8064a2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Analysis'!$A$11:$A$15</c:f>
              <c:strCache>
                <c:ptCount val="5"/>
                <c:pt idx="0">
                  <c:v>Claim_Type</c:v>
                </c:pt>
                <c:pt idx="1">
                  <c:v>Dental</c:v>
                </c:pt>
                <c:pt idx="2">
                  <c:v>Medical</c:v>
                </c:pt>
                <c:pt idx="3">
                  <c:v>Pharmacy</c:v>
                </c:pt>
                <c:pt idx="4">
                  <c:v>Vision</c:v>
                </c:pt>
              </c:strCache>
            </c:strRef>
          </c:cat>
          <c:val>
            <c:numRef>
              <c:f>'Pivot Analysis'!$E$11:$E$15</c:f>
              <c:numCache>
                <c:formatCode>General</c:formatCode>
                <c:ptCount val="5"/>
                <c:pt idx="1">
                  <c:v>5.53257790368272</c:v>
                </c:pt>
                <c:pt idx="2">
                  <c:v>5.54636591478697</c:v>
                </c:pt>
                <c:pt idx="3">
                  <c:v>5.01075268817204</c:v>
                </c:pt>
                <c:pt idx="4">
                  <c:v>5.2686170212766</c:v>
                </c:pt>
              </c:numCache>
            </c:numRef>
          </c:val>
        </c:ser>
        <c:gapWidth val="315"/>
        <c:overlap val="-40"/>
        <c:axId val="75265161"/>
        <c:axId val="83633789"/>
      </c:barChart>
      <c:catAx>
        <c:axId val="75265161"/>
        <c:scaling>
          <c:orientation val="minMax"/>
        </c:scaling>
        <c:delete val="0"/>
        <c:axPos val="b"/>
        <c:majorGridlines>
          <c:spPr>
            <a:ln w="9360">
              <a:solidFill>
                <a:srgbClr val="59595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bfbfbf"/>
                </a:solidFill>
                <a:latin typeface="Calibri"/>
              </a:defRPr>
            </a:pPr>
          </a:p>
        </c:txPr>
        <c:crossAx val="83633789"/>
        <c:crosses val="autoZero"/>
        <c:auto val="1"/>
        <c:lblAlgn val="ctr"/>
        <c:lblOffset val="100"/>
        <c:noMultiLvlLbl val="0"/>
      </c:catAx>
      <c:valAx>
        <c:axId val="83633789"/>
        <c:scaling>
          <c:orientation val="minMax"/>
        </c:scaling>
        <c:delete val="0"/>
        <c:axPos val="l"/>
        <c:majorGridlines>
          <c:spPr>
            <a:ln w="9360">
              <a:solidFill>
                <a:srgbClr val="59595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bfbfbf"/>
                </a:solidFill>
                <a:latin typeface="Calibri"/>
              </a:defRPr>
            </a:pPr>
          </a:p>
        </c:txPr>
        <c:crossAx val="752651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bfbfbf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404040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60840</xdr:colOff>
      <xdr:row>15</xdr:row>
      <xdr:rowOff>137160</xdr:rowOff>
    </xdr:from>
    <xdr:to>
      <xdr:col>8</xdr:col>
      <xdr:colOff>60120</xdr:colOff>
      <xdr:row>27</xdr:row>
      <xdr:rowOff>105840</xdr:rowOff>
    </xdr:to>
    <xdr:graphicFrame>
      <xdr:nvGraphicFramePr>
        <xdr:cNvPr id="0" name="Chart 1"/>
        <xdr:cNvGraphicFramePr/>
      </xdr:nvGraphicFramePr>
      <xdr:xfrm>
        <a:off x="2097360" y="2851920"/>
        <a:ext cx="6231600" cy="2140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137160</xdr:colOff>
      <xdr:row>0</xdr:row>
      <xdr:rowOff>0</xdr:rowOff>
    </xdr:from>
    <xdr:to>
      <xdr:col>11</xdr:col>
      <xdr:colOff>441360</xdr:colOff>
      <xdr:row>13</xdr:row>
      <xdr:rowOff>98280</xdr:rowOff>
    </xdr:to>
    <xdr:graphicFrame>
      <xdr:nvGraphicFramePr>
        <xdr:cNvPr id="1" name="Chart 2"/>
        <xdr:cNvGraphicFramePr/>
      </xdr:nvGraphicFramePr>
      <xdr:xfrm>
        <a:off x="6691680" y="0"/>
        <a:ext cx="3733200" cy="2450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60840</xdr:colOff>
      <xdr:row>14</xdr:row>
      <xdr:rowOff>0</xdr:rowOff>
    </xdr:from>
    <xdr:to>
      <xdr:col>15</xdr:col>
      <xdr:colOff>380160</xdr:colOff>
      <xdr:row>28</xdr:row>
      <xdr:rowOff>180360</xdr:rowOff>
    </xdr:to>
    <xdr:graphicFrame>
      <xdr:nvGraphicFramePr>
        <xdr:cNvPr id="2" name="Chart 3"/>
        <xdr:cNvGraphicFramePr/>
      </xdr:nvGraphicFramePr>
      <xdr:xfrm>
        <a:off x="8329680" y="2533680"/>
        <a:ext cx="4320000" cy="2714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500" createdVersion="3">
  <cacheSource type="worksheet">
    <worksheetSource ref="A1:S1501" sheet="Claims"/>
  </cacheSource>
  <cacheFields count="19">
    <cacheField name="Claim_ID" numFmtId="0">
      <sharedItems count="1500">
        <s v="C000001"/>
        <s v="C000002"/>
        <s v="C000003"/>
        <s v="C000004"/>
        <s v="C000005"/>
        <s v="C000006"/>
        <s v="C000007"/>
        <s v="C000008"/>
        <s v="C000009"/>
        <s v="C000010"/>
        <s v="C000011"/>
        <s v="C000012"/>
        <s v="C000013"/>
        <s v="C000014"/>
        <s v="C000015"/>
        <s v="C000016"/>
        <s v="C000017"/>
        <s v="C000018"/>
        <s v="C000019"/>
        <s v="C000020"/>
        <s v="C000021"/>
        <s v="C000022"/>
        <s v="C000023"/>
        <s v="C000024"/>
        <s v="C000025"/>
        <s v="C000026"/>
        <s v="C000027"/>
        <s v="C000028"/>
        <s v="C000029"/>
        <s v="C000030"/>
        <s v="C000031"/>
        <s v="C000032"/>
        <s v="C000033"/>
        <s v="C000034"/>
        <s v="C000035"/>
        <s v="C000036"/>
        <s v="C000037"/>
        <s v="C000038"/>
        <s v="C000039"/>
        <s v="C000040"/>
        <s v="C000041"/>
        <s v="C000042"/>
        <s v="C000043"/>
        <s v="C000044"/>
        <s v="C000045"/>
        <s v="C000046"/>
        <s v="C000047"/>
        <s v="C000048"/>
        <s v="C000049"/>
        <s v="C000050"/>
        <s v="C000051"/>
        <s v="C000052"/>
        <s v="C000053"/>
        <s v="C000054"/>
        <s v="C000055"/>
        <s v="C000056"/>
        <s v="C000057"/>
        <s v="C000058"/>
        <s v="C000059"/>
        <s v="C000060"/>
        <s v="C000061"/>
        <s v="C000062"/>
        <s v="C000063"/>
        <s v="C000064"/>
        <s v="C000065"/>
        <s v="C000066"/>
        <s v="C000067"/>
        <s v="C000068"/>
        <s v="C000069"/>
        <s v="C000070"/>
        <s v="C000071"/>
        <s v="C000072"/>
        <s v="C000073"/>
        <s v="C000074"/>
        <s v="C000075"/>
        <s v="C000076"/>
        <s v="C000077"/>
        <s v="C000078"/>
        <s v="C000079"/>
        <s v="C000080"/>
        <s v="C000081"/>
        <s v="C000082"/>
        <s v="C000083"/>
        <s v="C000084"/>
        <s v="C000085"/>
        <s v="C000086"/>
        <s v="C000087"/>
        <s v="C000088"/>
        <s v="C000089"/>
        <s v="C000090"/>
        <s v="C000091"/>
        <s v="C000092"/>
        <s v="C000093"/>
        <s v="C000094"/>
        <s v="C000095"/>
        <s v="C000096"/>
        <s v="C000097"/>
        <s v="C000098"/>
        <s v="C000099"/>
        <s v="C000100"/>
        <s v="C000101"/>
        <s v="C000102"/>
        <s v="C000103"/>
        <s v="C000104"/>
        <s v="C000105"/>
        <s v="C000106"/>
        <s v="C000107"/>
        <s v="C000108"/>
        <s v="C000109"/>
        <s v="C000110"/>
        <s v="C000111"/>
        <s v="C000112"/>
        <s v="C000113"/>
        <s v="C000114"/>
        <s v="C000115"/>
        <s v="C000116"/>
        <s v="C000117"/>
        <s v="C000118"/>
        <s v="C000119"/>
        <s v="C000120"/>
        <s v="C000121"/>
        <s v="C000122"/>
        <s v="C000123"/>
        <s v="C000124"/>
        <s v="C000125"/>
        <s v="C000126"/>
        <s v="C000127"/>
        <s v="C000128"/>
        <s v="C000129"/>
        <s v="C000130"/>
        <s v="C000131"/>
        <s v="C000132"/>
        <s v="C000133"/>
        <s v="C000134"/>
        <s v="C000135"/>
        <s v="C000136"/>
        <s v="C000137"/>
        <s v="C000138"/>
        <s v="C000139"/>
        <s v="C000140"/>
        <s v="C000141"/>
        <s v="C000142"/>
        <s v="C000143"/>
        <s v="C000144"/>
        <s v="C000145"/>
        <s v="C000146"/>
        <s v="C000147"/>
        <s v="C000148"/>
        <s v="C000149"/>
        <s v="C000150"/>
        <s v="C000151"/>
        <s v="C000152"/>
        <s v="C000153"/>
        <s v="C000154"/>
        <s v="C000155"/>
        <s v="C000156"/>
        <s v="C000157"/>
        <s v="C000158"/>
        <s v="C000159"/>
        <s v="C000160"/>
        <s v="C000161"/>
        <s v="C000162"/>
        <s v="C000163"/>
        <s v="C000164"/>
        <s v="C000165"/>
        <s v="C000166"/>
        <s v="C000167"/>
        <s v="C000168"/>
        <s v="C000169"/>
        <s v="C000170"/>
        <s v="C000171"/>
        <s v="C000172"/>
        <s v="C000173"/>
        <s v="C000174"/>
        <s v="C000175"/>
        <s v="C000176"/>
        <s v="C000177"/>
        <s v="C000178"/>
        <s v="C000179"/>
        <s v="C000180"/>
        <s v="C000181"/>
        <s v="C000182"/>
        <s v="C000183"/>
        <s v="C000184"/>
        <s v="C000185"/>
        <s v="C000186"/>
        <s v="C000187"/>
        <s v="C000188"/>
        <s v="C000189"/>
        <s v="C000190"/>
        <s v="C000191"/>
        <s v="C000192"/>
        <s v="C000193"/>
        <s v="C000194"/>
        <s v="C000195"/>
        <s v="C000196"/>
        <s v="C000197"/>
        <s v="C000198"/>
        <s v="C000199"/>
        <s v="C000200"/>
        <s v="C000201"/>
        <s v="C000202"/>
        <s v="C000203"/>
        <s v="C000204"/>
        <s v="C000205"/>
        <s v="C000206"/>
        <s v="C000207"/>
        <s v="C000208"/>
        <s v="C000209"/>
        <s v="C000210"/>
        <s v="C000211"/>
        <s v="C000212"/>
        <s v="C000213"/>
        <s v="C000214"/>
        <s v="C000215"/>
        <s v="C000216"/>
        <s v="C000217"/>
        <s v="C000218"/>
        <s v="C000219"/>
        <s v="C000220"/>
        <s v="C000221"/>
        <s v="C000222"/>
        <s v="C000223"/>
        <s v="C000224"/>
        <s v="C000225"/>
        <s v="C000226"/>
        <s v="C000227"/>
        <s v="C000228"/>
        <s v="C000229"/>
        <s v="C000230"/>
        <s v="C000231"/>
        <s v="C000232"/>
        <s v="C000233"/>
        <s v="C000234"/>
        <s v="C000235"/>
        <s v="C000236"/>
        <s v="C000237"/>
        <s v="C000238"/>
        <s v="C000239"/>
        <s v="C000240"/>
        <s v="C000241"/>
        <s v="C000242"/>
        <s v="C000243"/>
        <s v="C000244"/>
        <s v="C000245"/>
        <s v="C000246"/>
        <s v="C000247"/>
        <s v="C000248"/>
        <s v="C000249"/>
        <s v="C000250"/>
        <s v="C000251"/>
        <s v="C000252"/>
        <s v="C000253"/>
        <s v="C000254"/>
        <s v="C000255"/>
        <s v="C000256"/>
        <s v="C000257"/>
        <s v="C000258"/>
        <s v="C000259"/>
        <s v="C000260"/>
        <s v="C000261"/>
        <s v="C000262"/>
        <s v="C000263"/>
        <s v="C000264"/>
        <s v="C000265"/>
        <s v="C000266"/>
        <s v="C000267"/>
        <s v="C000268"/>
        <s v="C000269"/>
        <s v="C000270"/>
        <s v="C000271"/>
        <s v="C000272"/>
        <s v="C000273"/>
        <s v="C000274"/>
        <s v="C000275"/>
        <s v="C000276"/>
        <s v="C000277"/>
        <s v="C000278"/>
        <s v="C000279"/>
        <s v="C000280"/>
        <s v="C000281"/>
        <s v="C000282"/>
        <s v="C000283"/>
        <s v="C000284"/>
        <s v="C000285"/>
        <s v="C000286"/>
        <s v="C000287"/>
        <s v="C000288"/>
        <s v="C000289"/>
        <s v="C000290"/>
        <s v="C000291"/>
        <s v="C000292"/>
        <s v="C000293"/>
        <s v="C000294"/>
        <s v="C000295"/>
        <s v="C000296"/>
        <s v="C000297"/>
        <s v="C000298"/>
        <s v="C000299"/>
        <s v="C000300"/>
        <s v="C000301"/>
        <s v="C000302"/>
        <s v="C000303"/>
        <s v="C000304"/>
        <s v="C000305"/>
        <s v="C000306"/>
        <s v="C000307"/>
        <s v="C000308"/>
        <s v="C000309"/>
        <s v="C000310"/>
        <s v="C000311"/>
        <s v="C000312"/>
        <s v="C000313"/>
        <s v="C000314"/>
        <s v="C000315"/>
        <s v="C000316"/>
        <s v="C000317"/>
        <s v="C000318"/>
        <s v="C000319"/>
        <s v="C000320"/>
        <s v="C000321"/>
        <s v="C000322"/>
        <s v="C000323"/>
        <s v="C000324"/>
        <s v="C000325"/>
        <s v="C000326"/>
        <s v="C000327"/>
        <s v="C000328"/>
        <s v="C000329"/>
        <s v="C000330"/>
        <s v="C000331"/>
        <s v="C000332"/>
        <s v="C000333"/>
        <s v="C000334"/>
        <s v="C000335"/>
        <s v="C000336"/>
        <s v="C000337"/>
        <s v="C000338"/>
        <s v="C000339"/>
        <s v="C000340"/>
        <s v="C000341"/>
        <s v="C000342"/>
        <s v="C000343"/>
        <s v="C000344"/>
        <s v="C000345"/>
        <s v="C000346"/>
        <s v="C000347"/>
        <s v="C000348"/>
        <s v="C000349"/>
        <s v="C000350"/>
        <s v="C000351"/>
        <s v="C000352"/>
        <s v="C000353"/>
        <s v="C000354"/>
        <s v="C000355"/>
        <s v="C000356"/>
        <s v="C000357"/>
        <s v="C000358"/>
        <s v="C000359"/>
        <s v="C000360"/>
        <s v="C000361"/>
        <s v="C000362"/>
        <s v="C000363"/>
        <s v="C000364"/>
        <s v="C000365"/>
        <s v="C000366"/>
        <s v="C000367"/>
        <s v="C000368"/>
        <s v="C000369"/>
        <s v="C000370"/>
        <s v="C000371"/>
        <s v="C000372"/>
        <s v="C000373"/>
        <s v="C000374"/>
        <s v="C000375"/>
        <s v="C000376"/>
        <s v="C000377"/>
        <s v="C000378"/>
        <s v="C000379"/>
        <s v="C000380"/>
        <s v="C000381"/>
        <s v="C000382"/>
        <s v="C000383"/>
        <s v="C000384"/>
        <s v="C000385"/>
        <s v="C000386"/>
        <s v="C000387"/>
        <s v="C000388"/>
        <s v="C000389"/>
        <s v="C000390"/>
        <s v="C000391"/>
        <s v="C000392"/>
        <s v="C000393"/>
        <s v="C000394"/>
        <s v="C000395"/>
        <s v="C000396"/>
        <s v="C000397"/>
        <s v="C000398"/>
        <s v="C000399"/>
        <s v="C000400"/>
        <s v="C000401"/>
        <s v="C000402"/>
        <s v="C000403"/>
        <s v="C000404"/>
        <s v="C000405"/>
        <s v="C000406"/>
        <s v="C000407"/>
        <s v="C000408"/>
        <s v="C000409"/>
        <s v="C000410"/>
        <s v="C000411"/>
        <s v="C000412"/>
        <s v="C000413"/>
        <s v="C000414"/>
        <s v="C000415"/>
        <s v="C000416"/>
        <s v="C000417"/>
        <s v="C000418"/>
        <s v="C000419"/>
        <s v="C000420"/>
        <s v="C000421"/>
        <s v="C000422"/>
        <s v="C000423"/>
        <s v="C000424"/>
        <s v="C000425"/>
        <s v="C000426"/>
        <s v="C000427"/>
        <s v="C000428"/>
        <s v="C000429"/>
        <s v="C000430"/>
        <s v="C000431"/>
        <s v="C000432"/>
        <s v="C000433"/>
        <s v="C000434"/>
        <s v="C000435"/>
        <s v="C000436"/>
        <s v="C000437"/>
        <s v="C000438"/>
        <s v="C000439"/>
        <s v="C000440"/>
        <s v="C000441"/>
        <s v="C000442"/>
        <s v="C000443"/>
        <s v="C000444"/>
        <s v="C000445"/>
        <s v="C000446"/>
        <s v="C000447"/>
        <s v="C000448"/>
        <s v="C000449"/>
        <s v="C000450"/>
        <s v="C000451"/>
        <s v="C000452"/>
        <s v="C000453"/>
        <s v="C000454"/>
        <s v="C000455"/>
        <s v="C000456"/>
        <s v="C000457"/>
        <s v="C000458"/>
        <s v="C000459"/>
        <s v="C000460"/>
        <s v="C000461"/>
        <s v="C000462"/>
        <s v="C000463"/>
        <s v="C000464"/>
        <s v="C000465"/>
        <s v="C000466"/>
        <s v="C000467"/>
        <s v="C000468"/>
        <s v="C000469"/>
        <s v="C000470"/>
        <s v="C000471"/>
        <s v="C000472"/>
        <s v="C000473"/>
        <s v="C000474"/>
        <s v="C000475"/>
        <s v="C000476"/>
        <s v="C000477"/>
        <s v="C000478"/>
        <s v="C000479"/>
        <s v="C000480"/>
        <s v="C000481"/>
        <s v="C000482"/>
        <s v="C000483"/>
        <s v="C000484"/>
        <s v="C000485"/>
        <s v="C000486"/>
        <s v="C000487"/>
        <s v="C000488"/>
        <s v="C000489"/>
        <s v="C000490"/>
        <s v="C000491"/>
        <s v="C000492"/>
        <s v="C000493"/>
        <s v="C000494"/>
        <s v="C000495"/>
        <s v="C000496"/>
        <s v="C000497"/>
        <s v="C000498"/>
        <s v="C000499"/>
        <s v="C000500"/>
        <s v="C000501"/>
        <s v="C000502"/>
        <s v="C000503"/>
        <s v="C000504"/>
        <s v="C000505"/>
        <s v="C000506"/>
        <s v="C000507"/>
        <s v="C000508"/>
        <s v="C000509"/>
        <s v="C000510"/>
        <s v="C000511"/>
        <s v="C000512"/>
        <s v="C000513"/>
        <s v="C000514"/>
        <s v="C000515"/>
        <s v="C000516"/>
        <s v="C000517"/>
        <s v="C000518"/>
        <s v="C000519"/>
        <s v="C000520"/>
        <s v="C000521"/>
        <s v="C000522"/>
        <s v="C000523"/>
        <s v="C000524"/>
        <s v="C000525"/>
        <s v="C000526"/>
        <s v="C000527"/>
        <s v="C000528"/>
        <s v="C000529"/>
        <s v="C000530"/>
        <s v="C000531"/>
        <s v="C000532"/>
        <s v="C000533"/>
        <s v="C000534"/>
        <s v="C000535"/>
        <s v="C000536"/>
        <s v="C000537"/>
        <s v="C000538"/>
        <s v="C000539"/>
        <s v="C000540"/>
        <s v="C000541"/>
        <s v="C000542"/>
        <s v="C000543"/>
        <s v="C000544"/>
        <s v="C000545"/>
        <s v="C000546"/>
        <s v="C000547"/>
        <s v="C000548"/>
        <s v="C000549"/>
        <s v="C000550"/>
        <s v="C000551"/>
        <s v="C000552"/>
        <s v="C000553"/>
        <s v="C000554"/>
        <s v="C000555"/>
        <s v="C000556"/>
        <s v="C000557"/>
        <s v="C000558"/>
        <s v="C000559"/>
        <s v="C000560"/>
        <s v="C000561"/>
        <s v="C000562"/>
        <s v="C000563"/>
        <s v="C000564"/>
        <s v="C000565"/>
        <s v="C000566"/>
        <s v="C000567"/>
        <s v="C000568"/>
        <s v="C000569"/>
        <s v="C000570"/>
        <s v="C000571"/>
        <s v="C000572"/>
        <s v="C000573"/>
        <s v="C000574"/>
        <s v="C000575"/>
        <s v="C000576"/>
        <s v="C000577"/>
        <s v="C000578"/>
        <s v="C000579"/>
        <s v="C000580"/>
        <s v="C000581"/>
        <s v="C000582"/>
        <s v="C000583"/>
        <s v="C000584"/>
        <s v="C000585"/>
        <s v="C000586"/>
        <s v="C000587"/>
        <s v="C000588"/>
        <s v="C000589"/>
        <s v="C000590"/>
        <s v="C000591"/>
        <s v="C000592"/>
        <s v="C000593"/>
        <s v="C000594"/>
        <s v="C000595"/>
        <s v="C000596"/>
        <s v="C000597"/>
        <s v="C000598"/>
        <s v="C000599"/>
        <s v="C000600"/>
        <s v="C000601"/>
        <s v="C000602"/>
        <s v="C000603"/>
        <s v="C000604"/>
        <s v="C000605"/>
        <s v="C000606"/>
        <s v="C000607"/>
        <s v="C000608"/>
        <s v="C000609"/>
        <s v="C000610"/>
        <s v="C000611"/>
        <s v="C000612"/>
        <s v="C000613"/>
        <s v="C000614"/>
        <s v="C000615"/>
        <s v="C000616"/>
        <s v="C000617"/>
        <s v="C000618"/>
        <s v="C000619"/>
        <s v="C000620"/>
        <s v="C000621"/>
        <s v="C000622"/>
        <s v="C000623"/>
        <s v="C000624"/>
        <s v="C000625"/>
        <s v="C000626"/>
        <s v="C000627"/>
        <s v="C000628"/>
        <s v="C000629"/>
        <s v="C000630"/>
        <s v="C000631"/>
        <s v="C000632"/>
        <s v="C000633"/>
        <s v="C000634"/>
        <s v="C000635"/>
        <s v="C000636"/>
        <s v="C000637"/>
        <s v="C000638"/>
        <s v="C000639"/>
        <s v="C000640"/>
        <s v="C000641"/>
        <s v="C000642"/>
        <s v="C000643"/>
        <s v="C000644"/>
        <s v="C000645"/>
        <s v="C000646"/>
        <s v="C000647"/>
        <s v="C000648"/>
        <s v="C000649"/>
        <s v="C000650"/>
        <s v="C000651"/>
        <s v="C000652"/>
        <s v="C000653"/>
        <s v="C000654"/>
        <s v="C000655"/>
        <s v="C000656"/>
        <s v="C000657"/>
        <s v="C000658"/>
        <s v="C000659"/>
        <s v="C000660"/>
        <s v="C000661"/>
        <s v="C000662"/>
        <s v="C000663"/>
        <s v="C000664"/>
        <s v="C000665"/>
        <s v="C000666"/>
        <s v="C000667"/>
        <s v="C000668"/>
        <s v="C000669"/>
        <s v="C000670"/>
        <s v="C000671"/>
        <s v="C000672"/>
        <s v="C000673"/>
        <s v="C000674"/>
        <s v="C000675"/>
        <s v="C000676"/>
        <s v="C000677"/>
        <s v="C000678"/>
        <s v="C000679"/>
        <s v="C000680"/>
        <s v="C000681"/>
        <s v="C000682"/>
        <s v="C000683"/>
        <s v="C000684"/>
        <s v="C000685"/>
        <s v="C000686"/>
        <s v="C000687"/>
        <s v="C000688"/>
        <s v="C000689"/>
        <s v="C000690"/>
        <s v="C000691"/>
        <s v="C000692"/>
        <s v="C000693"/>
        <s v="C000694"/>
        <s v="C000695"/>
        <s v="C000696"/>
        <s v="C000697"/>
        <s v="C000698"/>
        <s v="C000699"/>
        <s v="C000700"/>
        <s v="C000701"/>
        <s v="C000702"/>
        <s v="C000703"/>
        <s v="C000704"/>
        <s v="C000705"/>
        <s v="C000706"/>
        <s v="C000707"/>
        <s v="C000708"/>
        <s v="C000709"/>
        <s v="C000710"/>
        <s v="C000711"/>
        <s v="C000712"/>
        <s v="C000713"/>
        <s v="C000714"/>
        <s v="C000715"/>
        <s v="C000716"/>
        <s v="C000717"/>
        <s v="C000718"/>
        <s v="C000719"/>
        <s v="C000720"/>
        <s v="C000721"/>
        <s v="C000722"/>
        <s v="C000723"/>
        <s v="C000724"/>
        <s v="C000725"/>
        <s v="C000726"/>
        <s v="C000727"/>
        <s v="C000728"/>
        <s v="C000729"/>
        <s v="C000730"/>
        <s v="C000731"/>
        <s v="C000732"/>
        <s v="C000733"/>
        <s v="C000734"/>
        <s v="C000735"/>
        <s v="C000736"/>
        <s v="C000737"/>
        <s v="C000738"/>
        <s v="C000739"/>
        <s v="C000740"/>
        <s v="C000741"/>
        <s v="C000742"/>
        <s v="C000743"/>
        <s v="C000744"/>
        <s v="C000745"/>
        <s v="C000746"/>
        <s v="C000747"/>
        <s v="C000748"/>
        <s v="C000749"/>
        <s v="C000750"/>
        <s v="C000751"/>
        <s v="C000752"/>
        <s v="C000753"/>
        <s v="C000754"/>
        <s v="C000755"/>
        <s v="C000756"/>
        <s v="C000757"/>
        <s v="C000758"/>
        <s v="C000759"/>
        <s v="C000760"/>
        <s v="C000761"/>
        <s v="C000762"/>
        <s v="C000763"/>
        <s v="C000764"/>
        <s v="C000765"/>
        <s v="C000766"/>
        <s v="C000767"/>
        <s v="C000768"/>
        <s v="C000769"/>
        <s v="C000770"/>
        <s v="C000771"/>
        <s v="C000772"/>
        <s v="C000773"/>
        <s v="C000774"/>
        <s v="C000775"/>
        <s v="C000776"/>
        <s v="C000777"/>
        <s v="C000778"/>
        <s v="C000779"/>
        <s v="C000780"/>
        <s v="C000781"/>
        <s v="C000782"/>
        <s v="C000783"/>
        <s v="C000784"/>
        <s v="C000785"/>
        <s v="C000786"/>
        <s v="C000787"/>
        <s v="C000788"/>
        <s v="C000789"/>
        <s v="C000790"/>
        <s v="C000791"/>
        <s v="C000792"/>
        <s v="C000793"/>
        <s v="C000794"/>
        <s v="C000795"/>
        <s v="C000796"/>
        <s v="C000797"/>
        <s v="C000798"/>
        <s v="C000799"/>
        <s v="C000800"/>
        <s v="C000801"/>
        <s v="C000802"/>
        <s v="C000803"/>
        <s v="C000804"/>
        <s v="C000805"/>
        <s v="C000806"/>
        <s v="C000807"/>
        <s v="C000808"/>
        <s v="C000809"/>
        <s v="C000810"/>
        <s v="C000811"/>
        <s v="C000812"/>
        <s v="C000813"/>
        <s v="C000814"/>
        <s v="C000815"/>
        <s v="C000816"/>
        <s v="C000817"/>
        <s v="C000818"/>
        <s v="C000819"/>
        <s v="C000820"/>
        <s v="C000821"/>
        <s v="C000822"/>
        <s v="C000823"/>
        <s v="C000824"/>
        <s v="C000825"/>
        <s v="C000826"/>
        <s v="C000827"/>
        <s v="C000828"/>
        <s v="C000829"/>
        <s v="C000830"/>
        <s v="C000831"/>
        <s v="C000832"/>
        <s v="C000833"/>
        <s v="C000834"/>
        <s v="C000835"/>
        <s v="C000836"/>
        <s v="C000837"/>
        <s v="C000838"/>
        <s v="C000839"/>
        <s v="C000840"/>
        <s v="C000841"/>
        <s v="C000842"/>
        <s v="C000843"/>
        <s v="C000844"/>
        <s v="C000845"/>
        <s v="C000846"/>
        <s v="C000847"/>
        <s v="C000848"/>
        <s v="C000849"/>
        <s v="C000850"/>
        <s v="C000851"/>
        <s v="C000852"/>
        <s v="C000853"/>
        <s v="C000854"/>
        <s v="C000855"/>
        <s v="C000856"/>
        <s v="C000857"/>
        <s v="C000858"/>
        <s v="C000859"/>
        <s v="C000860"/>
        <s v="C000861"/>
        <s v="C000862"/>
        <s v="C000863"/>
        <s v="C000864"/>
        <s v="C000865"/>
        <s v="C000866"/>
        <s v="C000867"/>
        <s v="C000868"/>
        <s v="C000869"/>
        <s v="C000870"/>
        <s v="C000871"/>
        <s v="C000872"/>
        <s v="C000873"/>
        <s v="C000874"/>
        <s v="C000875"/>
        <s v="C000876"/>
        <s v="C000877"/>
        <s v="C000878"/>
        <s v="C000879"/>
        <s v="C000880"/>
        <s v="C000881"/>
        <s v="C000882"/>
        <s v="C000883"/>
        <s v="C000884"/>
        <s v="C000885"/>
        <s v="C000886"/>
        <s v="C000887"/>
        <s v="C000888"/>
        <s v="C000889"/>
        <s v="C000890"/>
        <s v="C000891"/>
        <s v="C000892"/>
        <s v="C000893"/>
        <s v="C000894"/>
        <s v="C000895"/>
        <s v="C000896"/>
        <s v="C000897"/>
        <s v="C000898"/>
        <s v="C000899"/>
        <s v="C000900"/>
        <s v="C000901"/>
        <s v="C000902"/>
        <s v="C000903"/>
        <s v="C000904"/>
        <s v="C000905"/>
        <s v="C000906"/>
        <s v="C000907"/>
        <s v="C000908"/>
        <s v="C000909"/>
        <s v="C000910"/>
        <s v="C000911"/>
        <s v="C000912"/>
        <s v="C000913"/>
        <s v="C000914"/>
        <s v="C000915"/>
        <s v="C000916"/>
        <s v="C000917"/>
        <s v="C000918"/>
        <s v="C000919"/>
        <s v="C000920"/>
        <s v="C000921"/>
        <s v="C000922"/>
        <s v="C000923"/>
        <s v="C000924"/>
        <s v="C000925"/>
        <s v="C000926"/>
        <s v="C000927"/>
        <s v="C000928"/>
        <s v="C000929"/>
        <s v="C000930"/>
        <s v="C000931"/>
        <s v="C000932"/>
        <s v="C000933"/>
        <s v="C000934"/>
        <s v="C000935"/>
        <s v="C000936"/>
        <s v="C000937"/>
        <s v="C000938"/>
        <s v="C000939"/>
        <s v="C000940"/>
        <s v="C000941"/>
        <s v="C000942"/>
        <s v="C000943"/>
        <s v="C000944"/>
        <s v="C000945"/>
        <s v="C000946"/>
        <s v="C000947"/>
        <s v="C000948"/>
        <s v="C000949"/>
        <s v="C000950"/>
        <s v="C000951"/>
        <s v="C000952"/>
        <s v="C000953"/>
        <s v="C000954"/>
        <s v="C000955"/>
        <s v="C000956"/>
        <s v="C000957"/>
        <s v="C000958"/>
        <s v="C000959"/>
        <s v="C000960"/>
        <s v="C000961"/>
        <s v="C000962"/>
        <s v="C000963"/>
        <s v="C000964"/>
        <s v="C000965"/>
        <s v="C000966"/>
        <s v="C000967"/>
        <s v="C000968"/>
        <s v="C000969"/>
        <s v="C000970"/>
        <s v="C000971"/>
        <s v="C000972"/>
        <s v="C000973"/>
        <s v="C000974"/>
        <s v="C000975"/>
        <s v="C000976"/>
        <s v="C000977"/>
        <s v="C000978"/>
        <s v="C000979"/>
        <s v="C000980"/>
        <s v="C000981"/>
        <s v="C000982"/>
        <s v="C000983"/>
        <s v="C000984"/>
        <s v="C000985"/>
        <s v="C000986"/>
        <s v="C000987"/>
        <s v="C000988"/>
        <s v="C000989"/>
        <s v="C000990"/>
        <s v="C000991"/>
        <s v="C000992"/>
        <s v="C000993"/>
        <s v="C000994"/>
        <s v="C000995"/>
        <s v="C000996"/>
        <s v="C000997"/>
        <s v="C000998"/>
        <s v="C000999"/>
        <s v="C001000"/>
        <s v="C001001"/>
        <s v="C001002"/>
        <s v="C001003"/>
        <s v="C001004"/>
        <s v="C001005"/>
        <s v="C001006"/>
        <s v="C001007"/>
        <s v="C001008"/>
        <s v="C001009"/>
        <s v="C001010"/>
        <s v="C001011"/>
        <s v="C001012"/>
        <s v="C001013"/>
        <s v="C001014"/>
        <s v="C001015"/>
        <s v="C001016"/>
        <s v="C001017"/>
        <s v="C001018"/>
        <s v="C001019"/>
        <s v="C001020"/>
        <s v="C001021"/>
        <s v="C001022"/>
        <s v="C001023"/>
        <s v="C001024"/>
        <s v="C001025"/>
        <s v="C001026"/>
        <s v="C001027"/>
        <s v="C001028"/>
        <s v="C001029"/>
        <s v="C001030"/>
        <s v="C001031"/>
        <s v="C001032"/>
        <s v="C001033"/>
        <s v="C001034"/>
        <s v="C001035"/>
        <s v="C001036"/>
        <s v="C001037"/>
        <s v="C001038"/>
        <s v="C001039"/>
        <s v="C001040"/>
        <s v="C001041"/>
        <s v="C001042"/>
        <s v="C001043"/>
        <s v="C001044"/>
        <s v="C001045"/>
        <s v="C001046"/>
        <s v="C001047"/>
        <s v="C001048"/>
        <s v="C001049"/>
        <s v="C001050"/>
        <s v="C001051"/>
        <s v="C001052"/>
        <s v="C001053"/>
        <s v="C001054"/>
        <s v="C001055"/>
        <s v="C001056"/>
        <s v="C001057"/>
        <s v="C001058"/>
        <s v="C001059"/>
        <s v="C001060"/>
        <s v="C001061"/>
        <s v="C001062"/>
        <s v="C001063"/>
        <s v="C001064"/>
        <s v="C001065"/>
        <s v="C001066"/>
        <s v="C001067"/>
        <s v="C001068"/>
        <s v="C001069"/>
        <s v="C001070"/>
        <s v="C001071"/>
        <s v="C001072"/>
        <s v="C001073"/>
        <s v="C001074"/>
        <s v="C001075"/>
        <s v="C001076"/>
        <s v="C001077"/>
        <s v="C001078"/>
        <s v="C001079"/>
        <s v="C001080"/>
        <s v="C001081"/>
        <s v="C001082"/>
        <s v="C001083"/>
        <s v="C001084"/>
        <s v="C001085"/>
        <s v="C001086"/>
        <s v="C001087"/>
        <s v="C001088"/>
        <s v="C001089"/>
        <s v="C001090"/>
        <s v="C001091"/>
        <s v="C001092"/>
        <s v="C001093"/>
        <s v="C001094"/>
        <s v="C001095"/>
        <s v="C001096"/>
        <s v="C001097"/>
        <s v="C001098"/>
        <s v="C001099"/>
        <s v="C001100"/>
        <s v="C001101"/>
        <s v="C001102"/>
        <s v="C001103"/>
        <s v="C001104"/>
        <s v="C001105"/>
        <s v="C001106"/>
        <s v="C001107"/>
        <s v="C001108"/>
        <s v="C001109"/>
        <s v="C001110"/>
        <s v="C001111"/>
        <s v="C001112"/>
        <s v="C001113"/>
        <s v="C001114"/>
        <s v="C001115"/>
        <s v="C001116"/>
        <s v="C001117"/>
        <s v="C001118"/>
        <s v="C001119"/>
        <s v="C001120"/>
        <s v="C001121"/>
        <s v="C001122"/>
        <s v="C001123"/>
        <s v="C001124"/>
        <s v="C001125"/>
        <s v="C001126"/>
        <s v="C001127"/>
        <s v="C001128"/>
        <s v="C001129"/>
        <s v="C001130"/>
        <s v="C001131"/>
        <s v="C001132"/>
        <s v="C001133"/>
        <s v="C001134"/>
        <s v="C001135"/>
        <s v="C001136"/>
        <s v="C001137"/>
        <s v="C001138"/>
        <s v="C001139"/>
        <s v="C001140"/>
        <s v="C001141"/>
        <s v="C001142"/>
        <s v="C001143"/>
        <s v="C001144"/>
        <s v="C001145"/>
        <s v="C001146"/>
        <s v="C001147"/>
        <s v="C001148"/>
        <s v="C001149"/>
        <s v="C001150"/>
        <s v="C001151"/>
        <s v="C001152"/>
        <s v="C001153"/>
        <s v="C001154"/>
        <s v="C001155"/>
        <s v="C001156"/>
        <s v="C001157"/>
        <s v="C001158"/>
        <s v="C001159"/>
        <s v="C001160"/>
        <s v="C001161"/>
        <s v="C001162"/>
        <s v="C001163"/>
        <s v="C001164"/>
        <s v="C001165"/>
        <s v="C001166"/>
        <s v="C001167"/>
        <s v="C001168"/>
        <s v="C001169"/>
        <s v="C001170"/>
        <s v="C001171"/>
        <s v="C001172"/>
        <s v="C001173"/>
        <s v="C001174"/>
        <s v="C001175"/>
        <s v="C001176"/>
        <s v="C001177"/>
        <s v="C001178"/>
        <s v="C001179"/>
        <s v="C001180"/>
        <s v="C001181"/>
        <s v="C001182"/>
        <s v="C001183"/>
        <s v="C001184"/>
        <s v="C001185"/>
        <s v="C001186"/>
        <s v="C001187"/>
        <s v="C001188"/>
        <s v="C001189"/>
        <s v="C001190"/>
        <s v="C001191"/>
        <s v="C001192"/>
        <s v="C001193"/>
        <s v="C001194"/>
        <s v="C001195"/>
        <s v="C001196"/>
        <s v="C001197"/>
        <s v="C001198"/>
        <s v="C001199"/>
        <s v="C001200"/>
        <s v="C001201"/>
        <s v="C001202"/>
        <s v="C001203"/>
        <s v="C001204"/>
        <s v="C001205"/>
        <s v="C001206"/>
        <s v="C001207"/>
        <s v="C001208"/>
        <s v="C001209"/>
        <s v="C001210"/>
        <s v="C001211"/>
        <s v="C001212"/>
        <s v="C001213"/>
        <s v="C001214"/>
        <s v="C001215"/>
        <s v="C001216"/>
        <s v="C001217"/>
        <s v="C001218"/>
        <s v="C001219"/>
        <s v="C001220"/>
        <s v="C001221"/>
        <s v="C001222"/>
        <s v="C001223"/>
        <s v="C001224"/>
        <s v="C001225"/>
        <s v="C001226"/>
        <s v="C001227"/>
        <s v="C001228"/>
        <s v="C001229"/>
        <s v="C001230"/>
        <s v="C001231"/>
        <s v="C001232"/>
        <s v="C001233"/>
        <s v="C001234"/>
        <s v="C001235"/>
        <s v="C001236"/>
        <s v="C001237"/>
        <s v="C001238"/>
        <s v="C001239"/>
        <s v="C001240"/>
        <s v="C001241"/>
        <s v="C001242"/>
        <s v="C001243"/>
        <s v="C001244"/>
        <s v="C001245"/>
        <s v="C001246"/>
        <s v="C001247"/>
        <s v="C001248"/>
        <s v="C001249"/>
        <s v="C001250"/>
        <s v="C001251"/>
        <s v="C001252"/>
        <s v="C001253"/>
        <s v="C001254"/>
        <s v="C001255"/>
        <s v="C001256"/>
        <s v="C001257"/>
        <s v="C001258"/>
        <s v="C001259"/>
        <s v="C001260"/>
        <s v="C001261"/>
        <s v="C001262"/>
        <s v="C001263"/>
        <s v="C001264"/>
        <s v="C001265"/>
        <s v="C001266"/>
        <s v="C001267"/>
        <s v="C001268"/>
        <s v="C001269"/>
        <s v="C001270"/>
        <s v="C001271"/>
        <s v="C001272"/>
        <s v="C001273"/>
        <s v="C001274"/>
        <s v="C001275"/>
        <s v="C001276"/>
        <s v="C001277"/>
        <s v="C001278"/>
        <s v="C001279"/>
        <s v="C001280"/>
        <s v="C001281"/>
        <s v="C001282"/>
        <s v="C001283"/>
        <s v="C001284"/>
        <s v="C001285"/>
        <s v="C001286"/>
        <s v="C001287"/>
        <s v="C001288"/>
        <s v="C001289"/>
        <s v="C001290"/>
        <s v="C001291"/>
        <s v="C001292"/>
        <s v="C001293"/>
        <s v="C001294"/>
        <s v="C001295"/>
        <s v="C001296"/>
        <s v="C001297"/>
        <s v="C001298"/>
        <s v="C001299"/>
        <s v="C001300"/>
        <s v="C001301"/>
        <s v="C001302"/>
        <s v="C001303"/>
        <s v="C001304"/>
        <s v="C001305"/>
        <s v="C001306"/>
        <s v="C001307"/>
        <s v="C001308"/>
        <s v="C001309"/>
        <s v="C001310"/>
        <s v="C001311"/>
        <s v="C001312"/>
        <s v="C001313"/>
        <s v="C001314"/>
        <s v="C001315"/>
        <s v="C001316"/>
        <s v="C001317"/>
        <s v="C001318"/>
        <s v="C001319"/>
        <s v="C001320"/>
        <s v="C001321"/>
        <s v="C001322"/>
        <s v="C001323"/>
        <s v="C001324"/>
        <s v="C001325"/>
        <s v="C001326"/>
        <s v="C001327"/>
        <s v="C001328"/>
        <s v="C001329"/>
        <s v="C001330"/>
        <s v="C001331"/>
        <s v="C001332"/>
        <s v="C001333"/>
        <s v="C001334"/>
        <s v="C001335"/>
        <s v="C001336"/>
        <s v="C001337"/>
        <s v="C001338"/>
        <s v="C001339"/>
        <s v="C001340"/>
        <s v="C001341"/>
        <s v="C001342"/>
        <s v="C001343"/>
        <s v="C001344"/>
        <s v="C001345"/>
        <s v="C001346"/>
        <s v="C001347"/>
        <s v="C001348"/>
        <s v="C001349"/>
        <s v="C001350"/>
        <s v="C001351"/>
        <s v="C001352"/>
        <s v="C001353"/>
        <s v="C001354"/>
        <s v="C001355"/>
        <s v="C001356"/>
        <s v="C001357"/>
        <s v="C001358"/>
        <s v="C001359"/>
        <s v="C001360"/>
        <s v="C001361"/>
        <s v="C001362"/>
        <s v="C001363"/>
        <s v="C001364"/>
        <s v="C001365"/>
        <s v="C001366"/>
        <s v="C001367"/>
        <s v="C001368"/>
        <s v="C001369"/>
        <s v="C001370"/>
        <s v="C001371"/>
        <s v="C001372"/>
        <s v="C001373"/>
        <s v="C001374"/>
        <s v="C001375"/>
        <s v="C001376"/>
        <s v="C001377"/>
        <s v="C001378"/>
        <s v="C001379"/>
        <s v="C001380"/>
        <s v="C001381"/>
        <s v="C001382"/>
        <s v="C001383"/>
        <s v="C001384"/>
        <s v="C001385"/>
        <s v="C001386"/>
        <s v="C001387"/>
        <s v="C001388"/>
        <s v="C001389"/>
        <s v="C001390"/>
        <s v="C001391"/>
        <s v="C001392"/>
        <s v="C001393"/>
        <s v="C001394"/>
        <s v="C001395"/>
        <s v="C001396"/>
        <s v="C001397"/>
        <s v="C001398"/>
        <s v="C001399"/>
        <s v="C001400"/>
        <s v="C001401"/>
        <s v="C001402"/>
        <s v="C001403"/>
        <s v="C001404"/>
        <s v="C001405"/>
        <s v="C001406"/>
        <s v="C001407"/>
        <s v="C001408"/>
        <s v="C001409"/>
        <s v="C001410"/>
        <s v="C001411"/>
        <s v="C001412"/>
        <s v="C001413"/>
        <s v="C001414"/>
        <s v="C001415"/>
        <s v="C001416"/>
        <s v="C001417"/>
        <s v="C001418"/>
        <s v="C001419"/>
        <s v="C001420"/>
        <s v="C001421"/>
        <s v="C001422"/>
        <s v="C001423"/>
        <s v="C001424"/>
        <s v="C001425"/>
        <s v="C001426"/>
        <s v="C001427"/>
        <s v="C001428"/>
        <s v="C001429"/>
        <s v="C001430"/>
        <s v="C001431"/>
        <s v="C001432"/>
        <s v="C001433"/>
        <s v="C001434"/>
        <s v="C001435"/>
        <s v="C001436"/>
        <s v="C001437"/>
        <s v="C001438"/>
        <s v="C001439"/>
        <s v="C001440"/>
        <s v="C001441"/>
        <s v="C001442"/>
        <s v="C001443"/>
        <s v="C001444"/>
        <s v="C001445"/>
        <s v="C001446"/>
        <s v="C001447"/>
        <s v="C001448"/>
        <s v="C001449"/>
        <s v="C001450"/>
        <s v="C001451"/>
        <s v="C001452"/>
        <s v="C001453"/>
        <s v="C001454"/>
        <s v="C001455"/>
        <s v="C001456"/>
        <s v="C001457"/>
        <s v="C001458"/>
        <s v="C001459"/>
        <s v="C001460"/>
        <s v="C001461"/>
        <s v="C001462"/>
        <s v="C001463"/>
        <s v="C001464"/>
        <s v="C001465"/>
        <s v="C001466"/>
        <s v="C001467"/>
        <s v="C001468"/>
        <s v="C001469"/>
        <s v="C001470"/>
        <s v="C001471"/>
        <s v="C001472"/>
        <s v="C001473"/>
        <s v="C001474"/>
        <s v="C001475"/>
        <s v="C001476"/>
        <s v="C001477"/>
        <s v="C001478"/>
        <s v="C001479"/>
        <s v="C001480"/>
        <s v="C001481"/>
        <s v="C001482"/>
        <s v="C001483"/>
        <s v="C001484"/>
        <s v="C001485"/>
        <s v="C001486"/>
        <s v="C001487"/>
        <s v="C001488"/>
        <s v="C001489"/>
        <s v="C001490"/>
        <s v="C001491"/>
        <s v="C001492"/>
        <s v="C001493"/>
        <s v="C001494"/>
        <s v="C001495"/>
        <s v="C001496"/>
        <s v="C001497"/>
        <s v="C001498"/>
        <s v="C001499"/>
        <s v="C001500"/>
      </sharedItems>
    </cacheField>
    <cacheField name="Member_ID" numFmtId="0">
      <sharedItems count="296">
        <s v="M0001"/>
        <s v="M0002"/>
        <s v="M0003"/>
        <s v="M0004"/>
        <s v="M0005"/>
        <s v="M0006"/>
        <s v="M0007"/>
        <s v="M0008"/>
        <s v="M0009"/>
        <s v="M0010"/>
        <s v="M0011"/>
        <s v="M0012"/>
        <s v="M0013"/>
        <s v="M0014"/>
        <s v="M0015"/>
        <s v="M0016"/>
        <s v="M0017"/>
        <s v="M0018"/>
        <s v="M0019"/>
        <s v="M0020"/>
        <s v="M0021"/>
        <s v="M0022"/>
        <s v="M0023"/>
        <s v="M0024"/>
        <s v="M0025"/>
        <s v="M0026"/>
        <s v="M0027"/>
        <s v="M0028"/>
        <s v="M0029"/>
        <s v="M0030"/>
        <s v="M0031"/>
        <s v="M0032"/>
        <s v="M0033"/>
        <s v="M0034"/>
        <s v="M0035"/>
        <s v="M0037"/>
        <s v="M0038"/>
        <s v="M0039"/>
        <s v="M0040"/>
        <s v="M0041"/>
        <s v="M0042"/>
        <s v="M0043"/>
        <s v="M0044"/>
        <s v="M0045"/>
        <s v="M0046"/>
        <s v="M0047"/>
        <s v="M0048"/>
        <s v="M0049"/>
        <s v="M0050"/>
        <s v="M0051"/>
        <s v="M0052"/>
        <s v="M0053"/>
        <s v="M0055"/>
        <s v="M0056"/>
        <s v="M0057"/>
        <s v="M0058"/>
        <s v="M0059"/>
        <s v="M0060"/>
        <s v="M0061"/>
        <s v="M0062"/>
        <s v="M0063"/>
        <s v="M0064"/>
        <s v="M0065"/>
        <s v="M0066"/>
        <s v="M0067"/>
        <s v="M0068"/>
        <s v="M0069"/>
        <s v="M0070"/>
        <s v="M0071"/>
        <s v="M0072"/>
        <s v="M0073"/>
        <s v="M0074"/>
        <s v="M0075"/>
        <s v="M0076"/>
        <s v="M0077"/>
        <s v="M0078"/>
        <s v="M0079"/>
        <s v="M0080"/>
        <s v="M0081"/>
        <s v="M0082"/>
        <s v="M0083"/>
        <s v="M0084"/>
        <s v="M0085"/>
        <s v="M0086"/>
        <s v="M0087"/>
        <s v="M0088"/>
        <s v="M0089"/>
        <s v="M0090"/>
        <s v="M0091"/>
        <s v="M0092"/>
        <s v="M0093"/>
        <s v="M0094"/>
        <s v="M0095"/>
        <s v="M0096"/>
        <s v="M0097"/>
        <s v="M0098"/>
        <s v="M0099"/>
        <s v="M0100"/>
        <s v="M0101"/>
        <s v="M0102"/>
        <s v="M0103"/>
        <s v="M0104"/>
        <s v="M0105"/>
        <s v="M0106"/>
        <s v="M0107"/>
        <s v="M0108"/>
        <s v="M0109"/>
        <s v="M0110"/>
        <s v="M0111"/>
        <s v="M0112"/>
        <s v="M0113"/>
        <s v="M0114"/>
        <s v="M0115"/>
        <s v="M0116"/>
        <s v="M0117"/>
        <s v="M0118"/>
        <s v="M0119"/>
        <s v="M0120"/>
        <s v="M0121"/>
        <s v="M0122"/>
        <s v="M0123"/>
        <s v="M0124"/>
        <s v="M0125"/>
        <s v="M0126"/>
        <s v="M0127"/>
        <s v="M0128"/>
        <s v="M0129"/>
        <s v="M0130"/>
        <s v="M0131"/>
        <s v="M0132"/>
        <s v="M0133"/>
        <s v="M0134"/>
        <s v="M0135"/>
        <s v="M0136"/>
        <s v="M0137"/>
        <s v="M0138"/>
        <s v="M0139"/>
        <s v="M0140"/>
        <s v="M0141"/>
        <s v="M0142"/>
        <s v="M0143"/>
        <s v="M0144"/>
        <s v="M0145"/>
        <s v="M0146"/>
        <s v="M0147"/>
        <s v="M0148"/>
        <s v="M0149"/>
        <s v="M0151"/>
        <s v="M0152"/>
        <s v="M0153"/>
        <s v="M0154"/>
        <s v="M0155"/>
        <s v="M0156"/>
        <s v="M0157"/>
        <s v="M0158"/>
        <s v="M0159"/>
        <s v="M0160"/>
        <s v="M0161"/>
        <s v="M0162"/>
        <s v="M0163"/>
        <s v="M0164"/>
        <s v="M0165"/>
        <s v="M0166"/>
        <s v="M0167"/>
        <s v="M0168"/>
        <s v="M0169"/>
        <s v="M0170"/>
        <s v="M0171"/>
        <s v="M0172"/>
        <s v="M0174"/>
        <s v="M0175"/>
        <s v="M0176"/>
        <s v="M0177"/>
        <s v="M0178"/>
        <s v="M0179"/>
        <s v="M0180"/>
        <s v="M0181"/>
        <s v="M0182"/>
        <s v="M0183"/>
        <s v="M0184"/>
        <s v="M0185"/>
        <s v="M0186"/>
        <s v="M0187"/>
        <s v="M0188"/>
        <s v="M0189"/>
        <s v="M0190"/>
        <s v="M0191"/>
        <s v="M0192"/>
        <s v="M0193"/>
        <s v="M0194"/>
        <s v="M0195"/>
        <s v="M0196"/>
        <s v="M0197"/>
        <s v="M0198"/>
        <s v="M0199"/>
        <s v="M0200"/>
        <s v="M0201"/>
        <s v="M0202"/>
        <s v="M0203"/>
        <s v="M0204"/>
        <s v="M0205"/>
        <s v="M0206"/>
        <s v="M0207"/>
        <s v="M0208"/>
        <s v="M0209"/>
        <s v="M0210"/>
        <s v="M0211"/>
        <s v="M0212"/>
        <s v="M0213"/>
        <s v="M0214"/>
        <s v="M0215"/>
        <s v="M0216"/>
        <s v="M0217"/>
        <s v="M0218"/>
        <s v="M0219"/>
        <s v="M0220"/>
        <s v="M0221"/>
        <s v="M0222"/>
        <s v="M0223"/>
        <s v="M0224"/>
        <s v="M0225"/>
        <s v="M0226"/>
        <s v="M0227"/>
        <s v="M0228"/>
        <s v="M0229"/>
        <s v="M0230"/>
        <s v="M0231"/>
        <s v="M0232"/>
        <s v="M0233"/>
        <s v="M0234"/>
        <s v="M0235"/>
        <s v="M0236"/>
        <s v="M0237"/>
        <s v="M0238"/>
        <s v="M0239"/>
        <s v="M0240"/>
        <s v="M0241"/>
        <s v="M0242"/>
        <s v="M0243"/>
        <s v="M0244"/>
        <s v="M0245"/>
        <s v="M0246"/>
        <s v="M0247"/>
        <s v="M0248"/>
        <s v="M0249"/>
        <s v="M0250"/>
        <s v="M0251"/>
        <s v="M0252"/>
        <s v="M0253"/>
        <s v="M0254"/>
        <s v="M0255"/>
        <s v="M0256"/>
        <s v="M0257"/>
        <s v="M0258"/>
        <s v="M0259"/>
        <s v="M0260"/>
        <s v="M0261"/>
        <s v="M0262"/>
        <s v="M0263"/>
        <s v="M0264"/>
        <s v="M0265"/>
        <s v="M0266"/>
        <s v="M0267"/>
        <s v="M0268"/>
        <s v="M0269"/>
        <s v="M0270"/>
        <s v="M0271"/>
        <s v="M0272"/>
        <s v="M0273"/>
        <s v="M0274"/>
        <s v="M0275"/>
        <s v="M0276"/>
        <s v="M0277"/>
        <s v="M0278"/>
        <s v="M0279"/>
        <s v="M0280"/>
        <s v="M0281"/>
        <s v="M0282"/>
        <s v="M0283"/>
        <s v="M0284"/>
        <s v="M0285"/>
        <s v="M0286"/>
        <s v="M0287"/>
        <s v="M0288"/>
        <s v="M0289"/>
        <s v="M0290"/>
        <s v="M0291"/>
        <s v="M0292"/>
        <s v="M0293"/>
        <s v="M0294"/>
        <s v="M0295"/>
        <s v="M0296"/>
        <s v="M0297"/>
        <s v="M0298"/>
        <s v="M0299"/>
        <s v="M0300"/>
      </sharedItems>
    </cacheField>
    <cacheField name="Provider_ID" numFmtId="0">
      <sharedItems count="50">
        <s v="P0001"/>
        <s v="P0002"/>
        <s v="P0003"/>
        <s v="P0004"/>
        <s v="P0005"/>
        <s v="P0006"/>
        <s v="P0007"/>
        <s v="P0008"/>
        <s v="P0009"/>
        <s v="P0010"/>
        <s v="P0011"/>
        <s v="P0012"/>
        <s v="P0013"/>
        <s v="P0014"/>
        <s v="P0015"/>
        <s v="P0016"/>
        <s v="P0017"/>
        <s v="P0018"/>
        <s v="P0019"/>
        <s v="P0020"/>
        <s v="P0021"/>
        <s v="P0022"/>
        <s v="P0023"/>
        <s v="P0024"/>
        <s v="P0025"/>
        <s v="P0026"/>
        <s v="P0027"/>
        <s v="P0028"/>
        <s v="P0029"/>
        <s v="P0030"/>
        <s v="P0031"/>
        <s v="P0032"/>
        <s v="P0033"/>
        <s v="P0034"/>
        <s v="P0035"/>
        <s v="P0036"/>
        <s v="P0037"/>
        <s v="P0038"/>
        <s v="P0039"/>
        <s v="P0040"/>
        <s v="P0041"/>
        <s v="P0042"/>
        <s v="P0043"/>
        <s v="P0044"/>
        <s v="P0045"/>
        <s v="P0046"/>
        <s v="P0047"/>
        <s v="P0048"/>
        <s v="P0049"/>
        <s v="P0050"/>
      </sharedItems>
    </cacheField>
    <cacheField name="Employee_ID" numFmtId="0">
      <sharedItems count="100">
        <s v="E0001"/>
        <s v="E0002"/>
        <s v="E0003"/>
        <s v="E0004"/>
        <s v="E0005"/>
        <s v="E0006"/>
        <s v="E0007"/>
        <s v="E0008"/>
        <s v="E0009"/>
        <s v="E0010"/>
        <s v="E0011"/>
        <s v="E0012"/>
        <s v="E0013"/>
        <s v="E0014"/>
        <s v="E0015"/>
        <s v="E0016"/>
        <s v="E0017"/>
        <s v="E0018"/>
        <s v="E0019"/>
        <s v="E0020"/>
        <s v="E0021"/>
        <s v="E0022"/>
        <s v="E0023"/>
        <s v="E0024"/>
        <s v="E0025"/>
        <s v="E0026"/>
        <s v="E0027"/>
        <s v="E0028"/>
        <s v="E0029"/>
        <s v="E0030"/>
        <s v="E0031"/>
        <s v="E0032"/>
        <s v="E0033"/>
        <s v="E0034"/>
        <s v="E0035"/>
        <s v="E0036"/>
        <s v="E0037"/>
        <s v="E0038"/>
        <s v="E0039"/>
        <s v="E0040"/>
        <s v="E0041"/>
        <s v="E0042"/>
        <s v="E0043"/>
        <s v="E0044"/>
        <s v="E0045"/>
        <s v="E0046"/>
        <s v="E0047"/>
        <s v="E0048"/>
        <s v="E0049"/>
        <s v="E0050"/>
        <s v="E0051"/>
        <s v="E0052"/>
        <s v="E0053"/>
        <s v="E0054"/>
        <s v="E0055"/>
        <s v="E0056"/>
        <s v="E0057"/>
        <s v="E0058"/>
        <s v="E0059"/>
        <s v="E0060"/>
        <s v="E0061"/>
        <s v="E0062"/>
        <s v="E0063"/>
        <s v="E0064"/>
        <s v="E0065"/>
        <s v="E0066"/>
        <s v="E0067"/>
        <s v="E0068"/>
        <s v="E0069"/>
        <s v="E0070"/>
        <s v="E0071"/>
        <s v="E0072"/>
        <s v="E0073"/>
        <s v="E0074"/>
        <s v="E0075"/>
        <s v="E0076"/>
        <s v="E0077"/>
        <s v="E0078"/>
        <s v="E0079"/>
        <s v="E0080"/>
        <s v="E0081"/>
        <s v="E0082"/>
        <s v="E0083"/>
        <s v="E0084"/>
        <s v="E0085"/>
        <s v="E0086"/>
        <s v="E0087"/>
        <s v="E0088"/>
        <s v="E0089"/>
        <s v="E0090"/>
        <s v="E0091"/>
        <s v="E0092"/>
        <s v="E0093"/>
        <s v="E0094"/>
        <s v="E0095"/>
        <s v="E0096"/>
        <s v="E0097"/>
        <s v="E0098"/>
        <s v="E0099"/>
        <s v="E0100"/>
      </sharedItems>
    </cacheField>
    <cacheField name="Claim_Received_Date" numFmtId="0">
      <sharedItems containsSemiMixedTypes="0" containsNonDate="0" containsDate="1" containsString="0" minDate="2026-01-01T00:00:00" maxDate="2026-08-04T00:00:00" count="216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</sharedItems>
    </cacheField>
    <cacheField name="Service_Date" numFmtId="0">
      <sharedItems containsSemiMixedTypes="0" containsNonDate="0" containsDate="1" containsString="0" minDate="2026-01-01T00:00:00" maxDate="2026-07-30T00:00:00" count="211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</sharedItems>
    </cacheField>
    <cacheField name="Claim_Type" numFmtId="0">
      <sharedItems count="4">
        <s v="Dental"/>
        <s v="Medical"/>
        <s v="Pharmacy"/>
        <s v="Vision"/>
      </sharedItems>
    </cacheField>
    <cacheField name="Diagnosis_Code" numFmtId="0">
      <sharedItems count="735">
        <s v="DX-100"/>
        <s v="DX-101"/>
        <s v="DX-102"/>
        <s v="DX-104"/>
        <s v="DX-105"/>
        <s v="DX-106"/>
        <s v="DX-107"/>
        <s v="DX-108"/>
        <s v="DX-109"/>
        <s v="DX-112"/>
        <s v="DX-113"/>
        <s v="DX-115"/>
        <s v="DX-116"/>
        <s v="DX-119"/>
        <s v="DX-121"/>
        <s v="DX-123"/>
        <s v="DX-125"/>
        <s v="DX-126"/>
        <s v="DX-127"/>
        <s v="DX-128"/>
        <s v="DX-130"/>
        <s v="DX-131"/>
        <s v="DX-132"/>
        <s v="DX-133"/>
        <s v="DX-134"/>
        <s v="DX-136"/>
        <s v="DX-137"/>
        <s v="DX-138"/>
        <s v="DX-139"/>
        <s v="DX-140"/>
        <s v="DX-141"/>
        <s v="DX-142"/>
        <s v="DX-143"/>
        <s v="DX-144"/>
        <s v="DX-145"/>
        <s v="DX-146"/>
        <s v="DX-147"/>
        <s v="DX-148"/>
        <s v="DX-149"/>
        <s v="DX-153"/>
        <s v="DX-154"/>
        <s v="DX-155"/>
        <s v="DX-157"/>
        <s v="DX-158"/>
        <s v="DX-159"/>
        <s v="DX-160"/>
        <s v="DX-161"/>
        <s v="DX-162"/>
        <s v="DX-164"/>
        <s v="DX-165"/>
        <s v="DX-166"/>
        <s v="DX-167"/>
        <s v="DX-168"/>
        <s v="DX-169"/>
        <s v="DX-172"/>
        <s v="DX-173"/>
        <s v="DX-174"/>
        <s v="DX-176"/>
        <s v="DX-177"/>
        <s v="DX-178"/>
        <s v="DX-179"/>
        <s v="DX-180"/>
        <s v="DX-181"/>
        <s v="DX-182"/>
        <s v="DX-183"/>
        <s v="DX-184"/>
        <s v="DX-185"/>
        <s v="DX-187"/>
        <s v="DX-188"/>
        <s v="DX-189"/>
        <s v="DX-190"/>
        <s v="DX-191"/>
        <s v="DX-192"/>
        <s v="DX-193"/>
        <s v="DX-194"/>
        <s v="DX-195"/>
        <s v="DX-196"/>
        <s v="DX-197"/>
        <s v="DX-199"/>
        <s v="DX-201"/>
        <s v="DX-202"/>
        <s v="DX-203"/>
        <s v="DX-204"/>
        <s v="DX-205"/>
        <s v="DX-206"/>
        <s v="DX-209"/>
        <s v="DX-211"/>
        <s v="DX-212"/>
        <s v="DX-213"/>
        <s v="DX-214"/>
        <s v="DX-216"/>
        <s v="DX-217"/>
        <s v="DX-218"/>
        <s v="DX-220"/>
        <s v="DX-222"/>
        <s v="DX-223"/>
        <s v="DX-224"/>
        <s v="DX-225"/>
        <s v="DX-226"/>
        <s v="DX-227"/>
        <s v="DX-228"/>
        <s v="DX-230"/>
        <s v="DX-231"/>
        <s v="DX-233"/>
        <s v="DX-234"/>
        <s v="DX-235"/>
        <s v="DX-236"/>
        <s v="DX-237"/>
        <s v="DX-238"/>
        <s v="DX-239"/>
        <s v="DX-240"/>
        <s v="DX-241"/>
        <s v="DX-242"/>
        <s v="DX-243"/>
        <s v="DX-245"/>
        <s v="DX-246"/>
        <s v="DX-247"/>
        <s v="DX-248"/>
        <s v="DX-249"/>
        <s v="DX-250"/>
        <s v="DX-251"/>
        <s v="DX-252"/>
        <s v="DX-253"/>
        <s v="DX-254"/>
        <s v="DX-255"/>
        <s v="DX-256"/>
        <s v="DX-258"/>
        <s v="DX-259"/>
        <s v="DX-260"/>
        <s v="DX-261"/>
        <s v="DX-262"/>
        <s v="DX-263"/>
        <s v="DX-264"/>
        <s v="DX-265"/>
        <s v="DX-266"/>
        <s v="DX-267"/>
        <s v="DX-268"/>
        <s v="DX-269"/>
        <s v="DX-270"/>
        <s v="DX-271"/>
        <s v="DX-273"/>
        <s v="DX-274"/>
        <s v="DX-275"/>
        <s v="DX-276"/>
        <s v="DX-277"/>
        <s v="DX-278"/>
        <s v="DX-279"/>
        <s v="DX-280"/>
        <s v="DX-281"/>
        <s v="DX-282"/>
        <s v="DX-284"/>
        <s v="DX-285"/>
        <s v="DX-286"/>
        <s v="DX-287"/>
        <s v="DX-288"/>
        <s v="DX-289"/>
        <s v="DX-290"/>
        <s v="DX-291"/>
        <s v="DX-292"/>
        <s v="DX-293"/>
        <s v="DX-294"/>
        <s v="DX-295"/>
        <s v="DX-297"/>
        <s v="DX-298"/>
        <s v="DX-300"/>
        <s v="DX-301"/>
        <s v="DX-302"/>
        <s v="DX-304"/>
        <s v="DX-305"/>
        <s v="DX-306"/>
        <s v="DX-307"/>
        <s v="DX-308"/>
        <s v="DX-311"/>
        <s v="DX-312"/>
        <s v="DX-313"/>
        <s v="DX-314"/>
        <s v="DX-315"/>
        <s v="DX-317"/>
        <s v="DX-318"/>
        <s v="DX-319"/>
        <s v="DX-320"/>
        <s v="DX-323"/>
        <s v="DX-324"/>
        <s v="DX-325"/>
        <s v="DX-326"/>
        <s v="DX-327"/>
        <s v="DX-331"/>
        <s v="DX-333"/>
        <s v="DX-334"/>
        <s v="DX-335"/>
        <s v="DX-336"/>
        <s v="DX-337"/>
        <s v="DX-338"/>
        <s v="DX-339"/>
        <s v="DX-340"/>
        <s v="DX-341"/>
        <s v="DX-342"/>
        <s v="DX-343"/>
        <s v="DX-344"/>
        <s v="DX-345"/>
        <s v="DX-346"/>
        <s v="DX-347"/>
        <s v="DX-348"/>
        <s v="DX-350"/>
        <s v="DX-351"/>
        <s v="DX-352"/>
        <s v="DX-353"/>
        <s v="DX-354"/>
        <s v="DX-355"/>
        <s v="DX-356"/>
        <s v="DX-357"/>
        <s v="DX-358"/>
        <s v="DX-359"/>
        <s v="DX-360"/>
        <s v="DX-362"/>
        <s v="DX-363"/>
        <s v="DX-365"/>
        <s v="DX-366"/>
        <s v="DX-367"/>
        <s v="DX-368"/>
        <s v="DX-369"/>
        <s v="DX-370"/>
        <s v="DX-371"/>
        <s v="DX-374"/>
        <s v="DX-375"/>
        <s v="DX-376"/>
        <s v="DX-377"/>
        <s v="DX-378"/>
        <s v="DX-379"/>
        <s v="DX-380"/>
        <s v="DX-381"/>
        <s v="DX-382"/>
        <s v="DX-383"/>
        <s v="DX-384"/>
        <s v="DX-387"/>
        <s v="DX-388"/>
        <s v="DX-390"/>
        <s v="DX-391"/>
        <s v="DX-392"/>
        <s v="DX-393"/>
        <s v="DX-395"/>
        <s v="DX-396"/>
        <s v="DX-397"/>
        <s v="DX-400"/>
        <s v="DX-401"/>
        <s v="DX-402"/>
        <s v="DX-403"/>
        <s v="DX-404"/>
        <s v="DX-405"/>
        <s v="DX-406"/>
        <s v="DX-407"/>
        <s v="DX-408"/>
        <s v="DX-409"/>
        <s v="DX-410"/>
        <s v="DX-411"/>
        <s v="DX-412"/>
        <s v="DX-414"/>
        <s v="DX-416"/>
        <s v="DX-417"/>
        <s v="DX-418"/>
        <s v="DX-419"/>
        <s v="DX-420"/>
        <s v="DX-421"/>
        <s v="DX-422"/>
        <s v="DX-423"/>
        <s v="DX-424"/>
        <s v="DX-426"/>
        <s v="DX-429"/>
        <s v="DX-430"/>
        <s v="DX-431"/>
        <s v="DX-432"/>
        <s v="DX-434"/>
        <s v="DX-435"/>
        <s v="DX-436"/>
        <s v="DX-437"/>
        <s v="DX-438"/>
        <s v="DX-440"/>
        <s v="DX-441"/>
        <s v="DX-443"/>
        <s v="DX-444"/>
        <s v="DX-445"/>
        <s v="DX-446"/>
        <s v="DX-447"/>
        <s v="DX-448"/>
        <s v="DX-449"/>
        <s v="DX-450"/>
        <s v="DX-452"/>
        <s v="DX-455"/>
        <s v="DX-457"/>
        <s v="DX-459"/>
        <s v="DX-460"/>
        <s v="DX-461"/>
        <s v="DX-462"/>
        <s v="DX-463"/>
        <s v="DX-464"/>
        <s v="DX-465"/>
        <s v="DX-466"/>
        <s v="DX-467"/>
        <s v="DX-468"/>
        <s v="DX-469"/>
        <s v="DX-470"/>
        <s v="DX-471"/>
        <s v="DX-472"/>
        <s v="DX-473"/>
        <s v="DX-476"/>
        <s v="DX-477"/>
        <s v="DX-478"/>
        <s v="DX-479"/>
        <s v="DX-481"/>
        <s v="DX-482"/>
        <s v="DX-483"/>
        <s v="DX-484"/>
        <s v="DX-486"/>
        <s v="DX-488"/>
        <s v="DX-489"/>
        <s v="DX-490"/>
        <s v="DX-491"/>
        <s v="DX-492"/>
        <s v="DX-493"/>
        <s v="DX-494"/>
        <s v="DX-495"/>
        <s v="DX-496"/>
        <s v="DX-497"/>
        <s v="DX-498"/>
        <s v="DX-500"/>
        <s v="DX-502"/>
        <s v="DX-503"/>
        <s v="DX-504"/>
        <s v="DX-506"/>
        <s v="DX-507"/>
        <s v="DX-509"/>
        <s v="DX-510"/>
        <s v="DX-512"/>
        <s v="DX-514"/>
        <s v="DX-515"/>
        <s v="DX-516"/>
        <s v="DX-517"/>
        <s v="DX-518"/>
        <s v="DX-519"/>
        <s v="DX-520"/>
        <s v="DX-521"/>
        <s v="DX-522"/>
        <s v="DX-523"/>
        <s v="DX-525"/>
        <s v="DX-526"/>
        <s v="DX-527"/>
        <s v="DX-528"/>
        <s v="DX-529"/>
        <s v="DX-530"/>
        <s v="DX-531"/>
        <s v="DX-532"/>
        <s v="DX-533"/>
        <s v="DX-536"/>
        <s v="DX-537"/>
        <s v="DX-538"/>
        <s v="DX-541"/>
        <s v="DX-542"/>
        <s v="DX-543"/>
        <s v="DX-544"/>
        <s v="DX-545"/>
        <s v="DX-546"/>
        <s v="DX-547"/>
        <s v="DX-548"/>
        <s v="DX-549"/>
        <s v="DX-550"/>
        <s v="DX-551"/>
        <s v="DX-552"/>
        <s v="DX-553"/>
        <s v="DX-555"/>
        <s v="DX-556"/>
        <s v="DX-557"/>
        <s v="DX-558"/>
        <s v="DX-559"/>
        <s v="DX-560"/>
        <s v="DX-561"/>
        <s v="DX-563"/>
        <s v="DX-564"/>
        <s v="DX-565"/>
        <s v="DX-566"/>
        <s v="DX-567"/>
        <s v="DX-568"/>
        <s v="DX-569"/>
        <s v="DX-570"/>
        <s v="DX-571"/>
        <s v="DX-574"/>
        <s v="DX-575"/>
        <s v="DX-576"/>
        <s v="DX-578"/>
        <s v="DX-579"/>
        <s v="DX-580"/>
        <s v="DX-581"/>
        <s v="DX-583"/>
        <s v="DX-587"/>
        <s v="DX-588"/>
        <s v="DX-589"/>
        <s v="DX-590"/>
        <s v="DX-591"/>
        <s v="DX-593"/>
        <s v="DX-594"/>
        <s v="DX-596"/>
        <s v="DX-598"/>
        <s v="DX-600"/>
        <s v="DX-601"/>
        <s v="DX-602"/>
        <s v="DX-604"/>
        <s v="DX-605"/>
        <s v="DX-606"/>
        <s v="DX-607"/>
        <s v="DX-608"/>
        <s v="DX-610"/>
        <s v="DX-611"/>
        <s v="DX-612"/>
        <s v="DX-613"/>
        <s v="DX-614"/>
        <s v="DX-615"/>
        <s v="DX-616"/>
        <s v="DX-617"/>
        <s v="DX-618"/>
        <s v="DX-620"/>
        <s v="DX-623"/>
        <s v="DX-624"/>
        <s v="DX-625"/>
        <s v="DX-626"/>
        <s v="DX-627"/>
        <s v="DX-629"/>
        <s v="DX-630"/>
        <s v="DX-631"/>
        <s v="DX-632"/>
        <s v="DX-633"/>
        <s v="DX-634"/>
        <s v="DX-635"/>
        <s v="DX-636"/>
        <s v="DX-637"/>
        <s v="DX-641"/>
        <s v="DX-642"/>
        <s v="DX-643"/>
        <s v="DX-645"/>
        <s v="DX-646"/>
        <s v="DX-647"/>
        <s v="DX-648"/>
        <s v="DX-649"/>
        <s v="DX-650"/>
        <s v="DX-651"/>
        <s v="DX-652"/>
        <s v="DX-653"/>
        <s v="DX-654"/>
        <s v="DX-657"/>
        <s v="DX-658"/>
        <s v="DX-660"/>
        <s v="DX-661"/>
        <s v="DX-662"/>
        <s v="DX-663"/>
        <s v="DX-664"/>
        <s v="DX-665"/>
        <s v="DX-666"/>
        <s v="DX-667"/>
        <s v="DX-668"/>
        <s v="DX-669"/>
        <s v="DX-670"/>
        <s v="DX-671"/>
        <s v="DX-672"/>
        <s v="DX-673"/>
        <s v="DX-674"/>
        <s v="DX-675"/>
        <s v="DX-676"/>
        <s v="DX-677"/>
        <s v="DX-678"/>
        <s v="DX-680"/>
        <s v="DX-681"/>
        <s v="DX-682"/>
        <s v="DX-683"/>
        <s v="DX-684"/>
        <s v="DX-685"/>
        <s v="DX-686"/>
        <s v="DX-687"/>
        <s v="DX-688"/>
        <s v="DX-689"/>
        <s v="DX-690"/>
        <s v="DX-691"/>
        <s v="DX-692"/>
        <s v="DX-693"/>
        <s v="DX-694"/>
        <s v="DX-695"/>
        <s v="DX-696"/>
        <s v="DX-697"/>
        <s v="DX-698"/>
        <s v="DX-701"/>
        <s v="DX-702"/>
        <s v="DX-703"/>
        <s v="DX-704"/>
        <s v="DX-705"/>
        <s v="DX-707"/>
        <s v="DX-708"/>
        <s v="DX-709"/>
        <s v="DX-710"/>
        <s v="DX-712"/>
        <s v="DX-713"/>
        <s v="DX-714"/>
        <s v="DX-715"/>
        <s v="DX-716"/>
        <s v="DX-718"/>
        <s v="DX-719"/>
        <s v="DX-720"/>
        <s v="DX-721"/>
        <s v="DX-724"/>
        <s v="DX-725"/>
        <s v="DX-726"/>
        <s v="DX-727"/>
        <s v="DX-728"/>
        <s v="DX-729"/>
        <s v="DX-730"/>
        <s v="DX-731"/>
        <s v="DX-732"/>
        <s v="DX-733"/>
        <s v="DX-735"/>
        <s v="DX-736"/>
        <s v="DX-737"/>
        <s v="DX-738"/>
        <s v="DX-740"/>
        <s v="DX-741"/>
        <s v="DX-742"/>
        <s v="DX-743"/>
        <s v="DX-744"/>
        <s v="DX-745"/>
        <s v="DX-746"/>
        <s v="DX-748"/>
        <s v="DX-749"/>
        <s v="DX-750"/>
        <s v="DX-753"/>
        <s v="DX-754"/>
        <s v="DX-755"/>
        <s v="DX-756"/>
        <s v="DX-757"/>
        <s v="DX-758"/>
        <s v="DX-759"/>
        <s v="DX-760"/>
        <s v="DX-761"/>
        <s v="DX-762"/>
        <s v="DX-763"/>
        <s v="DX-764"/>
        <s v="DX-765"/>
        <s v="DX-766"/>
        <s v="DX-768"/>
        <s v="DX-769"/>
        <s v="DX-770"/>
        <s v="DX-772"/>
        <s v="DX-773"/>
        <s v="DX-774"/>
        <s v="DX-775"/>
        <s v="DX-777"/>
        <s v="DX-778"/>
        <s v="DX-779"/>
        <s v="DX-781"/>
        <s v="DX-782"/>
        <s v="DX-783"/>
        <s v="DX-784"/>
        <s v="DX-785"/>
        <s v="DX-787"/>
        <s v="DX-789"/>
        <s v="DX-790"/>
        <s v="DX-791"/>
        <s v="DX-792"/>
        <s v="DX-793"/>
        <s v="DX-794"/>
        <s v="DX-797"/>
        <s v="DX-798"/>
        <s v="DX-799"/>
        <s v="DX-801"/>
        <s v="DX-802"/>
        <s v="DX-804"/>
        <s v="DX-805"/>
        <s v="DX-807"/>
        <s v="DX-808"/>
        <s v="DX-810"/>
        <s v="DX-811"/>
        <s v="DX-812"/>
        <s v="DX-813"/>
        <s v="DX-814"/>
        <s v="DX-815"/>
        <s v="DX-816"/>
        <s v="DX-817"/>
        <s v="DX-818"/>
        <s v="DX-819"/>
        <s v="DX-821"/>
        <s v="DX-822"/>
        <s v="DX-823"/>
        <s v="DX-824"/>
        <s v="DX-825"/>
        <s v="DX-826"/>
        <s v="DX-827"/>
        <s v="DX-828"/>
        <s v="DX-829"/>
        <s v="DX-830"/>
        <s v="DX-831"/>
        <s v="DX-832"/>
        <s v="DX-833"/>
        <s v="DX-834"/>
        <s v="DX-837"/>
        <s v="DX-838"/>
        <s v="DX-839"/>
        <s v="DX-840"/>
        <s v="DX-841"/>
        <s v="DX-842"/>
        <s v="DX-843"/>
        <s v="DX-844"/>
        <s v="DX-845"/>
        <s v="DX-846"/>
        <s v="DX-847"/>
        <s v="DX-848"/>
        <s v="DX-849"/>
        <s v="DX-850"/>
        <s v="DX-851"/>
        <s v="DX-852"/>
        <s v="DX-853"/>
        <s v="DX-854"/>
        <s v="DX-855"/>
        <s v="DX-856"/>
        <s v="DX-858"/>
        <s v="DX-860"/>
        <s v="DX-862"/>
        <s v="DX-863"/>
        <s v="DX-864"/>
        <s v="DX-865"/>
        <s v="DX-866"/>
        <s v="DX-867"/>
        <s v="DX-868"/>
        <s v="DX-869"/>
        <s v="DX-870"/>
        <s v="DX-871"/>
        <s v="DX-874"/>
        <s v="DX-875"/>
        <s v="DX-876"/>
        <s v="DX-878"/>
        <s v="DX-879"/>
        <s v="DX-880"/>
        <s v="DX-881"/>
        <s v="DX-882"/>
        <s v="DX-884"/>
        <s v="DX-885"/>
        <s v="DX-886"/>
        <s v="DX-887"/>
        <s v="DX-888"/>
        <s v="DX-889"/>
        <s v="DX-890"/>
        <s v="DX-892"/>
        <s v="DX-893"/>
        <s v="DX-894"/>
        <s v="DX-895"/>
        <s v="DX-896"/>
        <s v="DX-897"/>
        <s v="DX-898"/>
        <s v="DX-899"/>
        <s v="DX-900"/>
        <s v="DX-903"/>
        <s v="DX-904"/>
        <s v="DX-905"/>
        <s v="DX-906"/>
        <s v="DX-907"/>
        <s v="DX-908"/>
        <s v="DX-910"/>
        <s v="DX-911"/>
        <s v="DX-913"/>
        <s v="DX-915"/>
        <s v="DX-916"/>
        <s v="DX-917"/>
        <s v="DX-918"/>
        <s v="DX-920"/>
        <s v="DX-921"/>
        <s v="DX-922"/>
        <s v="DX-923"/>
        <s v="DX-924"/>
        <s v="DX-925"/>
        <s v="DX-926"/>
        <s v="DX-927"/>
        <s v="DX-928"/>
        <s v="DX-929"/>
        <s v="DX-930"/>
        <s v="DX-931"/>
        <s v="DX-932"/>
        <s v="DX-934"/>
        <s v="DX-935"/>
        <s v="DX-936"/>
        <s v="DX-937"/>
        <s v="DX-938"/>
        <s v="DX-939"/>
        <s v="DX-943"/>
        <s v="DX-944"/>
        <s v="DX-947"/>
        <s v="DX-948"/>
        <s v="DX-949"/>
        <s v="DX-950"/>
        <s v="DX-951"/>
        <s v="DX-952"/>
        <s v="DX-953"/>
        <s v="DX-954"/>
        <s v="DX-955"/>
        <s v="DX-956"/>
        <s v="DX-957"/>
        <s v="DX-958"/>
        <s v="DX-959"/>
        <s v="DX-960"/>
        <s v="DX-961"/>
        <s v="DX-964"/>
        <s v="DX-965"/>
        <s v="DX-966"/>
        <s v="DX-967"/>
        <s v="DX-968"/>
        <s v="DX-969"/>
        <s v="DX-970"/>
        <s v="DX-972"/>
        <s v="DX-973"/>
        <s v="DX-974"/>
        <s v="DX-975"/>
        <s v="DX-976"/>
        <s v="DX-977"/>
        <s v="DX-978"/>
        <s v="DX-979"/>
        <s v="DX-980"/>
        <s v="DX-981"/>
        <s v="DX-982"/>
        <s v="DX-983"/>
        <s v="DX-984"/>
        <s v="DX-985"/>
        <s v="DX-987"/>
        <s v="DX-988"/>
        <s v="DX-989"/>
        <s v="DX-990"/>
        <s v="DX-991"/>
        <s v="DX-992"/>
        <s v="DX-993"/>
        <s v="DX-994"/>
        <s v="DX-995"/>
        <s v="DX-996"/>
        <s v="DX-998"/>
        <s v="DX-999"/>
      </sharedItems>
    </cacheField>
    <cacheField name="Procedure_Code" numFmtId="0">
      <sharedItems count="1390">
        <s v="PR-1000"/>
        <s v="PR-1008"/>
        <s v="PR-1016"/>
        <s v="PR-1020"/>
        <s v="PR-1025"/>
        <s v="PR-1027"/>
        <s v="PR-1031"/>
        <s v="PR-1035"/>
        <s v="PR-1049"/>
        <s v="PR-1050"/>
        <s v="PR-1055"/>
        <s v="PR-1062"/>
        <s v="PR-1066"/>
        <s v="PR-1067"/>
        <s v="PR-1074"/>
        <s v="PR-1077"/>
        <s v="PR-1079"/>
        <s v="PR-1094"/>
        <s v="PR-1099"/>
        <s v="PR-1100"/>
        <s v="PR-1106"/>
        <s v="PR-1108"/>
        <s v="PR-1112"/>
        <s v="PR-1114"/>
        <s v="PR-1117"/>
        <s v="PR-1119"/>
        <s v="PR-1124"/>
        <s v="PR-1127"/>
        <s v="PR-1138"/>
        <s v="PR-1146"/>
        <s v="PR-1167"/>
        <s v="PR-1168"/>
        <s v="PR-1174"/>
        <s v="PR-1175"/>
        <s v="PR-1181"/>
        <s v="PR-1183"/>
        <s v="PR-1187"/>
        <s v="PR-1188"/>
        <s v="PR-1189"/>
        <s v="PR-1199"/>
        <s v="PR-1203"/>
        <s v="PR-1222"/>
        <s v="PR-1223"/>
        <s v="PR-1233"/>
        <s v="PR-1244"/>
        <s v="PR-1246"/>
        <s v="PR-1252"/>
        <s v="PR-1254"/>
        <s v="PR-1256"/>
        <s v="PR-1260"/>
        <s v="PR-1262"/>
        <s v="PR-1267"/>
        <s v="PR-1268"/>
        <s v="PR-1271"/>
        <s v="PR-1275"/>
        <s v="PR-1276"/>
        <s v="PR-1277"/>
        <s v="PR-1280"/>
        <s v="PR-1284"/>
        <s v="PR-1293"/>
        <s v="PR-1297"/>
        <s v="PR-1319"/>
        <s v="PR-1324"/>
        <s v="PR-1325"/>
        <s v="PR-1328"/>
        <s v="PR-1348"/>
        <s v="PR-1353"/>
        <s v="PR-1368"/>
        <s v="PR-1376"/>
        <s v="PR-1393"/>
        <s v="PR-1394"/>
        <s v="PR-1397"/>
        <s v="PR-1404"/>
        <s v="PR-1416"/>
        <s v="PR-1423"/>
        <s v="PR-1432"/>
        <s v="PR-1446"/>
        <s v="PR-1448"/>
        <s v="PR-1451"/>
        <s v="PR-1459"/>
        <s v="PR-1463"/>
        <s v="PR-1475"/>
        <s v="PR-1480"/>
        <s v="PR-1481"/>
        <s v="PR-1491"/>
        <s v="PR-1497"/>
        <s v="PR-1514"/>
        <s v="PR-1521"/>
        <s v="PR-1526"/>
        <s v="PR-1527"/>
        <s v="PR-1529"/>
        <s v="PR-1530"/>
        <s v="PR-1544"/>
        <s v="PR-1546"/>
        <s v="PR-1547"/>
        <s v="PR-1554"/>
        <s v="PR-1562"/>
        <s v="PR-1568"/>
        <s v="PR-1570"/>
        <s v="PR-1575"/>
        <s v="PR-1579"/>
        <s v="PR-1583"/>
        <s v="PR-1584"/>
        <s v="PR-1590"/>
        <s v="PR-1594"/>
        <s v="PR-1595"/>
        <s v="PR-1599"/>
        <s v="PR-1604"/>
        <s v="PR-1612"/>
        <s v="PR-1618"/>
        <s v="PR-1620"/>
        <s v="PR-1633"/>
        <s v="PR-1636"/>
        <s v="PR-1637"/>
        <s v="PR-1639"/>
        <s v="PR-1644"/>
        <s v="PR-1646"/>
        <s v="PR-1651"/>
        <s v="PR-1659"/>
        <s v="PR-1660"/>
        <s v="PR-1667"/>
        <s v="PR-1668"/>
        <s v="PR-1669"/>
        <s v="PR-1685"/>
        <s v="PR-1687"/>
        <s v="PR-1688"/>
        <s v="PR-1691"/>
        <s v="PR-1711"/>
        <s v="PR-1715"/>
        <s v="PR-1718"/>
        <s v="PR-1722"/>
        <s v="PR-1728"/>
        <s v="PR-1732"/>
        <s v="PR-1735"/>
        <s v="PR-1747"/>
        <s v="PR-1752"/>
        <s v="PR-1755"/>
        <s v="PR-1756"/>
        <s v="PR-1760"/>
        <s v="PR-1778"/>
        <s v="PR-1782"/>
        <s v="PR-1783"/>
        <s v="PR-1802"/>
        <s v="PR-1804"/>
        <s v="PR-1816"/>
        <s v="PR-1819"/>
        <s v="PR-1826"/>
        <s v="PR-1838"/>
        <s v="PR-1845"/>
        <s v="PR-1849"/>
        <s v="PR-1855"/>
        <s v="PR-1862"/>
        <s v="PR-1869"/>
        <s v="PR-1876"/>
        <s v="PR-1902"/>
        <s v="PR-1903"/>
        <s v="PR-1913"/>
        <s v="PR-1916"/>
        <s v="PR-1936"/>
        <s v="PR-1945"/>
        <s v="PR-1953"/>
        <s v="PR-1957"/>
        <s v="PR-1982"/>
        <s v="PR-1988"/>
        <s v="PR-2002"/>
        <s v="PR-2007"/>
        <s v="PR-2028"/>
        <s v="PR-2037"/>
        <s v="PR-2039"/>
        <s v="PR-2040"/>
        <s v="PR-2045"/>
        <s v="PR-2046"/>
        <s v="PR-2050"/>
        <s v="PR-2052"/>
        <s v="PR-2059"/>
        <s v="PR-2061"/>
        <s v="PR-2070"/>
        <s v="PR-2072"/>
        <s v="PR-2078"/>
        <s v="PR-2082"/>
        <s v="PR-2086"/>
        <s v="PR-2099"/>
        <s v="PR-2102"/>
        <s v="PR-2103"/>
        <s v="PR-2111"/>
        <s v="PR-2113"/>
        <s v="PR-2114"/>
        <s v="PR-2116"/>
        <s v="PR-2117"/>
        <s v="PR-2119"/>
        <s v="PR-2120"/>
        <s v="PR-2127"/>
        <s v="PR-2139"/>
        <s v="PR-2153"/>
        <s v="PR-2161"/>
        <s v="PR-2168"/>
        <s v="PR-2182"/>
        <s v="PR-2191"/>
        <s v="PR-2193"/>
        <s v="PR-2194"/>
        <s v="PR-2197"/>
        <s v="PR-2203"/>
        <s v="PR-2210"/>
        <s v="PR-2218"/>
        <s v="PR-2225"/>
        <s v="PR-2228"/>
        <s v="PR-2234"/>
        <s v="PR-2235"/>
        <s v="PR-2251"/>
        <s v="PR-2253"/>
        <s v="PR-2259"/>
        <s v="PR-2263"/>
        <s v="PR-2264"/>
        <s v="PR-2267"/>
        <s v="PR-2274"/>
        <s v="PR-2276"/>
        <s v="PR-2278"/>
        <s v="PR-2306"/>
        <s v="PR-2310"/>
        <s v="PR-2314"/>
        <s v="PR-2322"/>
        <s v="PR-2329"/>
        <s v="PR-2330"/>
        <s v="PR-2340"/>
        <s v="PR-2343"/>
        <s v="PR-2347"/>
        <s v="PR-2357"/>
        <s v="PR-2362"/>
        <s v="PR-2371"/>
        <s v="PR-2376"/>
        <s v="PR-2383"/>
        <s v="PR-2386"/>
        <s v="PR-2390"/>
        <s v="PR-2392"/>
        <s v="PR-2398"/>
        <s v="PR-2429"/>
        <s v="PR-2431"/>
        <s v="PR-2433"/>
        <s v="PR-2445"/>
        <s v="PR-2458"/>
        <s v="PR-2467"/>
        <s v="PR-2493"/>
        <s v="PR-2496"/>
        <s v="PR-2497"/>
        <s v="PR-2511"/>
        <s v="PR-2514"/>
        <s v="PR-2515"/>
        <s v="PR-2525"/>
        <s v="PR-2527"/>
        <s v="PR-2532"/>
        <s v="PR-2537"/>
        <s v="PR-2546"/>
        <s v="PR-2548"/>
        <s v="PR-2555"/>
        <s v="PR-2571"/>
        <s v="PR-2581"/>
        <s v="PR-2590"/>
        <s v="PR-2591"/>
        <s v="PR-2594"/>
        <s v="PR-2595"/>
        <s v="PR-2601"/>
        <s v="PR-2606"/>
        <s v="PR-2608"/>
        <s v="PR-2611"/>
        <s v="PR-2616"/>
        <s v="PR-2621"/>
        <s v="PR-2637"/>
        <s v="PR-2640"/>
        <s v="PR-2659"/>
        <s v="PR-2671"/>
        <s v="PR-2683"/>
        <s v="PR-2686"/>
        <s v="PR-2692"/>
        <s v="PR-2700"/>
        <s v="PR-2701"/>
        <s v="PR-2708"/>
        <s v="PR-2728"/>
        <s v="PR-2734"/>
        <s v="PR-2743"/>
        <s v="PR-2747"/>
        <s v="PR-2748"/>
        <s v="PR-2753"/>
        <s v="PR-2755"/>
        <s v="PR-2758"/>
        <s v="PR-2768"/>
        <s v="PR-2775"/>
        <s v="PR-2781"/>
        <s v="PR-2783"/>
        <s v="PR-2791"/>
        <s v="PR-2792"/>
        <s v="PR-2795"/>
        <s v="PR-2797"/>
        <s v="PR-2818"/>
        <s v="PR-2824"/>
        <s v="PR-2830"/>
        <s v="PR-2834"/>
        <s v="PR-2846"/>
        <s v="PR-2853"/>
        <s v="PR-2875"/>
        <s v="PR-2877"/>
        <s v="PR-2887"/>
        <s v="PR-2896"/>
        <s v="PR-2902"/>
        <s v="PR-2903"/>
        <s v="PR-2916"/>
        <s v="PR-2924"/>
        <s v="PR-2931"/>
        <s v="PR-2932"/>
        <s v="PR-2933"/>
        <s v="PR-2934"/>
        <s v="PR-2939"/>
        <s v="PR-2941"/>
        <s v="PR-2943"/>
        <s v="PR-2953"/>
        <s v="PR-2955"/>
        <s v="PR-2957"/>
        <s v="PR-2960"/>
        <s v="PR-2973"/>
        <s v="PR-2983"/>
        <s v="PR-2986"/>
        <s v="PR-2991"/>
        <s v="PR-2999"/>
        <s v="PR-3001"/>
        <s v="PR-3002"/>
        <s v="PR-3004"/>
        <s v="PR-3005"/>
        <s v="PR-3018"/>
        <s v="PR-3032"/>
        <s v="PR-3042"/>
        <s v="PR-3045"/>
        <s v="PR-3060"/>
        <s v="PR-3069"/>
        <s v="PR-3070"/>
        <s v="PR-3087"/>
        <s v="PR-3088"/>
        <s v="PR-3105"/>
        <s v="PR-3110"/>
        <s v="PR-3118"/>
        <s v="PR-3121"/>
        <s v="PR-3128"/>
        <s v="PR-3136"/>
        <s v="PR-3149"/>
        <s v="PR-3176"/>
        <s v="PR-3177"/>
        <s v="PR-3186"/>
        <s v="PR-3187"/>
        <s v="PR-3189"/>
        <s v="PR-3192"/>
        <s v="PR-3217"/>
        <s v="PR-3224"/>
        <s v="PR-3243"/>
        <s v="PR-3247"/>
        <s v="PR-3248"/>
        <s v="PR-3251"/>
        <s v="PR-3253"/>
        <s v="PR-3257"/>
        <s v="PR-3258"/>
        <s v="PR-3262"/>
        <s v="PR-3267"/>
        <s v="PR-3269"/>
        <s v="PR-3283"/>
        <s v="PR-3288"/>
        <s v="PR-3299"/>
        <s v="PR-3307"/>
        <s v="PR-3314"/>
        <s v="PR-3325"/>
        <s v="PR-3335"/>
        <s v="PR-3338"/>
        <s v="PR-3344"/>
        <s v="PR-3345"/>
        <s v="PR-3346"/>
        <s v="PR-3348"/>
        <s v="PR-3353"/>
        <s v="PR-3355"/>
        <s v="PR-3357"/>
        <s v="PR-3360"/>
        <s v="PR-3362"/>
        <s v="PR-3364"/>
        <s v="PR-3369"/>
        <s v="PR-3379"/>
        <s v="PR-3389"/>
        <s v="PR-3391"/>
        <s v="PR-3402"/>
        <s v="PR-3403"/>
        <s v="PR-3413"/>
        <s v="PR-3414"/>
        <s v="PR-3418"/>
        <s v="PR-3435"/>
        <s v="PR-3440"/>
        <s v="PR-3441"/>
        <s v="PR-3445"/>
        <s v="PR-3458"/>
        <s v="PR-3460"/>
        <s v="PR-3478"/>
        <s v="PR-3479"/>
        <s v="PR-3480"/>
        <s v="PR-3487"/>
        <s v="PR-3494"/>
        <s v="PR-3510"/>
        <s v="PR-3511"/>
        <s v="PR-3512"/>
        <s v="PR-3518"/>
        <s v="PR-3532"/>
        <s v="PR-3540"/>
        <s v="PR-3548"/>
        <s v="PR-3553"/>
        <s v="PR-3555"/>
        <s v="PR-3558"/>
        <s v="PR-3564"/>
        <s v="PR-3567"/>
        <s v="PR-3569"/>
        <s v="PR-3576"/>
        <s v="PR-3578"/>
        <s v="PR-3579"/>
        <s v="PR-3583"/>
        <s v="PR-3586"/>
        <s v="PR-3591"/>
        <s v="PR-3594"/>
        <s v="PR-3595"/>
        <s v="PR-3601"/>
        <s v="PR-3605"/>
        <s v="PR-3606"/>
        <s v="PR-3608"/>
        <s v="PR-3611"/>
        <s v="PR-3612"/>
        <s v="PR-3618"/>
        <s v="PR-3619"/>
        <s v="PR-3623"/>
        <s v="PR-3627"/>
        <s v="PR-3630"/>
        <s v="PR-3636"/>
        <s v="PR-3641"/>
        <s v="PR-3642"/>
        <s v="PR-3643"/>
        <s v="PR-3657"/>
        <s v="PR-3665"/>
        <s v="PR-3670"/>
        <s v="PR-3672"/>
        <s v="PR-3674"/>
        <s v="PR-3679"/>
        <s v="PR-3694"/>
        <s v="PR-3713"/>
        <s v="PR-3718"/>
        <s v="PR-3723"/>
        <s v="PR-3735"/>
        <s v="PR-3736"/>
        <s v="PR-3745"/>
        <s v="PR-3772"/>
        <s v="PR-3774"/>
        <s v="PR-3776"/>
        <s v="PR-3780"/>
        <s v="PR-3790"/>
        <s v="PR-3791"/>
        <s v="PR-3799"/>
        <s v="PR-3807"/>
        <s v="PR-3814"/>
        <s v="PR-3815"/>
        <s v="PR-3832"/>
        <s v="PR-3841"/>
        <s v="PR-3842"/>
        <s v="PR-3856"/>
        <s v="PR-3860"/>
        <s v="PR-3863"/>
        <s v="PR-3871"/>
        <s v="PR-3873"/>
        <s v="PR-3879"/>
        <s v="PR-3881"/>
        <s v="PR-3882"/>
        <s v="PR-3885"/>
        <s v="PR-3897"/>
        <s v="PR-3898"/>
        <s v="PR-3901"/>
        <s v="PR-3903"/>
        <s v="PR-3916"/>
        <s v="PR-3918"/>
        <s v="PR-3927"/>
        <s v="PR-3928"/>
        <s v="PR-3935"/>
        <s v="PR-3955"/>
        <s v="PR-3958"/>
        <s v="PR-3960"/>
        <s v="PR-3962"/>
        <s v="PR-3967"/>
        <s v="PR-3971"/>
        <s v="PR-3998"/>
        <s v="PR-4000"/>
        <s v="PR-4001"/>
        <s v="PR-4024"/>
        <s v="PR-4026"/>
        <s v="PR-4028"/>
        <s v="PR-4029"/>
        <s v="PR-4048"/>
        <s v="PR-4058"/>
        <s v="PR-4059"/>
        <s v="PR-4060"/>
        <s v="PR-4061"/>
        <s v="PR-4070"/>
        <s v="PR-4072"/>
        <s v="PR-4074"/>
        <s v="PR-4077"/>
        <s v="PR-4085"/>
        <s v="PR-4089"/>
        <s v="PR-4093"/>
        <s v="PR-4104"/>
        <s v="PR-4107"/>
        <s v="PR-4111"/>
        <s v="PR-4115"/>
        <s v="PR-4129"/>
        <s v="PR-4143"/>
        <s v="PR-4144"/>
        <s v="PR-4146"/>
        <s v="PR-4150"/>
        <s v="PR-4156"/>
        <s v="PR-4162"/>
        <s v="PR-4172"/>
        <s v="PR-4174"/>
        <s v="PR-4184"/>
        <s v="PR-4185"/>
        <s v="PR-4187"/>
        <s v="PR-4189"/>
        <s v="PR-4192"/>
        <s v="PR-4196"/>
        <s v="PR-4199"/>
        <s v="PR-4204"/>
        <s v="PR-4215"/>
        <s v="PR-4232"/>
        <s v="PR-4233"/>
        <s v="PR-4243"/>
        <s v="PR-4244"/>
        <s v="PR-4263"/>
        <s v="PR-4268"/>
        <s v="PR-4281"/>
        <s v="PR-4292"/>
        <s v="PR-4299"/>
        <s v="PR-4302"/>
        <s v="PR-4308"/>
        <s v="PR-4312"/>
        <s v="PR-4318"/>
        <s v="PR-4353"/>
        <s v="PR-4363"/>
        <s v="PR-4370"/>
        <s v="PR-4372"/>
        <s v="PR-4378"/>
        <s v="PR-4399"/>
        <s v="PR-4410"/>
        <s v="PR-4416"/>
        <s v="PR-4421"/>
        <s v="PR-4434"/>
        <s v="PR-4437"/>
        <s v="PR-4438"/>
        <s v="PR-4446"/>
        <s v="PR-4447"/>
        <s v="PR-4450"/>
        <s v="PR-4451"/>
        <s v="PR-4460"/>
        <s v="PR-4461"/>
        <s v="PR-4465"/>
        <s v="PR-4477"/>
        <s v="PR-4478"/>
        <s v="PR-4485"/>
        <s v="PR-4492"/>
        <s v="PR-4495"/>
        <s v="PR-4498"/>
        <s v="PR-4502"/>
        <s v="PR-4507"/>
        <s v="PR-4519"/>
        <s v="PR-4532"/>
        <s v="PR-4545"/>
        <s v="PR-4546"/>
        <s v="PR-4549"/>
        <s v="PR-4553"/>
        <s v="PR-4554"/>
        <s v="PR-4564"/>
        <s v="PR-4571"/>
        <s v="PR-4578"/>
        <s v="PR-4593"/>
        <s v="PR-4594"/>
        <s v="PR-4598"/>
        <s v="PR-4609"/>
        <s v="PR-4610"/>
        <s v="PR-4633"/>
        <s v="PR-4634"/>
        <s v="PR-4635"/>
        <s v="PR-4644"/>
        <s v="PR-4651"/>
        <s v="PR-4652"/>
        <s v="PR-4653"/>
        <s v="PR-4659"/>
        <s v="PR-4662"/>
        <s v="PR-4671"/>
        <s v="PR-4677"/>
        <s v="PR-4678"/>
        <s v="PR-4684"/>
        <s v="PR-4698"/>
        <s v="PR-4714"/>
        <s v="PR-4715"/>
        <s v="PR-4737"/>
        <s v="PR-4739"/>
        <s v="PR-4750"/>
        <s v="PR-4753"/>
        <s v="PR-4757"/>
        <s v="PR-4765"/>
        <s v="PR-4783"/>
        <s v="PR-4793"/>
        <s v="PR-4795"/>
        <s v="PR-4797"/>
        <s v="PR-4810"/>
        <s v="PR-4811"/>
        <s v="PR-4820"/>
        <s v="PR-4830"/>
        <s v="PR-4849"/>
        <s v="PR-4850"/>
        <s v="PR-4852"/>
        <s v="PR-4862"/>
        <s v="PR-4868"/>
        <s v="PR-4896"/>
        <s v="PR-4907"/>
        <s v="PR-4912"/>
        <s v="PR-4913"/>
        <s v="PR-4920"/>
        <s v="PR-4933"/>
        <s v="PR-4938"/>
        <s v="PR-4940"/>
        <s v="PR-4943"/>
        <s v="PR-4961"/>
        <s v="PR-4969"/>
        <s v="PR-4972"/>
        <s v="PR-4990"/>
        <s v="PR-4996"/>
        <s v="PR-4998"/>
        <s v="PR-4999"/>
        <s v="PR-5001"/>
        <s v="PR-5002"/>
        <s v="PR-5007"/>
        <s v="PR-5008"/>
        <s v="PR-5018"/>
        <s v="PR-5019"/>
        <s v="PR-5026"/>
        <s v="PR-5032"/>
        <s v="PR-5033"/>
        <s v="PR-5035"/>
        <s v="PR-5045"/>
        <s v="PR-5049"/>
        <s v="PR-5052"/>
        <s v="PR-5053"/>
        <s v="PR-5055"/>
        <s v="PR-5072"/>
        <s v="PR-5073"/>
        <s v="PR-5075"/>
        <s v="PR-5079"/>
        <s v="PR-5092"/>
        <s v="PR-5094"/>
        <s v="PR-5099"/>
        <s v="PR-5100"/>
        <s v="PR-5102"/>
        <s v="PR-5104"/>
        <s v="PR-5116"/>
        <s v="PR-5117"/>
        <s v="PR-5118"/>
        <s v="PR-5121"/>
        <s v="PR-5127"/>
        <s v="PR-5133"/>
        <s v="PR-5136"/>
        <s v="PR-5137"/>
        <s v="PR-5144"/>
        <s v="PR-5157"/>
        <s v="PR-5159"/>
        <s v="PR-5166"/>
        <s v="PR-5174"/>
        <s v="PR-5175"/>
        <s v="PR-5177"/>
        <s v="PR-5193"/>
        <s v="PR-5220"/>
        <s v="PR-5221"/>
        <s v="PR-5223"/>
        <s v="PR-5232"/>
        <s v="PR-5241"/>
        <s v="PR-5242"/>
        <s v="PR-5243"/>
        <s v="PR-5252"/>
        <s v="PR-5259"/>
        <s v="PR-5262"/>
        <s v="PR-5267"/>
        <s v="PR-5272"/>
        <s v="PR-5277"/>
        <s v="PR-5287"/>
        <s v="PR-5292"/>
        <s v="PR-5294"/>
        <s v="PR-5298"/>
        <s v="PR-5301"/>
        <s v="PR-5306"/>
        <s v="PR-5308"/>
        <s v="PR-5313"/>
        <s v="PR-5321"/>
        <s v="PR-5327"/>
        <s v="PR-5333"/>
        <s v="PR-5344"/>
        <s v="PR-5351"/>
        <s v="PR-5354"/>
        <s v="PR-5358"/>
        <s v="PR-5361"/>
        <s v="PR-5368"/>
        <s v="PR-5370"/>
        <s v="PR-5374"/>
        <s v="PR-5375"/>
        <s v="PR-5376"/>
        <s v="PR-5385"/>
        <s v="PR-5387"/>
        <s v="PR-5394"/>
        <s v="PR-5412"/>
        <s v="PR-5429"/>
        <s v="PR-5438"/>
        <s v="PR-5439"/>
        <s v="PR-5449"/>
        <s v="PR-5454"/>
        <s v="PR-5461"/>
        <s v="PR-5468"/>
        <s v="PR-5488"/>
        <s v="PR-5491"/>
        <s v="PR-5494"/>
        <s v="PR-5501"/>
        <s v="PR-5509"/>
        <s v="PR-5511"/>
        <s v="PR-5512"/>
        <s v="PR-5520"/>
        <s v="PR-5523"/>
        <s v="PR-5525"/>
        <s v="PR-5528"/>
        <s v="PR-5544"/>
        <s v="PR-5562"/>
        <s v="PR-5566"/>
        <s v="PR-5575"/>
        <s v="PR-5576"/>
        <s v="PR-5579"/>
        <s v="PR-5587"/>
        <s v="PR-5589"/>
        <s v="PR-5590"/>
        <s v="PR-5601"/>
        <s v="PR-5615"/>
        <s v="PR-5618"/>
        <s v="PR-5626"/>
        <s v="PR-5631"/>
        <s v="PR-5633"/>
        <s v="PR-5641"/>
        <s v="PR-5647"/>
        <s v="PR-5648"/>
        <s v="PR-5651"/>
        <s v="PR-5653"/>
        <s v="PR-5654"/>
        <s v="PR-5656"/>
        <s v="PR-5664"/>
        <s v="PR-5678"/>
        <s v="PR-5684"/>
        <s v="PR-5698"/>
        <s v="PR-5703"/>
        <s v="PR-5705"/>
        <s v="PR-5706"/>
        <s v="PR-5713"/>
        <s v="PR-5717"/>
        <s v="PR-5718"/>
        <s v="PR-5723"/>
        <s v="PR-5731"/>
        <s v="PR-5740"/>
        <s v="PR-5745"/>
        <s v="PR-5749"/>
        <s v="PR-5759"/>
        <s v="PR-5760"/>
        <s v="PR-5767"/>
        <s v="PR-5771"/>
        <s v="PR-5773"/>
        <s v="PR-5774"/>
        <s v="PR-5775"/>
        <s v="PR-5777"/>
        <s v="PR-5789"/>
        <s v="PR-5795"/>
        <s v="PR-5799"/>
        <s v="PR-5801"/>
        <s v="PR-5803"/>
        <s v="PR-5837"/>
        <s v="PR-5844"/>
        <s v="PR-5873"/>
        <s v="PR-5882"/>
        <s v="PR-5891"/>
        <s v="PR-5897"/>
        <s v="PR-5903"/>
        <s v="PR-5909"/>
        <s v="PR-5912"/>
        <s v="PR-5916"/>
        <s v="PR-5919"/>
        <s v="PR-5929"/>
        <s v="PR-5933"/>
        <s v="PR-5937"/>
        <s v="PR-5947"/>
        <s v="PR-5955"/>
        <s v="PR-5961"/>
        <s v="PR-5968"/>
        <s v="PR-5973"/>
        <s v="PR-5979"/>
        <s v="PR-5982"/>
        <s v="PR-5990"/>
        <s v="PR-5991"/>
        <s v="PR-5992"/>
        <s v="PR-5995"/>
        <s v="PR-5999"/>
        <s v="PR-6002"/>
        <s v="PR-6004"/>
        <s v="PR-6015"/>
        <s v="PR-6020"/>
        <s v="PR-6023"/>
        <s v="PR-6024"/>
        <s v="PR-6028"/>
        <s v="PR-6037"/>
        <s v="PR-6039"/>
        <s v="PR-6054"/>
        <s v="PR-6058"/>
        <s v="PR-6067"/>
        <s v="PR-6080"/>
        <s v="PR-6093"/>
        <s v="PR-6095"/>
        <s v="PR-6102"/>
        <s v="PR-6104"/>
        <s v="PR-6108"/>
        <s v="PR-6114"/>
        <s v="PR-6123"/>
        <s v="PR-6127"/>
        <s v="PR-6131"/>
        <s v="PR-6139"/>
        <s v="PR-6144"/>
        <s v="PR-6145"/>
        <s v="PR-6147"/>
        <s v="PR-6152"/>
        <s v="PR-6153"/>
        <s v="PR-6157"/>
        <s v="PR-6174"/>
        <s v="PR-6177"/>
        <s v="PR-6183"/>
        <s v="PR-6185"/>
        <s v="PR-6203"/>
        <s v="PR-6206"/>
        <s v="PR-6236"/>
        <s v="PR-6246"/>
        <s v="PR-6250"/>
        <s v="PR-6253"/>
        <s v="PR-6264"/>
        <s v="PR-6269"/>
        <s v="PR-6273"/>
        <s v="PR-6286"/>
        <s v="PR-6296"/>
        <s v="PR-6309"/>
        <s v="PR-6311"/>
        <s v="PR-6315"/>
        <s v="PR-6326"/>
        <s v="PR-6328"/>
        <s v="PR-6332"/>
        <s v="PR-6343"/>
        <s v="PR-6344"/>
        <s v="PR-6349"/>
        <s v="PR-6351"/>
        <s v="PR-6363"/>
        <s v="PR-6366"/>
        <s v="PR-6369"/>
        <s v="PR-6382"/>
        <s v="PR-6385"/>
        <s v="PR-6388"/>
        <s v="PR-6389"/>
        <s v="PR-6394"/>
        <s v="PR-6398"/>
        <s v="PR-6406"/>
        <s v="PR-6412"/>
        <s v="PR-6416"/>
        <s v="PR-6449"/>
        <s v="PR-6450"/>
        <s v="PR-6452"/>
        <s v="PR-6453"/>
        <s v="PR-6458"/>
        <s v="PR-6472"/>
        <s v="PR-6473"/>
        <s v="PR-6489"/>
        <s v="PR-6492"/>
        <s v="PR-6502"/>
        <s v="PR-6508"/>
        <s v="PR-6516"/>
        <s v="PR-6518"/>
        <s v="PR-6526"/>
        <s v="PR-6528"/>
        <s v="PR-6532"/>
        <s v="PR-6535"/>
        <s v="PR-6562"/>
        <s v="PR-6564"/>
        <s v="PR-6565"/>
        <s v="PR-6570"/>
        <s v="PR-6573"/>
        <s v="PR-6575"/>
        <s v="PR-6583"/>
        <s v="PR-6592"/>
        <s v="PR-6594"/>
        <s v="PR-6605"/>
        <s v="PR-6616"/>
        <s v="PR-6630"/>
        <s v="PR-6633"/>
        <s v="PR-6640"/>
        <s v="PR-6642"/>
        <s v="PR-6655"/>
        <s v="PR-6656"/>
        <s v="PR-6668"/>
        <s v="PR-6673"/>
        <s v="PR-6678"/>
        <s v="PR-6702"/>
        <s v="PR-6703"/>
        <s v="PR-6707"/>
        <s v="PR-6724"/>
        <s v="PR-6740"/>
        <s v="PR-6768"/>
        <s v="PR-6777"/>
        <s v="PR-6789"/>
        <s v="PR-6793"/>
        <s v="PR-6797"/>
        <s v="PR-6799"/>
        <s v="PR-6800"/>
        <s v="PR-6810"/>
        <s v="PR-6811"/>
        <s v="PR-6813"/>
        <s v="PR-6815"/>
        <s v="PR-6818"/>
        <s v="PR-6823"/>
        <s v="PR-6826"/>
        <s v="PR-6847"/>
        <s v="PR-6854"/>
        <s v="PR-6859"/>
        <s v="PR-6866"/>
        <s v="PR-6867"/>
        <s v="PR-6871"/>
        <s v="PR-6873"/>
        <s v="PR-6877"/>
        <s v="PR-6880"/>
        <s v="PR-6885"/>
        <s v="PR-6889"/>
        <s v="PR-6900"/>
        <s v="PR-6902"/>
        <s v="PR-6910"/>
        <s v="PR-6914"/>
        <s v="PR-6916"/>
        <s v="PR-6922"/>
        <s v="PR-6925"/>
        <s v="PR-6934"/>
        <s v="PR-6939"/>
        <s v="PR-6942"/>
        <s v="PR-6946"/>
        <s v="PR-6950"/>
        <s v="PR-6966"/>
        <s v="PR-6974"/>
        <s v="PR-6983"/>
        <s v="PR-6984"/>
        <s v="PR-6990"/>
        <s v="PR-6991"/>
        <s v="PR-6993"/>
        <s v="PR-7000"/>
        <s v="PR-7003"/>
        <s v="PR-7010"/>
        <s v="PR-7016"/>
        <s v="PR-7028"/>
        <s v="PR-7034"/>
        <s v="PR-7035"/>
        <s v="PR-7038"/>
        <s v="PR-7043"/>
        <s v="PR-7068"/>
        <s v="PR-7074"/>
        <s v="PR-7077"/>
        <s v="PR-7082"/>
        <s v="PR-7112"/>
        <s v="PR-7120"/>
        <s v="PR-7131"/>
        <s v="PR-7135"/>
        <s v="PR-7138"/>
        <s v="PR-7141"/>
        <s v="PR-7143"/>
        <s v="PR-7145"/>
        <s v="PR-7151"/>
        <s v="PR-7159"/>
        <s v="PR-7160"/>
        <s v="PR-7166"/>
        <s v="PR-7169"/>
        <s v="PR-7175"/>
        <s v="PR-7183"/>
        <s v="PR-7187"/>
        <s v="PR-7215"/>
        <s v="PR-7245"/>
        <s v="PR-7259"/>
        <s v="PR-7265"/>
        <s v="PR-7269"/>
        <s v="PR-7276"/>
        <s v="PR-7286"/>
        <s v="PR-7295"/>
        <s v="PR-7306"/>
        <s v="PR-7325"/>
        <s v="PR-7326"/>
        <s v="PR-7331"/>
        <s v="PR-7332"/>
        <s v="PR-7342"/>
        <s v="PR-7345"/>
        <s v="PR-7346"/>
        <s v="PR-7352"/>
        <s v="PR-7356"/>
        <s v="PR-7366"/>
        <s v="PR-7371"/>
        <s v="PR-7374"/>
        <s v="PR-7401"/>
        <s v="PR-7403"/>
        <s v="PR-7417"/>
        <s v="PR-7420"/>
        <s v="PR-7432"/>
        <s v="PR-7435"/>
        <s v="PR-7456"/>
        <s v="PR-7466"/>
        <s v="PR-7471"/>
        <s v="PR-7476"/>
        <s v="PR-7479"/>
        <s v="PR-7488"/>
        <s v="PR-7518"/>
        <s v="PR-7524"/>
        <s v="PR-7535"/>
        <s v="PR-7538"/>
        <s v="PR-7541"/>
        <s v="PR-7542"/>
        <s v="PR-7556"/>
        <s v="PR-7557"/>
        <s v="PR-7563"/>
        <s v="PR-7565"/>
        <s v="PR-7568"/>
        <s v="PR-7580"/>
        <s v="PR-7583"/>
        <s v="PR-7584"/>
        <s v="PR-7586"/>
        <s v="PR-7587"/>
        <s v="PR-7593"/>
        <s v="PR-7602"/>
        <s v="PR-7606"/>
        <s v="PR-7618"/>
        <s v="PR-7620"/>
        <s v="PR-7623"/>
        <s v="PR-7629"/>
        <s v="PR-7633"/>
        <s v="PR-7638"/>
        <s v="PR-7657"/>
        <s v="PR-7658"/>
        <s v="PR-7661"/>
        <s v="PR-7664"/>
        <s v="PR-7671"/>
        <s v="PR-7689"/>
        <s v="PR-7692"/>
        <s v="PR-7694"/>
        <s v="PR-7709"/>
        <s v="PR-7710"/>
        <s v="PR-7714"/>
        <s v="PR-7721"/>
        <s v="PR-7722"/>
        <s v="PR-7731"/>
        <s v="PR-7742"/>
        <s v="PR-7745"/>
        <s v="PR-7748"/>
        <s v="PR-7750"/>
        <s v="PR-7753"/>
        <s v="PR-7759"/>
        <s v="PR-7765"/>
        <s v="PR-7767"/>
        <s v="PR-7768"/>
        <s v="PR-7779"/>
        <s v="PR-7788"/>
        <s v="PR-7796"/>
        <s v="PR-7812"/>
        <s v="PR-7815"/>
        <s v="PR-7824"/>
        <s v="PR-7829"/>
        <s v="PR-7834"/>
        <s v="PR-7839"/>
        <s v="PR-7843"/>
        <s v="PR-7848"/>
        <s v="PR-7849"/>
        <s v="PR-7859"/>
        <s v="PR-7860"/>
        <s v="PR-7862"/>
        <s v="PR-7869"/>
        <s v="PR-7876"/>
        <s v="PR-7879"/>
        <s v="PR-7884"/>
        <s v="PR-7891"/>
        <s v="PR-7893"/>
        <s v="PR-7897"/>
        <s v="PR-7899"/>
        <s v="PR-7908"/>
        <s v="PR-7911"/>
        <s v="PR-7912"/>
        <s v="PR-7921"/>
        <s v="PR-7928"/>
        <s v="PR-7931"/>
        <s v="PR-7933"/>
        <s v="PR-7944"/>
        <s v="PR-7960"/>
        <s v="PR-7974"/>
        <s v="PR-7983"/>
        <s v="PR-8005"/>
        <s v="PR-8011"/>
        <s v="PR-8014"/>
        <s v="PR-8024"/>
        <s v="PR-8041"/>
        <s v="PR-8044"/>
        <s v="PR-8055"/>
        <s v="PR-8058"/>
        <s v="PR-8059"/>
        <s v="PR-8076"/>
        <s v="PR-8077"/>
        <s v="PR-8091"/>
        <s v="PR-8107"/>
        <s v="PR-8128"/>
        <s v="PR-8132"/>
        <s v="PR-8133"/>
        <s v="PR-8134"/>
        <s v="PR-8140"/>
        <s v="PR-8144"/>
        <s v="PR-8162"/>
        <s v="PR-8167"/>
        <s v="PR-8172"/>
        <s v="PR-8177"/>
        <s v="PR-8183"/>
        <s v="PR-8191"/>
        <s v="PR-8196"/>
        <s v="PR-8206"/>
        <s v="PR-8209"/>
        <s v="PR-8231"/>
        <s v="PR-8240"/>
        <s v="PR-8243"/>
        <s v="PR-8253"/>
        <s v="PR-8254"/>
        <s v="PR-8257"/>
        <s v="PR-8259"/>
        <s v="PR-8268"/>
        <s v="PR-8274"/>
        <s v="PR-8278"/>
        <s v="PR-8279"/>
        <s v="PR-8281"/>
        <s v="PR-8296"/>
        <s v="PR-8299"/>
        <s v="PR-8303"/>
        <s v="PR-8311"/>
        <s v="PR-8322"/>
        <s v="PR-8324"/>
        <s v="PR-8326"/>
        <s v="PR-8343"/>
        <s v="PR-8351"/>
        <s v="PR-8353"/>
        <s v="PR-8354"/>
        <s v="PR-8356"/>
        <s v="PR-8361"/>
        <s v="PR-8363"/>
        <s v="PR-8364"/>
        <s v="PR-8370"/>
        <s v="PR-8373"/>
        <s v="PR-8374"/>
        <s v="PR-8378"/>
        <s v="PR-8387"/>
        <s v="PR-8401"/>
        <s v="PR-8411"/>
        <s v="PR-8418"/>
        <s v="PR-8421"/>
        <s v="PR-8429"/>
        <s v="PR-8430"/>
        <s v="PR-8431"/>
        <s v="PR-8436"/>
        <s v="PR-8438"/>
        <s v="PR-8449"/>
        <s v="PR-8454"/>
        <s v="PR-8464"/>
        <s v="PR-8475"/>
        <s v="PR-8493"/>
        <s v="PR-8501"/>
        <s v="PR-8516"/>
        <s v="PR-8521"/>
        <s v="PR-8527"/>
        <s v="PR-8533"/>
        <s v="PR-8537"/>
        <s v="PR-8544"/>
        <s v="PR-8546"/>
        <s v="PR-8547"/>
        <s v="PR-8548"/>
        <s v="PR-8555"/>
        <s v="PR-8560"/>
        <s v="PR-8571"/>
        <s v="PR-8581"/>
        <s v="PR-8596"/>
        <s v="PR-8606"/>
        <s v="PR-8616"/>
        <s v="PR-8627"/>
        <s v="PR-8634"/>
        <s v="PR-8635"/>
        <s v="PR-8643"/>
        <s v="PR-8645"/>
        <s v="PR-8648"/>
        <s v="PR-8654"/>
        <s v="PR-8657"/>
        <s v="PR-8659"/>
        <s v="PR-8661"/>
        <s v="PR-8662"/>
        <s v="PR-8667"/>
        <s v="PR-8674"/>
        <s v="PR-8687"/>
        <s v="PR-8688"/>
        <s v="PR-8698"/>
        <s v="PR-8713"/>
        <s v="PR-8717"/>
        <s v="PR-8723"/>
        <s v="PR-8724"/>
        <s v="PR-8731"/>
        <s v="PR-8736"/>
        <s v="PR-8738"/>
        <s v="PR-8740"/>
        <s v="PR-8741"/>
        <s v="PR-8756"/>
        <s v="PR-8761"/>
        <s v="PR-8768"/>
        <s v="PR-8773"/>
        <s v="PR-8776"/>
        <s v="PR-8778"/>
        <s v="PR-8788"/>
        <s v="PR-8790"/>
        <s v="PR-8798"/>
        <s v="PR-8799"/>
        <s v="PR-8801"/>
        <s v="PR-8802"/>
        <s v="PR-8812"/>
        <s v="PR-8817"/>
        <s v="PR-8830"/>
        <s v="PR-8837"/>
        <s v="PR-8844"/>
        <s v="PR-8853"/>
        <s v="PR-8856"/>
        <s v="PR-8860"/>
        <s v="PR-8867"/>
        <s v="PR-8871"/>
        <s v="PR-8872"/>
        <s v="PR-8882"/>
        <s v="PR-8888"/>
        <s v="PR-8891"/>
        <s v="PR-8913"/>
        <s v="PR-8932"/>
        <s v="PR-8933"/>
        <s v="PR-8938"/>
        <s v="PR-8940"/>
        <s v="PR-8953"/>
        <s v="PR-8974"/>
        <s v="PR-8989"/>
        <s v="PR-8992"/>
        <s v="PR-8993"/>
        <s v="PR-8997"/>
        <s v="PR-8999"/>
        <s v="PR-9009"/>
        <s v="PR-9020"/>
        <s v="PR-9021"/>
        <s v="PR-9025"/>
        <s v="PR-9043"/>
        <s v="PR-9053"/>
        <s v="PR-9058"/>
        <s v="PR-9061"/>
        <s v="PR-9072"/>
        <s v="PR-9074"/>
        <s v="PR-9077"/>
        <s v="PR-9082"/>
        <s v="PR-9100"/>
        <s v="PR-9102"/>
        <s v="PR-9117"/>
        <s v="PR-9121"/>
        <s v="PR-9123"/>
        <s v="PR-9129"/>
        <s v="PR-9138"/>
        <s v="PR-9146"/>
        <s v="PR-9151"/>
        <s v="PR-9154"/>
        <s v="PR-9174"/>
        <s v="PR-9186"/>
        <s v="PR-9189"/>
        <s v="PR-9195"/>
        <s v="PR-9199"/>
        <s v="PR-9202"/>
        <s v="PR-9203"/>
        <s v="PR-9217"/>
        <s v="PR-9227"/>
        <s v="PR-9230"/>
        <s v="PR-9233"/>
        <s v="PR-9236"/>
        <s v="PR-9252"/>
        <s v="PR-9258"/>
        <s v="PR-9260"/>
        <s v="PR-9267"/>
        <s v="PR-9268"/>
        <s v="PR-9272"/>
        <s v="PR-9283"/>
        <s v="PR-9302"/>
        <s v="PR-9309"/>
        <s v="PR-9310"/>
        <s v="PR-9313"/>
        <s v="PR-9321"/>
        <s v="PR-9328"/>
        <s v="PR-9333"/>
        <s v="PR-9336"/>
        <s v="PR-9340"/>
        <s v="PR-9372"/>
        <s v="PR-9379"/>
        <s v="PR-9383"/>
        <s v="PR-9396"/>
        <s v="PR-9397"/>
        <s v="PR-9399"/>
        <s v="PR-9422"/>
        <s v="PR-9436"/>
        <s v="PR-9448"/>
        <s v="PR-9465"/>
        <s v="PR-9468"/>
        <s v="PR-9470"/>
        <s v="PR-9491"/>
        <s v="PR-9496"/>
        <s v="PR-9497"/>
        <s v="PR-9502"/>
        <s v="PR-9517"/>
        <s v="PR-9521"/>
        <s v="PR-9535"/>
        <s v="PR-9548"/>
        <s v="PR-9555"/>
        <s v="PR-9577"/>
        <s v="PR-9589"/>
        <s v="PR-9604"/>
        <s v="PR-9605"/>
        <s v="PR-9615"/>
        <s v="PR-9629"/>
        <s v="PR-9635"/>
        <s v="PR-9646"/>
        <s v="PR-9649"/>
        <s v="PR-9656"/>
        <s v="PR-9657"/>
        <s v="PR-9664"/>
        <s v="PR-9668"/>
        <s v="PR-9670"/>
        <s v="PR-9676"/>
        <s v="PR-9690"/>
        <s v="PR-9697"/>
        <s v="PR-9699"/>
        <s v="PR-9719"/>
        <s v="PR-9720"/>
        <s v="PR-9721"/>
        <s v="PR-9728"/>
        <s v="PR-9733"/>
        <s v="PR-9740"/>
        <s v="PR-9743"/>
        <s v="PR-9751"/>
        <s v="PR-9761"/>
        <s v="PR-9785"/>
        <s v="PR-9786"/>
        <s v="PR-9790"/>
        <s v="PR-9791"/>
        <s v="PR-9806"/>
        <s v="PR-9807"/>
        <s v="PR-9821"/>
        <s v="PR-9840"/>
        <s v="PR-9846"/>
        <s v="PR-9847"/>
        <s v="PR-9848"/>
        <s v="PR-9857"/>
        <s v="PR-9858"/>
        <s v="PR-9863"/>
        <s v="PR-9866"/>
        <s v="PR-9877"/>
        <s v="PR-9883"/>
        <s v="PR-9884"/>
        <s v="PR-9887"/>
        <s v="PR-9899"/>
        <s v="PR-9900"/>
        <s v="PR-9901"/>
        <s v="PR-9906"/>
        <s v="PR-9907"/>
        <s v="PR-9922"/>
        <s v="PR-9924"/>
        <s v="PR-9930"/>
        <s v="PR-9932"/>
        <s v="PR-9938"/>
        <s v="PR-9939"/>
        <s v="PR-9941"/>
        <s v="PR-9942"/>
        <s v="PR-9944"/>
        <s v="PR-9947"/>
        <s v="PR-9963"/>
        <s v="PR-9986"/>
        <s v="PR-9987"/>
        <s v="PR-9996"/>
      </sharedItems>
    </cacheField>
    <cacheField name="Billed_Amount" numFmtId="0">
      <sharedItems containsSemiMixedTypes="0" containsString="0" containsNumber="1" minValue="578.78" maxValue="49963.43" count="1500">
        <n v="578.78"/>
        <n v="611.45"/>
        <n v="635.24"/>
        <n v="635.5"/>
        <n v="638.38"/>
        <n v="663.71"/>
        <n v="731.96"/>
        <n v="763.54"/>
        <n v="821.51"/>
        <n v="827.87"/>
        <n v="867.78"/>
        <n v="988.88"/>
        <n v="1138.43"/>
        <n v="1145.57"/>
        <n v="1145.89"/>
        <n v="1229.72"/>
        <n v="1284.58"/>
        <n v="1293.9"/>
        <n v="1305.73"/>
        <n v="1323.5"/>
        <n v="1347.19"/>
        <n v="1349.16"/>
        <n v="1362.77"/>
        <n v="1410.23"/>
        <n v="1421.83"/>
        <n v="1460.07"/>
        <n v="1491.4"/>
        <n v="1583.03"/>
        <n v="1584.41"/>
        <n v="1591.71"/>
        <n v="1615.85"/>
        <n v="1667.46"/>
        <n v="1684.61"/>
        <n v="1699.15"/>
        <n v="1720.49"/>
        <n v="1734.2"/>
        <n v="1734.27"/>
        <n v="1804.78"/>
        <n v="1867.25"/>
        <n v="1907.91"/>
        <n v="1958.24"/>
        <n v="2056.55"/>
        <n v="2097.19"/>
        <n v="2258.32"/>
        <n v="2339.48"/>
        <n v="2460.57"/>
        <n v="2484.01"/>
        <n v="2536.57"/>
        <n v="2571.63"/>
        <n v="2604.59"/>
        <n v="2622.31"/>
        <n v="2632.27"/>
        <n v="2670.66"/>
        <n v="2671.8"/>
        <n v="2737.61"/>
        <n v="2745.89"/>
        <n v="2817.71"/>
        <n v="2842.29"/>
        <n v="2862.78"/>
        <n v="2917.15"/>
        <n v="2936.11"/>
        <n v="2997.57"/>
        <n v="3055.18"/>
        <n v="3079.29"/>
        <n v="3080.47"/>
        <n v="3080.95"/>
        <n v="3160.24"/>
        <n v="3162.21"/>
        <n v="3200.06"/>
        <n v="3273.1"/>
        <n v="3314.08"/>
        <n v="3324.4"/>
        <n v="3359.76"/>
        <n v="3380.14"/>
        <n v="3395.84"/>
        <n v="3403.07"/>
        <n v="3419.73"/>
        <n v="3445.23"/>
        <n v="3459.42"/>
        <n v="3509.27"/>
        <n v="3528.48"/>
        <n v="3569.11"/>
        <n v="3570.62"/>
        <n v="3608.52"/>
        <n v="3676.21"/>
        <n v="3691.34"/>
        <n v="3700.34"/>
        <n v="3773.75"/>
        <n v="3783.12"/>
        <n v="3800.65"/>
        <n v="3816.79"/>
        <n v="3928.03"/>
        <n v="3935.22"/>
        <n v="3968.88"/>
        <n v="4036.92"/>
        <n v="4185.18"/>
        <n v="4215.24"/>
        <n v="4263.43"/>
        <n v="4288.36"/>
        <n v="4288.54"/>
        <n v="4291.89"/>
        <n v="4296.84"/>
        <n v="4303.36"/>
        <n v="4313.55"/>
        <n v="4364.6"/>
        <n v="4430.54"/>
        <n v="4441.16"/>
        <n v="4458.49"/>
        <n v="4557.7"/>
        <n v="4568.35"/>
        <n v="4578.25"/>
        <n v="4585.98"/>
        <n v="4620.03"/>
        <n v="4621.08"/>
        <n v="4625.07"/>
        <n v="4671.91"/>
        <n v="4757.17"/>
        <n v="4882.23"/>
        <n v="4904.34"/>
        <n v="4924.46"/>
        <n v="4959.97"/>
        <n v="4963.21"/>
        <n v="4969.65"/>
        <n v="4970.16"/>
        <n v="5021.24"/>
        <n v="5056.42"/>
        <n v="5128.12"/>
        <n v="5128.75"/>
        <n v="5132.1"/>
        <n v="5181.11"/>
        <n v="5210.28"/>
        <n v="5254.36"/>
        <n v="5402.83"/>
        <n v="5417.01"/>
        <n v="5528.72"/>
        <n v="5530.56"/>
        <n v="5577.02"/>
        <n v="5625.92"/>
        <n v="5631.93"/>
        <n v="5730.19"/>
        <n v="5747.57"/>
        <n v="5761.88"/>
        <n v="5770.02"/>
        <n v="5833.37"/>
        <n v="5869.08"/>
        <n v="5880.4"/>
        <n v="5903.28"/>
        <n v="5903.59"/>
        <n v="5961.64"/>
        <n v="5967.91"/>
        <n v="5991.11"/>
        <n v="6033.29"/>
        <n v="6033.76"/>
        <n v="6039.67"/>
        <n v="6074.37"/>
        <n v="6081.25"/>
        <n v="6085.85"/>
        <n v="6087.91"/>
        <n v="6167.8"/>
        <n v="6200.3"/>
        <n v="6200.92"/>
        <n v="6228.27"/>
        <n v="6287.41"/>
        <n v="6308.85"/>
        <n v="6312.73"/>
        <n v="6327.86"/>
        <n v="6380.73"/>
        <n v="6391.97"/>
        <n v="6410.33"/>
        <n v="6422.28"/>
        <n v="6438.9"/>
        <n v="6565.72"/>
        <n v="6611.47"/>
        <n v="6644.79"/>
        <n v="6665.88"/>
        <n v="6673.5"/>
        <n v="6689.48"/>
        <n v="6694.1"/>
        <n v="6720.22"/>
        <n v="6765.72"/>
        <n v="6772.44"/>
        <n v="6792.64"/>
        <n v="6829.14"/>
        <n v="6831.4"/>
        <n v="6841.39"/>
        <n v="6846.06"/>
        <n v="6920.8"/>
        <n v="6934.39"/>
        <n v="6935.39"/>
        <n v="6998.22"/>
        <n v="7066.95"/>
        <n v="7069.5"/>
        <n v="7117.18"/>
        <n v="7164.48"/>
        <n v="7188.19"/>
        <n v="7193.3"/>
        <n v="7276.14"/>
        <n v="7277.51"/>
        <n v="7295.92"/>
        <n v="7298.98"/>
        <n v="7314.8"/>
        <n v="7334.39"/>
        <n v="7422.82"/>
        <n v="7470.92"/>
        <n v="7516.77"/>
        <n v="7535.92"/>
        <n v="7551.59"/>
        <n v="7606.53"/>
        <n v="7610.14"/>
        <n v="7658.07"/>
        <n v="7769.66"/>
        <n v="7815.12"/>
        <n v="7858.4"/>
        <n v="7861.69"/>
        <n v="7874.64"/>
        <n v="7972.13"/>
        <n v="7976.41"/>
        <n v="8079.79"/>
        <n v="8083.28"/>
        <n v="8098.08"/>
        <n v="8123.3"/>
        <n v="8125.27"/>
        <n v="8265.43"/>
        <n v="8271.76"/>
        <n v="8278.07"/>
        <n v="8289.19"/>
        <n v="8304.56"/>
        <n v="8312.63"/>
        <n v="8335.64"/>
        <n v="8376.51"/>
        <n v="8381.51"/>
        <n v="8421.35"/>
        <n v="8438.49"/>
        <n v="8479.76"/>
        <n v="8494.84"/>
        <n v="8533.46"/>
        <n v="8556.64"/>
        <n v="8659.54"/>
        <n v="8695.88"/>
        <n v="8726.36"/>
        <n v="8727.66"/>
        <n v="8748.95"/>
        <n v="8780.52"/>
        <n v="8785.39"/>
        <n v="8790.23"/>
        <n v="8824.54"/>
        <n v="8891.59"/>
        <n v="8926.93"/>
        <n v="9033.37"/>
        <n v="9057.26"/>
        <n v="9058.34"/>
        <n v="9112.9"/>
        <n v="9211.27"/>
        <n v="9230.06"/>
        <n v="9255.44"/>
        <n v="9293.01"/>
        <n v="9311.61"/>
        <n v="9347.04"/>
        <n v="9369.72"/>
        <n v="9378.93"/>
        <n v="9389.12"/>
        <n v="9403.84"/>
        <n v="9422.99"/>
        <n v="9428.54"/>
        <n v="9463.64"/>
        <n v="9464.28"/>
        <n v="9498.44"/>
        <n v="9520.92"/>
        <n v="9636.04"/>
        <n v="9692.85"/>
        <n v="9703.52"/>
        <n v="9707.99"/>
        <n v="9715.45"/>
        <n v="9721.34"/>
        <n v="9728.06"/>
        <n v="9733.66"/>
        <n v="9857.73"/>
        <n v="9863.05"/>
        <n v="9872.61"/>
        <n v="9905.7"/>
        <n v="9929.24"/>
        <n v="9996.4"/>
        <n v="10103.77"/>
        <n v="10153.67"/>
        <n v="10193.89"/>
        <n v="10201.38"/>
        <n v="10216.81"/>
        <n v="10253.55"/>
        <n v="10294.88"/>
        <n v="10315.08"/>
        <n v="10322.77"/>
        <n v="10334.83"/>
        <n v="10348.43"/>
        <n v="10399.72"/>
        <n v="10435.98"/>
        <n v="10513.71"/>
        <n v="10516.25"/>
        <n v="10602.62"/>
        <n v="10609.88"/>
        <n v="10642.07"/>
        <n v="10690.12"/>
        <n v="10725.91"/>
        <n v="10836.62"/>
        <n v="10883.43"/>
        <n v="10908.17"/>
        <n v="10977.27"/>
        <n v="11122.64"/>
        <n v="11147.76"/>
        <n v="11151.62"/>
        <n v="11189.39"/>
        <n v="11198.71"/>
        <n v="11198.8"/>
        <n v="11310.24"/>
        <n v="11314.29"/>
        <n v="11328.77"/>
        <n v="11422.81"/>
        <n v="11455.46"/>
        <n v="11455.52"/>
        <n v="11483.39"/>
        <n v="11493.59"/>
        <n v="11500.17"/>
        <n v="11530.45"/>
        <n v="11555"/>
        <n v="11584.51"/>
        <n v="11586.21"/>
        <n v="11603.34"/>
        <n v="11603.91"/>
        <n v="11613.75"/>
        <n v="11666.34"/>
        <n v="11685.04"/>
        <n v="11804.85"/>
        <n v="11935.39"/>
        <n v="12032.45"/>
        <n v="12072.62"/>
        <n v="12138.01"/>
        <n v="12194.14"/>
        <n v="12223.01"/>
        <n v="12343.08"/>
        <n v="12350.74"/>
        <n v="12381.16"/>
        <n v="12385.33"/>
        <n v="12398.34"/>
        <n v="12504.57"/>
        <n v="12523.36"/>
        <n v="12569.44"/>
        <n v="12589.2"/>
        <n v="12596.21"/>
        <n v="12614.26"/>
        <n v="12621.48"/>
        <n v="12621.76"/>
        <n v="12696.63"/>
        <n v="12715.7"/>
        <n v="12763.49"/>
        <n v="12774.94"/>
        <n v="12806.68"/>
        <n v="12829.34"/>
        <n v="12830.4"/>
        <n v="12904.98"/>
        <n v="12909.15"/>
        <n v="12966.57"/>
        <n v="13000.52"/>
        <n v="13028.99"/>
        <n v="13062.76"/>
        <n v="13077.41"/>
        <n v="13122.46"/>
        <n v="13129.82"/>
        <n v="13137.31"/>
        <n v="13214.47"/>
        <n v="13271.65"/>
        <n v="13272.37"/>
        <n v="13287.15"/>
        <n v="13328.57"/>
        <n v="13452.43"/>
        <n v="13503.36"/>
        <n v="13535.79"/>
        <n v="13546.09"/>
        <n v="13592.7"/>
        <n v="13648.7"/>
        <n v="13677.91"/>
        <n v="13730.58"/>
        <n v="13734.21"/>
        <n v="13749"/>
        <n v="13778.43"/>
        <n v="13821.52"/>
        <n v="13871.01"/>
        <n v="13917.08"/>
        <n v="13938.96"/>
        <n v="13942.02"/>
        <n v="13954.7"/>
        <n v="13986.68"/>
        <n v="14065.46"/>
        <n v="14169.14"/>
        <n v="14337.14"/>
        <n v="14444.84"/>
        <n v="14458.84"/>
        <n v="14461.19"/>
        <n v="14472.71"/>
        <n v="14529.4"/>
        <n v="14580.02"/>
        <n v="14695.07"/>
        <n v="14698.39"/>
        <n v="14734.08"/>
        <n v="14759.14"/>
        <n v="14887.6"/>
        <n v="14889.8"/>
        <n v="14893.34"/>
        <n v="14895.98"/>
        <n v="14904.46"/>
        <n v="14907.67"/>
        <n v="14909.72"/>
        <n v="14950.87"/>
        <n v="15002.6"/>
        <n v="15031.93"/>
        <n v="15085.63"/>
        <n v="15093.05"/>
        <n v="15094.15"/>
        <n v="15110.49"/>
        <n v="15123.2"/>
        <n v="15177.09"/>
        <n v="15182.43"/>
        <n v="15198.26"/>
        <n v="15248.74"/>
        <n v="15268.36"/>
        <n v="15323.97"/>
        <n v="15378.85"/>
        <n v="15388.39"/>
        <n v="15395.43"/>
        <n v="15416.19"/>
        <n v="15463.89"/>
        <n v="15702.43"/>
        <n v="15703.77"/>
        <n v="15715.88"/>
        <n v="15721.08"/>
        <n v="15749.24"/>
        <n v="15785.8"/>
        <n v="15820.72"/>
        <n v="15840.13"/>
        <n v="16057.66"/>
        <n v="16115.07"/>
        <n v="16153.89"/>
        <n v="16166.29"/>
        <n v="16207.7"/>
        <n v="16230.27"/>
        <n v="16257.87"/>
        <n v="16297.91"/>
        <n v="16371.37"/>
        <n v="16418.7"/>
        <n v="16472.64"/>
        <n v="16509.22"/>
        <n v="16536.84"/>
        <n v="16538.7"/>
        <n v="16553.44"/>
        <n v="16592.56"/>
        <n v="16629.66"/>
        <n v="16663.76"/>
        <n v="16709.74"/>
        <n v="16730.09"/>
        <n v="16745.59"/>
        <n v="16774.35"/>
        <n v="16799.59"/>
        <n v="16879.58"/>
        <n v="16898.39"/>
        <n v="16900.2"/>
        <n v="16905.07"/>
        <n v="16906.89"/>
        <n v="16940.89"/>
        <n v="17001.82"/>
        <n v="17013.95"/>
        <n v="17019.25"/>
        <n v="17021.25"/>
        <n v="17094.44"/>
        <n v="17207.93"/>
        <n v="17215.23"/>
        <n v="17259.74"/>
        <n v="17272.98"/>
        <n v="17364.81"/>
        <n v="17406.82"/>
        <n v="17423.94"/>
        <n v="17449.3"/>
        <n v="17460.26"/>
        <n v="17483.27"/>
        <n v="17490.48"/>
        <n v="17515.12"/>
        <n v="17530.6"/>
        <n v="17620.23"/>
        <n v="17641.2"/>
        <n v="17692.17"/>
        <n v="17772.43"/>
        <n v="17881.15"/>
        <n v="17920.56"/>
        <n v="17969.27"/>
        <n v="17986.64"/>
        <n v="18003.79"/>
        <n v="18018.14"/>
        <n v="18053.2"/>
        <n v="18178.35"/>
        <n v="18226.1"/>
        <n v="18250.21"/>
        <n v="18255.29"/>
        <n v="18337.68"/>
        <n v="18380.87"/>
        <n v="18386.08"/>
        <n v="18410.22"/>
        <n v="18469.43"/>
        <n v="18554.06"/>
        <n v="18596.34"/>
        <n v="18606.27"/>
        <n v="18633.65"/>
        <n v="18682.49"/>
        <n v="18688.35"/>
        <n v="18747.68"/>
        <n v="18762.06"/>
        <n v="18793.59"/>
        <n v="18804.14"/>
        <n v="18898.37"/>
        <n v="18919.74"/>
        <n v="18933.3"/>
        <n v="18970.78"/>
        <n v="18997.27"/>
        <n v="19004.13"/>
        <n v="19007.57"/>
        <n v="19022.46"/>
        <n v="19045.24"/>
        <n v="19058.34"/>
        <n v="19074.42"/>
        <n v="19078.61"/>
        <n v="19107.63"/>
        <n v="19122.35"/>
        <n v="19160.36"/>
        <n v="19197.2"/>
        <n v="19235.77"/>
        <n v="19279.04"/>
        <n v="19328.52"/>
        <n v="19333.27"/>
        <n v="19356.98"/>
        <n v="19385.04"/>
        <n v="19420.45"/>
        <n v="19451.45"/>
        <n v="19502.53"/>
        <n v="19516.74"/>
        <n v="19558.36"/>
        <n v="19558.99"/>
        <n v="19598.37"/>
        <n v="19603.79"/>
        <n v="19612.76"/>
        <n v="19620.81"/>
        <n v="19635"/>
        <n v="19670.14"/>
        <n v="19682.5"/>
        <n v="19713.2"/>
        <n v="19727.92"/>
        <n v="19862.11"/>
        <n v="19928.53"/>
        <n v="19948.38"/>
        <n v="19969.71"/>
        <n v="20053.34"/>
        <n v="20065.44"/>
        <n v="20082.75"/>
        <n v="20097.05"/>
        <n v="20119.33"/>
        <n v="20139.46"/>
        <n v="20155.21"/>
        <n v="20164.42"/>
        <n v="20199.53"/>
        <n v="20283.64"/>
        <n v="20306.46"/>
        <n v="20310.63"/>
        <n v="20315.26"/>
        <n v="20372.57"/>
        <n v="20418.61"/>
        <n v="20463.2"/>
        <n v="20466.75"/>
        <n v="20505.34"/>
        <n v="20507.77"/>
        <n v="20547.23"/>
        <n v="20627.59"/>
        <n v="20640.11"/>
        <n v="20729.07"/>
        <n v="20737.83"/>
        <n v="20785.51"/>
        <n v="20800.52"/>
        <n v="20830.59"/>
        <n v="20839.51"/>
        <n v="20841.32"/>
        <n v="20938.74"/>
        <n v="20948.81"/>
        <n v="20954.79"/>
        <n v="20994.99"/>
        <n v="21083.1"/>
        <n v="21091.71"/>
        <n v="21107"/>
        <n v="21332.81"/>
        <n v="21335.47"/>
        <n v="21408.13"/>
        <n v="21416.88"/>
        <n v="21463.14"/>
        <n v="21498.37"/>
        <n v="21567.73"/>
        <n v="21573.31"/>
        <n v="21583.36"/>
        <n v="21604.94"/>
        <n v="21691.89"/>
        <n v="21784.83"/>
        <n v="21788.18"/>
        <n v="21838.71"/>
        <n v="21881.15"/>
        <n v="21944.95"/>
        <n v="21947.9"/>
        <n v="21968.72"/>
        <n v="21969.88"/>
        <n v="21988.24"/>
        <n v="22042.07"/>
        <n v="22066.66"/>
        <n v="22088.14"/>
        <n v="22096.75"/>
        <n v="22103.28"/>
        <n v="22120.81"/>
        <n v="22133.79"/>
        <n v="22161.26"/>
        <n v="22166.87"/>
        <n v="22213.73"/>
        <n v="22224.46"/>
        <n v="22228.02"/>
        <n v="22254.03"/>
        <n v="22295.29"/>
        <n v="22306.26"/>
        <n v="22355.14"/>
        <n v="22358.29"/>
        <n v="22407.65"/>
        <n v="22427.53"/>
        <n v="22471.07"/>
        <n v="22693.75"/>
        <n v="22728.4"/>
        <n v="22738.83"/>
        <n v="22751.76"/>
        <n v="22773.61"/>
        <n v="22819.07"/>
        <n v="22851"/>
        <n v="22930.28"/>
        <n v="22987.68"/>
        <n v="23108.94"/>
        <n v="23130.48"/>
        <n v="23165.33"/>
        <n v="23206.32"/>
        <n v="23281.54"/>
        <n v="23360.45"/>
        <n v="23374.94"/>
        <n v="23406.76"/>
        <n v="23408.55"/>
        <n v="23418.77"/>
        <n v="23430.76"/>
        <n v="23504.43"/>
        <n v="23510.99"/>
        <n v="23515.56"/>
        <n v="23548.13"/>
        <n v="23588.76"/>
        <n v="23601.55"/>
        <n v="23620.54"/>
        <n v="23635.32"/>
        <n v="23652.52"/>
        <n v="23700.36"/>
        <n v="23759.72"/>
        <n v="23772.27"/>
        <n v="23792.02"/>
        <n v="23797.31"/>
        <n v="23823.92"/>
        <n v="23848.61"/>
        <n v="23871.91"/>
        <n v="23879.14"/>
        <n v="23896.69"/>
        <n v="23930.23"/>
        <n v="23934.37"/>
        <n v="23946.07"/>
        <n v="23985.79"/>
        <n v="24007.11"/>
        <n v="24007.37"/>
        <n v="24017.96"/>
        <n v="24026.6"/>
        <n v="24069.84"/>
        <n v="24088.7"/>
        <n v="24092.14"/>
        <n v="24101.91"/>
        <n v="24114.82"/>
        <n v="24117.43"/>
        <n v="24122.1"/>
        <n v="24140.83"/>
        <n v="24147.42"/>
        <n v="24155.91"/>
        <n v="24173.43"/>
        <n v="24197.49"/>
        <n v="24220.16"/>
        <n v="24236.15"/>
        <n v="24244.29"/>
        <n v="24258.34"/>
        <n v="24268.69"/>
        <n v="24301.79"/>
        <n v="24315.54"/>
        <n v="24335.88"/>
        <n v="24365.11"/>
        <n v="24393.96"/>
        <n v="24414.67"/>
        <n v="24450.32"/>
        <n v="24526.61"/>
        <n v="24534.66"/>
        <n v="24575.08"/>
        <n v="24617.92"/>
        <n v="24674.14"/>
        <n v="24682.12"/>
        <n v="24692.07"/>
        <n v="24697.11"/>
        <n v="24795.09"/>
        <n v="24806.33"/>
        <n v="24819.64"/>
        <n v="24883.95"/>
        <n v="24916.15"/>
        <n v="24916.19"/>
        <n v="24932.19"/>
        <n v="24999.17"/>
        <n v="25010.5"/>
        <n v="25012.54"/>
        <n v="25088.2"/>
        <n v="25141.36"/>
        <n v="25153.74"/>
        <n v="25202.09"/>
        <n v="25230.09"/>
        <n v="25236.47"/>
        <n v="25250.05"/>
        <n v="25282.02"/>
        <n v="25372.51"/>
        <n v="25388.09"/>
        <n v="25429.15"/>
        <n v="25430.65"/>
        <n v="25505.25"/>
        <n v="25539.15"/>
        <n v="25579.4"/>
        <n v="25610.16"/>
        <n v="25614.38"/>
        <n v="25627.98"/>
        <n v="25676.75"/>
        <n v="25728.02"/>
        <n v="25800.36"/>
        <n v="25803.01"/>
        <n v="25815.66"/>
        <n v="25864.78"/>
        <n v="25927.38"/>
        <n v="25941.6"/>
        <n v="25976.85"/>
        <n v="26020.78"/>
        <n v="26058.85"/>
        <n v="26086.77"/>
        <n v="26129.11"/>
        <n v="26155.62"/>
        <n v="26185.17"/>
        <n v="26186.19"/>
        <n v="26190.36"/>
        <n v="26241.93"/>
        <n v="26243.67"/>
        <n v="26269.44"/>
        <n v="26297.7"/>
        <n v="26326.55"/>
        <n v="26374.51"/>
        <n v="26385.97"/>
        <n v="26437.15"/>
        <n v="26491.26"/>
        <n v="26558.48"/>
        <n v="26565.28"/>
        <n v="26626.59"/>
        <n v="26653.57"/>
        <n v="26681.76"/>
        <n v="26722.18"/>
        <n v="26754.78"/>
        <n v="26778.83"/>
        <n v="26815.62"/>
        <n v="26819.73"/>
        <n v="26843.77"/>
        <n v="26859.4"/>
        <n v="26866.95"/>
        <n v="26876.35"/>
        <n v="26884.97"/>
        <n v="26893.59"/>
        <n v="26964"/>
        <n v="26970.88"/>
        <n v="26981.77"/>
        <n v="27003.15"/>
        <n v="27029.73"/>
        <n v="27042.52"/>
        <n v="27078.22"/>
        <n v="27110.84"/>
        <n v="27118.01"/>
        <n v="27121.96"/>
        <n v="27163.14"/>
        <n v="27211.39"/>
        <n v="27223.4"/>
        <n v="27248.34"/>
        <n v="27280.19"/>
        <n v="27300.25"/>
        <n v="27304.18"/>
        <n v="27340.49"/>
        <n v="27373.65"/>
        <n v="27414.69"/>
        <n v="27493.27"/>
        <n v="27528.29"/>
        <n v="27566.52"/>
        <n v="27644.25"/>
        <n v="27709.9"/>
        <n v="27728.48"/>
        <n v="27729.03"/>
        <n v="27849.98"/>
        <n v="27861.3"/>
        <n v="27875.11"/>
        <n v="27888.28"/>
        <n v="27928.13"/>
        <n v="27942.01"/>
        <n v="28024.98"/>
        <n v="28035"/>
        <n v="28054.99"/>
        <n v="28070.58"/>
        <n v="28230.72"/>
        <n v="28301.21"/>
        <n v="28368.34"/>
        <n v="28375.81"/>
        <n v="28405.1"/>
        <n v="28469.97"/>
        <n v="28474.44"/>
        <n v="28482.96"/>
        <n v="28568.63"/>
        <n v="28621.49"/>
        <n v="28622.34"/>
        <n v="28626.23"/>
        <n v="28676.84"/>
        <n v="28726.65"/>
        <n v="28733.85"/>
        <n v="28745.6"/>
        <n v="28808.25"/>
        <n v="28866.43"/>
        <n v="28875.11"/>
        <n v="28894.04"/>
        <n v="28929.64"/>
        <n v="28960.63"/>
        <n v="28969.32"/>
        <n v="28991.79"/>
        <n v="29006.69"/>
        <n v="29096.67"/>
        <n v="29198.21"/>
        <n v="29199.48"/>
        <n v="29201.5"/>
        <n v="29220.1"/>
        <n v="29303.58"/>
        <n v="29309.06"/>
        <n v="29327.27"/>
        <n v="29345.59"/>
        <n v="29413.94"/>
        <n v="29424.2"/>
        <n v="29464.79"/>
        <n v="29499.11"/>
        <n v="29540.98"/>
        <n v="29593.97"/>
        <n v="29611.55"/>
        <n v="29650.2"/>
        <n v="29694.09"/>
        <n v="29751.26"/>
        <n v="29775.11"/>
        <n v="29788.8"/>
        <n v="29808.73"/>
        <n v="29850.8"/>
        <n v="29889.66"/>
        <n v="29899.24"/>
        <n v="29906.04"/>
        <n v="29906.3"/>
        <n v="29936.39"/>
        <n v="29947.83"/>
        <n v="29950.96"/>
        <n v="29958.51"/>
        <n v="29967.65"/>
        <n v="30005.74"/>
        <n v="30174.95"/>
        <n v="30177.68"/>
        <n v="30192.83"/>
        <n v="30197.31"/>
        <n v="30238.86"/>
        <n v="30246.35"/>
        <n v="30289.01"/>
        <n v="30316.03"/>
        <n v="30318.81"/>
        <n v="30324.96"/>
        <n v="30348.64"/>
        <n v="30366.71"/>
        <n v="30367.79"/>
        <n v="30373.42"/>
        <n v="30379.04"/>
        <n v="30385.23"/>
        <n v="30445.58"/>
        <n v="30451.35"/>
        <n v="30469.22"/>
        <n v="30472.59"/>
        <n v="30632.58"/>
        <n v="30646.93"/>
        <n v="30647.39"/>
        <n v="30680.45"/>
        <n v="30721.63"/>
        <n v="30755.05"/>
        <n v="30780.84"/>
        <n v="30831.03"/>
        <n v="30856.27"/>
        <n v="30892.99"/>
        <n v="30911.12"/>
        <n v="30960.83"/>
        <n v="30969.59"/>
        <n v="30970.82"/>
        <n v="31022.31"/>
        <n v="31038.51"/>
        <n v="31058.46"/>
        <n v="31061.63"/>
        <n v="31105.3"/>
        <n v="31120.02"/>
        <n v="31160.16"/>
        <n v="31174.33"/>
        <n v="31228.15"/>
        <n v="31258.52"/>
        <n v="31293.9"/>
        <n v="31386.54"/>
        <n v="31425.53"/>
        <n v="31484.79"/>
        <n v="31533.58"/>
        <n v="31543.76"/>
        <n v="31551.6"/>
        <n v="31552.26"/>
        <n v="31573.35"/>
        <n v="31686.36"/>
        <n v="31715.89"/>
        <n v="31735.81"/>
        <n v="31736.12"/>
        <n v="31761.56"/>
        <n v="31789.85"/>
        <n v="31814.89"/>
        <n v="31817.8"/>
        <n v="31867.54"/>
        <n v="31927.91"/>
        <n v="31950"/>
        <n v="31960.12"/>
        <n v="31966.52"/>
        <n v="32020.46"/>
        <n v="32055.17"/>
        <n v="32058.14"/>
        <n v="32071.39"/>
        <n v="32095.91"/>
        <n v="32096.52"/>
        <n v="32106.74"/>
        <n v="32161.62"/>
        <n v="32172.44"/>
        <n v="32240.26"/>
        <n v="32253.28"/>
        <n v="32270.03"/>
        <n v="32270.38"/>
        <n v="32335.71"/>
        <n v="32384.69"/>
        <n v="32426.56"/>
        <n v="32426.96"/>
        <n v="32537.3"/>
        <n v="32621.13"/>
        <n v="32647.84"/>
        <n v="32679.28"/>
        <n v="32722.56"/>
        <n v="32785.75"/>
        <n v="32786.3"/>
        <n v="32808.78"/>
        <n v="32824.15"/>
        <n v="32853.83"/>
        <n v="32907.71"/>
        <n v="32921.19"/>
        <n v="32942.33"/>
        <n v="33015.77"/>
        <n v="33139.93"/>
        <n v="33153.49"/>
        <n v="33157.38"/>
        <n v="33172"/>
        <n v="33173.89"/>
        <n v="33184.7"/>
        <n v="33191.79"/>
        <n v="33214.24"/>
        <n v="33264.91"/>
        <n v="33332.64"/>
        <n v="33392.43"/>
        <n v="33397.99"/>
        <n v="33417.27"/>
        <n v="33421.38"/>
        <n v="33429.5"/>
        <n v="33459.84"/>
        <n v="33502.67"/>
        <n v="33516.33"/>
        <n v="33533.72"/>
        <n v="33594.99"/>
        <n v="33612.9"/>
        <n v="33668.92"/>
        <n v="33681.21"/>
        <n v="33702.05"/>
        <n v="33708.08"/>
        <n v="33803.69"/>
        <n v="33998.4"/>
        <n v="33999.03"/>
        <n v="34014.89"/>
        <n v="34071.31"/>
        <n v="34080.46"/>
        <n v="34120.62"/>
        <n v="34184.03"/>
        <n v="34217.45"/>
        <n v="34218.13"/>
        <n v="34235.82"/>
        <n v="34245.96"/>
        <n v="34279.22"/>
        <n v="34302.38"/>
        <n v="34358.53"/>
        <n v="34366.19"/>
        <n v="34378.66"/>
        <n v="34385.94"/>
        <n v="34412.41"/>
        <n v="34457.08"/>
        <n v="34493.51"/>
        <n v="34511.62"/>
        <n v="34591.56"/>
        <n v="34615.92"/>
        <n v="34628.62"/>
        <n v="34659.18"/>
        <n v="34684.35"/>
        <n v="34689.53"/>
        <n v="34802.8"/>
        <n v="34826.18"/>
        <n v="34855.96"/>
        <n v="34923.15"/>
        <n v="34945.51"/>
        <n v="34957.65"/>
        <n v="34970.76"/>
        <n v="35002.22"/>
        <n v="35003.37"/>
        <n v="35010.93"/>
        <n v="35017.99"/>
        <n v="35074.87"/>
        <n v="35102.06"/>
        <n v="35106.78"/>
        <n v="35125.86"/>
        <n v="35161.3"/>
        <n v="35206.01"/>
        <n v="35259.98"/>
        <n v="35270.18"/>
        <n v="35357.13"/>
        <n v="35382.05"/>
        <n v="35439.74"/>
        <n v="35525.01"/>
        <n v="35568.43"/>
        <n v="35599.6"/>
        <n v="35610.61"/>
        <n v="35629.62"/>
        <n v="35653.54"/>
        <n v="35762.09"/>
        <n v="35814.77"/>
        <n v="35844.71"/>
        <n v="35974.57"/>
        <n v="35978.57"/>
        <n v="36001.12"/>
        <n v="36097.53"/>
        <n v="36129.73"/>
        <n v="36154.14"/>
        <n v="36190.09"/>
        <n v="36222.85"/>
        <n v="36388.89"/>
        <n v="36388.97"/>
        <n v="36396.74"/>
        <n v="36404.86"/>
        <n v="36421.56"/>
        <n v="36442.59"/>
        <n v="36442.91"/>
        <n v="36446.83"/>
        <n v="36467.45"/>
        <n v="36541.58"/>
        <n v="36545.25"/>
        <n v="36600.69"/>
        <n v="36602.14"/>
        <n v="36653.42"/>
        <n v="36678.1"/>
        <n v="36806.29"/>
        <n v="36850.42"/>
        <n v="36871.93"/>
        <n v="36886.43"/>
        <n v="36917.28"/>
        <n v="36922.09"/>
        <n v="36929.71"/>
        <n v="36967.6"/>
        <n v="36987.13"/>
        <n v="36987.33"/>
        <n v="37024.03"/>
        <n v="37024.15"/>
        <n v="37089.56"/>
        <n v="37148.85"/>
        <n v="37155.55"/>
        <n v="37191.83"/>
        <n v="37198.2"/>
        <n v="37200.81"/>
        <n v="37200.89"/>
        <n v="37236.62"/>
        <n v="37254.92"/>
        <n v="37302.13"/>
        <n v="37314.32"/>
        <n v="37326.72"/>
        <n v="37415.6"/>
        <n v="37480.42"/>
        <n v="37529.44"/>
        <n v="37545.44"/>
        <n v="37547.7"/>
        <n v="37575.61"/>
        <n v="37582.29"/>
        <n v="37611.77"/>
        <n v="37613.34"/>
        <n v="37621.83"/>
        <n v="37624.88"/>
        <n v="37627.11"/>
        <n v="37635.52"/>
        <n v="37640.41"/>
        <n v="37652.65"/>
        <n v="37695.78"/>
        <n v="37707.13"/>
        <n v="37711.17"/>
        <n v="37722.19"/>
        <n v="37761.07"/>
        <n v="37796.71"/>
        <n v="37817.64"/>
        <n v="37834.57"/>
        <n v="37877.83"/>
        <n v="38042.88"/>
        <n v="38118.28"/>
        <n v="38132.91"/>
        <n v="38185.48"/>
        <n v="38206.78"/>
        <n v="38220.81"/>
        <n v="38250.35"/>
        <n v="38290.39"/>
        <n v="38290.49"/>
        <n v="38315.31"/>
        <n v="38358.44"/>
        <n v="38359.7"/>
        <n v="38438.9"/>
        <n v="38453.67"/>
        <n v="38465.8"/>
        <n v="38465.95"/>
        <n v="38496.56"/>
        <n v="38499.19"/>
        <n v="38511.3"/>
        <n v="38576.36"/>
        <n v="38600.74"/>
        <n v="38609.09"/>
        <n v="38631.8"/>
        <n v="38634.51"/>
        <n v="38664.3"/>
        <n v="38669.32"/>
        <n v="38682.3"/>
        <n v="38772.95"/>
        <n v="38975.69"/>
        <n v="39041.38"/>
        <n v="39139.12"/>
        <n v="39191.79"/>
        <n v="39206.74"/>
        <n v="39244.49"/>
        <n v="39269.52"/>
        <n v="39291.74"/>
        <n v="39318.82"/>
        <n v="39330.66"/>
        <n v="39532.54"/>
        <n v="39538.62"/>
        <n v="39545.73"/>
        <n v="39562.62"/>
        <n v="39564.97"/>
        <n v="39604.91"/>
        <n v="39614.68"/>
        <n v="39650.54"/>
        <n v="39655.46"/>
        <n v="39663.91"/>
        <n v="39677.19"/>
        <n v="39683.84"/>
        <n v="39742.7"/>
        <n v="39785.23"/>
        <n v="39825.55"/>
        <n v="39833.32"/>
        <n v="39833.5"/>
        <n v="39915.43"/>
        <n v="39916.04"/>
        <n v="39938.26"/>
        <n v="39945.78"/>
        <n v="39970.46"/>
        <n v="39992.67"/>
        <n v="40008.28"/>
        <n v="40021.61"/>
        <n v="40068.91"/>
        <n v="40070.45"/>
        <n v="40076.67"/>
        <n v="40095.01"/>
        <n v="40107.99"/>
        <n v="40122.43"/>
        <n v="40171.86"/>
        <n v="40262.68"/>
        <n v="40355.11"/>
        <n v="40355.21"/>
        <n v="40373.51"/>
        <n v="40394.11"/>
        <n v="40442.83"/>
        <n v="40450.33"/>
        <n v="40463.45"/>
        <n v="40538.17"/>
        <n v="40569.64"/>
        <n v="40687.55"/>
        <n v="40724.64"/>
        <n v="40751.45"/>
        <n v="40810.89"/>
        <n v="40826.3"/>
        <n v="40839.85"/>
        <n v="40865.51"/>
        <n v="40905.9"/>
        <n v="40928.45"/>
        <n v="40964.78"/>
        <n v="40970.48"/>
        <n v="40988.27"/>
        <n v="41042.96"/>
        <n v="41140.36"/>
        <n v="41160.77"/>
        <n v="41195.06"/>
        <n v="41234.44"/>
        <n v="41236.55"/>
        <n v="41269.52"/>
        <n v="41284.91"/>
        <n v="41372.41"/>
        <n v="41424.49"/>
        <n v="41439.92"/>
        <n v="41447.83"/>
        <n v="41498.6"/>
        <n v="41547.35"/>
        <n v="41574.02"/>
        <n v="41604.27"/>
        <n v="41615.4"/>
        <n v="41636.33"/>
        <n v="41637.87"/>
        <n v="41655.1"/>
        <n v="41686.62"/>
        <n v="41708.97"/>
        <n v="41715.08"/>
        <n v="41738.19"/>
        <n v="41767.66"/>
        <n v="41780.91"/>
        <n v="41791.49"/>
        <n v="41826.18"/>
        <n v="41974.83"/>
        <n v="41984.48"/>
        <n v="41996.8"/>
        <n v="42014.79"/>
        <n v="42025.34"/>
        <n v="42104.55"/>
        <n v="42135.51"/>
        <n v="42155.04"/>
        <n v="42157.35"/>
        <n v="42201.34"/>
        <n v="42312.57"/>
        <n v="42363.55"/>
        <n v="42375.37"/>
        <n v="42546.79"/>
        <n v="42643.69"/>
        <n v="42649.38"/>
        <n v="42675.54"/>
        <n v="42680.41"/>
        <n v="42686.31"/>
        <n v="42804.79"/>
        <n v="42864.58"/>
        <n v="42870.81"/>
        <n v="42888.72"/>
        <n v="42901.17"/>
        <n v="42912.35"/>
        <n v="42919.33"/>
        <n v="42963.99"/>
        <n v="43003.32"/>
        <n v="43020.17"/>
        <n v="43036.04"/>
        <n v="43097.9"/>
        <n v="43141.43"/>
        <n v="43159.1"/>
        <n v="43163.8"/>
        <n v="43177.36"/>
        <n v="43219.31"/>
        <n v="43222.67"/>
        <n v="43292.31"/>
        <n v="43325.78"/>
        <n v="43326.33"/>
        <n v="43427.8"/>
        <n v="43445.83"/>
        <n v="43452.11"/>
        <n v="43457.64"/>
        <n v="43458.92"/>
        <n v="43469.84"/>
        <n v="43497.4"/>
        <n v="43505.66"/>
        <n v="43506.21"/>
        <n v="43515.76"/>
        <n v="43538.46"/>
        <n v="43554.69"/>
        <n v="43562.58"/>
        <n v="43584.48"/>
        <n v="43622.85"/>
        <n v="43683.66"/>
        <n v="43700.75"/>
        <n v="43711.92"/>
        <n v="43804.04"/>
        <n v="43821.58"/>
        <n v="43838.88"/>
        <n v="43906.81"/>
        <n v="43912.14"/>
        <n v="43913.91"/>
        <n v="43921.32"/>
        <n v="43921.85"/>
        <n v="43969.05"/>
        <n v="43970.25"/>
        <n v="43975.2"/>
        <n v="43976.7"/>
        <n v="44014.33"/>
        <n v="44031.96"/>
        <n v="44064.87"/>
        <n v="44068.78"/>
        <n v="44071.23"/>
        <n v="44091.07"/>
        <n v="44101.94"/>
        <n v="44131.34"/>
        <n v="44160.05"/>
        <n v="44172.92"/>
        <n v="44184.06"/>
        <n v="44222.64"/>
        <n v="44233.87"/>
        <n v="44282.65"/>
        <n v="44285.64"/>
        <n v="44363.48"/>
        <n v="44418.51"/>
        <n v="44457.39"/>
        <n v="44461.86"/>
        <n v="44479.69"/>
        <n v="44496.61"/>
        <n v="44514.7"/>
        <n v="44523.11"/>
        <n v="44536.45"/>
        <n v="44600.07"/>
        <n v="44621.47"/>
        <n v="44844.16"/>
        <n v="44848.3"/>
        <n v="44874.8"/>
        <n v="44891.21"/>
        <n v="44911.53"/>
        <n v="44976.82"/>
        <n v="45006.14"/>
        <n v="45100.69"/>
        <n v="45103.25"/>
        <n v="45108.16"/>
        <n v="45119.79"/>
        <n v="45162.53"/>
        <n v="45231.35"/>
        <n v="45261.85"/>
        <n v="45274.47"/>
        <n v="45287.92"/>
        <n v="45404.54"/>
        <n v="45405.35"/>
        <n v="45412.75"/>
        <n v="45413.28"/>
        <n v="45458.81"/>
        <n v="45508.65"/>
        <n v="45534.56"/>
        <n v="45552.98"/>
        <n v="45564.26"/>
        <n v="45620.01"/>
        <n v="45655.94"/>
        <n v="45679.08"/>
        <n v="45691.22"/>
        <n v="45692.17"/>
        <n v="45804.13"/>
        <n v="45834.57"/>
        <n v="45837.25"/>
        <n v="45863.56"/>
        <n v="45896.98"/>
        <n v="45944.4"/>
        <n v="45946.54"/>
        <n v="45951.93"/>
        <n v="45962.86"/>
        <n v="46017.35"/>
        <n v="46063.62"/>
        <n v="46078.36"/>
        <n v="46141.44"/>
        <n v="46151.76"/>
        <n v="46161.12"/>
        <n v="46175.44"/>
        <n v="46223.6"/>
        <n v="46232.34"/>
        <n v="46261.86"/>
        <n v="46265.46"/>
        <n v="46272.76"/>
        <n v="46287.52"/>
        <n v="46484.98"/>
        <n v="46490.37"/>
        <n v="46503.5"/>
        <n v="46528.7"/>
        <n v="46553.2"/>
        <n v="46627.57"/>
        <n v="46754.43"/>
        <n v="46779.9"/>
        <n v="46811.82"/>
        <n v="46891.93"/>
        <n v="46965.22"/>
        <n v="46984.7"/>
        <n v="47004.38"/>
        <n v="47013.03"/>
        <n v="47016.48"/>
        <n v="47036.08"/>
        <n v="47039.96"/>
        <n v="47045.31"/>
        <n v="47054.18"/>
        <n v="47158.25"/>
        <n v="47173.05"/>
        <n v="47194.53"/>
        <n v="47205.61"/>
        <n v="47270.91"/>
        <n v="47297.72"/>
        <n v="47360.29"/>
        <n v="47438.46"/>
        <n v="47476.98"/>
        <n v="47497.58"/>
        <n v="47566.22"/>
        <n v="47594.77"/>
        <n v="47648.6"/>
        <n v="47651.05"/>
        <n v="47770.51"/>
        <n v="47849.22"/>
        <n v="47851.42"/>
        <n v="47853.03"/>
        <n v="47870.89"/>
        <n v="47888.18"/>
        <n v="47890.89"/>
        <n v="47901.62"/>
        <n v="47924.22"/>
        <n v="47951.95"/>
        <n v="47952.55"/>
        <n v="47983.53"/>
        <n v="48056.63"/>
        <n v="48073.51"/>
        <n v="48081.27"/>
        <n v="48081.32"/>
        <n v="48126.79"/>
        <n v="48170.46"/>
        <n v="48225.5"/>
        <n v="48350.24"/>
        <n v="48374.69"/>
        <n v="48376.89"/>
        <n v="48399.15"/>
        <n v="48399.81"/>
        <n v="48407.84"/>
        <n v="48411.62"/>
        <n v="48444.4"/>
        <n v="48489.88"/>
        <n v="48497.76"/>
        <n v="48619.42"/>
        <n v="48640.13"/>
        <n v="48641.48"/>
        <n v="48725.81"/>
        <n v="48771.98"/>
        <n v="48783.67"/>
        <n v="48794.47"/>
        <n v="48851.18"/>
        <n v="48886.17"/>
        <n v="48887.42"/>
        <n v="48899.58"/>
        <n v="48936.57"/>
        <n v="48961.17"/>
        <n v="49007.44"/>
        <n v="49016.82"/>
        <n v="49096.81"/>
        <n v="49107.94"/>
        <n v="49137.07"/>
        <n v="49160.26"/>
        <n v="49221.05"/>
        <n v="49360.73"/>
        <n v="49396.86"/>
        <n v="49423.87"/>
        <n v="49424.85"/>
        <n v="49494.76"/>
        <n v="49528.48"/>
        <n v="49650.7"/>
        <n v="49680.25"/>
        <n v="49713.69"/>
        <n v="49726.15"/>
        <n v="49730.97"/>
        <n v="49770.2"/>
        <n v="49773.73"/>
        <n v="49784.9"/>
        <n v="49789.34"/>
        <n v="49807.74"/>
        <n v="49813.27"/>
        <n v="49813.59"/>
        <n v="49858.34"/>
        <n v="49880.88"/>
        <n v="49952.88"/>
        <n v="49955.32"/>
        <n v="49963.43"/>
      </sharedItems>
    </cacheField>
    <cacheField name="Allowed_Amount" numFmtId="0">
      <sharedItems containsSemiMixedTypes="0" containsString="0" containsNumber="1" minValue="421.31" maxValue="46695.07" count="1500">
        <n v="421.31"/>
        <n v="464.99"/>
        <n v="480.24"/>
        <n v="496.61"/>
        <n v="505.12"/>
        <n v="598.75"/>
        <n v="621.4"/>
        <n v="676.5"/>
        <n v="693.74"/>
        <n v="750.98"/>
        <n v="751.44"/>
        <n v="754.9"/>
        <n v="822.23"/>
        <n v="851.88"/>
        <n v="916.95"/>
        <n v="967.08"/>
        <n v="970.79"/>
        <n v="1063.68"/>
        <n v="1102.95"/>
        <n v="1105.61"/>
        <n v="1119.66"/>
        <n v="1144.64"/>
        <n v="1160.53"/>
        <n v="1162.51"/>
        <n v="1163.3"/>
        <n v="1179.36"/>
        <n v="1206.57"/>
        <n v="1208.39"/>
        <n v="1234.63"/>
        <n v="1294.64"/>
        <n v="1300.45"/>
        <n v="1348.69"/>
        <n v="1375.12"/>
        <n v="1378.4"/>
        <n v="1379.39"/>
        <n v="1390.14"/>
        <n v="1432.16"/>
        <n v="1432.39"/>
        <n v="1448.45"/>
        <n v="1677.85"/>
        <n v="1679.32"/>
        <n v="1693.03"/>
        <n v="1732"/>
        <n v="1748.88"/>
        <n v="1777.23"/>
        <n v="1824.2"/>
        <n v="1883.09"/>
        <n v="1899.4"/>
        <n v="1926.78"/>
        <n v="2038.59"/>
        <n v="2119.86"/>
        <n v="2143.26"/>
        <n v="2147.96"/>
        <n v="2148.59"/>
        <n v="2176.66"/>
        <n v="2183.84"/>
        <n v="2229.21"/>
        <n v="2232.45"/>
        <n v="2288.32"/>
        <n v="2293.38"/>
        <n v="2294.76"/>
        <n v="2335.13"/>
        <n v="2397.9"/>
        <n v="2419.88"/>
        <n v="2455.63"/>
        <n v="2474.92"/>
        <n v="2576.34"/>
        <n v="2604.55"/>
        <n v="2639.17"/>
        <n v="2661.29"/>
        <n v="2684.88"/>
        <n v="2690.56"/>
        <n v="2710.33"/>
        <n v="2776.48"/>
        <n v="2778.57"/>
        <n v="2787.41"/>
        <n v="2845.45"/>
        <n v="2893.59"/>
        <n v="2902.64"/>
        <n v="2917.95"/>
        <n v="2949.33"/>
        <n v="2973.34"/>
        <n v="2980.26"/>
        <n v="3008.6"/>
        <n v="3008.88"/>
        <n v="3015.99"/>
        <n v="3090.99"/>
        <n v="3097.72"/>
        <n v="3099.34"/>
        <n v="3142.87"/>
        <n v="3145.21"/>
        <n v="3161.1"/>
        <n v="3179.06"/>
        <n v="3186.61"/>
        <n v="3243.58"/>
        <n v="3247.65"/>
        <n v="3257.77"/>
        <n v="3267.18"/>
        <n v="3293.13"/>
        <n v="3304.83"/>
        <n v="3346.19"/>
        <n v="3356.08"/>
        <n v="3416.02"/>
        <n v="3419.28"/>
        <n v="3422.71"/>
        <n v="3478.45"/>
        <n v="3498.42"/>
        <n v="3502.53"/>
        <n v="3512.76"/>
        <n v="3545.63"/>
        <n v="3558.48"/>
        <n v="3649.69"/>
        <n v="3658.91"/>
        <n v="3677.48"/>
        <n v="3714.17"/>
        <n v="3718.83"/>
        <n v="3723.21"/>
        <n v="3737.6"/>
        <n v="3767.07"/>
        <n v="3789.01"/>
        <n v="3789.99"/>
        <n v="3794.33"/>
        <n v="3799.65"/>
        <n v="3868.19"/>
        <n v="3875.81"/>
        <n v="3948.2"/>
        <n v="3953.48"/>
        <n v="3954.57"/>
        <n v="3962.51"/>
        <n v="4034.69"/>
        <n v="4043.79"/>
        <n v="4140.5"/>
        <n v="4177.01"/>
        <n v="4180.36"/>
        <n v="4227.44"/>
        <n v="4259.38"/>
        <n v="4270.41"/>
        <n v="4329.55"/>
        <n v="4354.28"/>
        <n v="4473.96"/>
        <n v="4523.39"/>
        <n v="4536.07"/>
        <n v="4578.3"/>
        <n v="4595.95"/>
        <n v="4607.06"/>
        <n v="4636.9"/>
        <n v="4672.53"/>
        <n v="4707.6"/>
        <n v="4735.16"/>
        <n v="4758.8"/>
        <n v="4766.6"/>
        <n v="4769"/>
        <n v="4770.65"/>
        <n v="4776.64"/>
        <n v="4794.41"/>
        <n v="4819.02"/>
        <n v="4825.15"/>
        <n v="4831.34"/>
        <n v="4851.33"/>
        <n v="4860.94"/>
        <n v="4898.89"/>
        <n v="4906.74"/>
        <n v="4927.84"/>
        <n v="4929.22"/>
        <n v="4935.37"/>
        <n v="4935.54"/>
        <n v="4950.91"/>
        <n v="4953.18"/>
        <n v="5108.2"/>
        <n v="5115.19"/>
        <n v="5167.68"/>
        <n v="5294.28"/>
        <n v="5316.21"/>
        <n v="5321.86"/>
        <n v="5379.07"/>
        <n v="5455.45"/>
        <n v="5460.78"/>
        <n v="5476.18"/>
        <n v="5489.99"/>
        <n v="5525.19"/>
        <n v="5544.34"/>
        <n v="5560.71"/>
        <n v="5593.6"/>
        <n v="5638.88"/>
        <n v="5664.32"/>
        <n v="5666.68"/>
        <n v="5729.07"/>
        <n v="5730.8"/>
        <n v="5749.19"/>
        <n v="5753.46"/>
        <n v="5793.39"/>
        <n v="5835.11"/>
        <n v="5864.39"/>
        <n v="5869.1"/>
        <n v="5870.35"/>
        <n v="5875.68"/>
        <n v="5876.44"/>
        <n v="5916.97"/>
        <n v="5932.21"/>
        <n v="5950.24"/>
        <n v="5961.29"/>
        <n v="5991.82"/>
        <n v="6006.94"/>
        <n v="6052.94"/>
        <n v="6053.6"/>
        <n v="6071.42"/>
        <n v="6095.18"/>
        <n v="6127.12"/>
        <n v="6131.88"/>
        <n v="6133.7"/>
        <n v="6141.82"/>
        <n v="6167.43"/>
        <n v="6213.07"/>
        <n v="6231.36"/>
        <n v="6237.19"/>
        <n v="6268.24"/>
        <n v="6274.65"/>
        <n v="6296.45"/>
        <n v="6309.28"/>
        <n v="6384.9"/>
        <n v="6422.54"/>
        <n v="6434.83"/>
        <n v="6483.36"/>
        <n v="6487.42"/>
        <n v="6537.78"/>
        <n v="6541.67"/>
        <n v="6542.71"/>
        <n v="6556.02"/>
        <n v="6558.62"/>
        <n v="6568.14"/>
        <n v="6574.25"/>
        <n v="6668.05"/>
        <n v="6691.34"/>
        <n v="6717.69"/>
        <n v="6731.28"/>
        <n v="6744.82"/>
        <n v="6761.65"/>
        <n v="6784.49"/>
        <n v="6796.25"/>
        <n v="6838.02"/>
        <n v="6872.06"/>
        <n v="6872.66"/>
        <n v="6874.17"/>
        <n v="6885.05"/>
        <n v="6887.69"/>
        <n v="6936.97"/>
        <n v="6963.81"/>
        <n v="7034.39"/>
        <n v="7056.3"/>
        <n v="7073.94"/>
        <n v="7076.32"/>
        <n v="7169.77"/>
        <n v="7195.98"/>
        <n v="7196.05"/>
        <n v="7229.24"/>
        <n v="7233.29"/>
        <n v="7276.51"/>
        <n v="7327.12"/>
        <n v="7363.64"/>
        <n v="7413.06"/>
        <n v="7423.88"/>
        <n v="7448.47"/>
        <n v="7480.27"/>
        <n v="7502.29"/>
        <n v="7502.72"/>
        <n v="7508.2"/>
        <n v="7515.2"/>
        <n v="7517.08"/>
        <n v="7521.33"/>
        <n v="7526.54"/>
        <n v="7535.16"/>
        <n v="7540.53"/>
        <n v="7625.15"/>
        <n v="7660.08"/>
        <n v="7683.05"/>
        <n v="7715.9"/>
        <n v="7730"/>
        <n v="7745.83"/>
        <n v="7756.65"/>
        <n v="7838.91"/>
        <n v="7842.93"/>
        <n v="7921.02"/>
        <n v="7983.95"/>
        <n v="7985.06"/>
        <n v="8016.98"/>
        <n v="8121.2"/>
        <n v="8132.59"/>
        <n v="8132.92"/>
        <n v="8255.17"/>
        <n v="8260.18"/>
        <n v="8284.81"/>
        <n v="8320.51"/>
        <n v="8343.17"/>
        <n v="8352.14"/>
        <n v="8363.29"/>
        <n v="8377.58"/>
        <n v="8377.68"/>
        <n v="8407.65"/>
        <n v="8466.51"/>
        <n v="8469.69"/>
        <n v="8472.09"/>
        <n v="8478.9"/>
        <n v="8491.94"/>
        <n v="8496.51"/>
        <n v="8510.99"/>
        <n v="8514.36"/>
        <n v="8557.05"/>
        <n v="8565.7"/>
        <n v="8583.68"/>
        <n v="8738.83"/>
        <n v="8762.44"/>
        <n v="8763.24"/>
        <n v="8775.43"/>
        <n v="8779.34"/>
        <n v="8841.33"/>
        <n v="8880.18"/>
        <n v="8907.28"/>
        <n v="9006.69"/>
        <n v="9028.16"/>
        <n v="9038.84"/>
        <n v="9094.88"/>
        <n v="9110.92"/>
        <n v="9135.47"/>
        <n v="9137.73"/>
        <n v="9210.36"/>
        <n v="9242.75"/>
        <n v="9304.62"/>
        <n v="9327.02"/>
        <n v="9384.26"/>
        <n v="9402.12"/>
        <n v="9427.16"/>
        <n v="9459.22"/>
        <n v="9518.48"/>
        <n v="9547.47"/>
        <n v="9550.61"/>
        <n v="9601.82"/>
        <n v="9610.15"/>
        <n v="9630.45"/>
        <n v="9700.48"/>
        <n v="9733.03"/>
        <n v="9745.54"/>
        <n v="9761.07"/>
        <n v="9806.32"/>
        <n v="9830.03"/>
        <n v="9833.7"/>
        <n v="9853.55"/>
        <n v="9915.88"/>
        <n v="9950.27"/>
        <n v="9967.72"/>
        <n v="9997.73"/>
        <n v="10029.04"/>
        <n v="10071.08"/>
        <n v="10089.33"/>
        <n v="10092.03"/>
        <n v="10130.82"/>
        <n v="10184.54"/>
        <n v="10197.01"/>
        <n v="10225.3"/>
        <n v="10234.9"/>
        <n v="10239.03"/>
        <n v="10261.54"/>
        <n v="10289.01"/>
        <n v="10290.93"/>
        <n v="10305.65"/>
        <n v="10309.5"/>
        <n v="10316.76"/>
        <n v="10412.17"/>
        <n v="10415.3"/>
        <n v="10430.77"/>
        <n v="10446.79"/>
        <n v="10484.85"/>
        <n v="10507.96"/>
        <n v="10527.37"/>
        <n v="10532.56"/>
        <n v="10559.4"/>
        <n v="10573.98"/>
        <n v="10693.78"/>
        <n v="10696.54"/>
        <n v="10730.57"/>
        <n v="10745.36"/>
        <n v="10758.81"/>
        <n v="10790.42"/>
        <n v="10800.74"/>
        <n v="10881.06"/>
        <n v="10912.33"/>
        <n v="10971.08"/>
        <n v="10973.94"/>
        <n v="10987.72"/>
        <n v="11062.41"/>
        <n v="11064.42"/>
        <n v="11133.51"/>
        <n v="11141.61"/>
        <n v="11177.71"/>
        <n v="11324.54"/>
        <n v="11360.88"/>
        <n v="11428.89"/>
        <n v="11544.51"/>
        <n v="11569.48"/>
        <n v="11619.43"/>
        <n v="11622.22"/>
        <n v="11632.01"/>
        <n v="11638.17"/>
        <n v="11689.84"/>
        <n v="11699.7"/>
        <n v="11729.95"/>
        <n v="11739.82"/>
        <n v="11765.73"/>
        <n v="11790.4"/>
        <n v="11826.44"/>
        <n v="11851.6"/>
        <n v="11858.81"/>
        <n v="11906.8"/>
        <n v="11921.85"/>
        <n v="11931.69"/>
        <n v="11973"/>
        <n v="12036.9"/>
        <n v="12108.37"/>
        <n v="12118.44"/>
        <n v="12139.24"/>
        <n v="12142.74"/>
        <n v="12147.42"/>
        <n v="12147.43"/>
        <n v="12219.11"/>
        <n v="12219.89"/>
        <n v="12240.9"/>
        <n v="12254.43"/>
        <n v="12263.75"/>
        <n v="12266.55"/>
        <n v="12273.09"/>
        <n v="12306.18"/>
        <n v="12328.75"/>
        <n v="12344.7"/>
        <n v="12386.09"/>
        <n v="12402.09"/>
        <n v="12499.87"/>
        <n v="12563.55"/>
        <n v="12587.3"/>
        <n v="12640.76"/>
        <n v="12707.2"/>
        <n v="12743.51"/>
        <n v="12749.92"/>
        <n v="12750.42"/>
        <n v="12763.89"/>
        <n v="12772.55"/>
        <n v="12808.29"/>
        <n v="12816.19"/>
        <n v="12827.16"/>
        <n v="12843.52"/>
        <n v="12855.99"/>
        <n v="12861.12"/>
        <n v="12869.62"/>
        <n v="12883.72"/>
        <n v="12904.07"/>
        <n v="12934.92"/>
        <n v="12961.2"/>
        <n v="12973.99"/>
        <n v="12984.4"/>
        <n v="12995.1"/>
        <n v="13029.27"/>
        <n v="13043.18"/>
        <n v="13103.45"/>
        <n v="13109.84"/>
        <n v="13132.88"/>
        <n v="13170.58"/>
        <n v="13186.22"/>
        <n v="13202.43"/>
        <n v="13290.05"/>
        <n v="13310.98"/>
        <n v="13339.23"/>
        <n v="13437.25"/>
        <n v="13541.93"/>
        <n v="13544.29"/>
        <n v="13549.9"/>
        <n v="13567.15"/>
        <n v="13577.98"/>
        <n v="13652.52"/>
        <n v="13682.31"/>
        <n v="13722.36"/>
        <n v="13740.89"/>
        <n v="13777.39"/>
        <n v="13797.17"/>
        <n v="13800.04"/>
        <n v="13804.66"/>
        <n v="13811.39"/>
        <n v="13997.3"/>
        <n v="14000.26"/>
        <n v="14029.33"/>
        <n v="14048.42"/>
        <n v="14049.93"/>
        <n v="14053.34"/>
        <n v="14056.24"/>
        <n v="14079.02"/>
        <n v="14114.82"/>
        <n v="14124.82"/>
        <n v="14142.68"/>
        <n v="14163.53"/>
        <n v="14261.25"/>
        <n v="14305.34"/>
        <n v="14338.89"/>
        <n v="14377.89"/>
        <n v="14406.22"/>
        <n v="14422.21"/>
        <n v="14502.89"/>
        <n v="14503.57"/>
        <n v="14537.55"/>
        <n v="14542.75"/>
        <n v="14560.25"/>
        <n v="14586.52"/>
        <n v="14594.82"/>
        <n v="14643.62"/>
        <n v="14644.22"/>
        <n v="14650.01"/>
        <n v="14665.23"/>
        <n v="14671.58"/>
        <n v="14714.67"/>
        <n v="14749.64"/>
        <n v="14757.02"/>
        <n v="14771.58"/>
        <n v="14775.05"/>
        <n v="14785.07"/>
        <n v="14802.03"/>
        <n v="14810.67"/>
        <n v="14901.1"/>
        <n v="14907.99"/>
        <n v="14911.88"/>
        <n v="14967.66"/>
        <n v="14974.83"/>
        <n v="14984.18"/>
        <n v="14996.74"/>
        <n v="15029.48"/>
        <n v="15037.89"/>
        <n v="15068.04"/>
        <n v="15069.07"/>
        <n v="15196.04"/>
        <n v="15201.96"/>
        <n v="15316.24"/>
        <n v="15319.32"/>
        <n v="15344.34"/>
        <n v="15346.85"/>
        <n v="15423.85"/>
        <n v="15455.66"/>
        <n v="15476.84"/>
        <n v="15492.17"/>
        <n v="15510.89"/>
        <n v="15542.52"/>
        <n v="15701.65"/>
        <n v="15705.08"/>
        <n v="15740.7"/>
        <n v="15855.22"/>
        <n v="15923.93"/>
        <n v="15924.17"/>
        <n v="15935.15"/>
        <n v="15947.17"/>
        <n v="16007.07"/>
        <n v="16039.01"/>
        <n v="16043.07"/>
        <n v="16052.38"/>
        <n v="16055"/>
        <n v="16075.87"/>
        <n v="16142.94"/>
        <n v="16162.92"/>
        <n v="16168.96"/>
        <n v="16195.24"/>
        <n v="16200.15"/>
        <n v="16208.45"/>
        <n v="16211.4"/>
        <n v="16235.2"/>
        <n v="16237.01"/>
        <n v="16238.01"/>
        <n v="16260.55"/>
        <n v="16262.97"/>
        <n v="16270.1"/>
        <n v="16287.52"/>
        <n v="16292.15"/>
        <n v="16370.78"/>
        <n v="16382.37"/>
        <n v="16384.02"/>
        <n v="16402.03"/>
        <n v="16454"/>
        <n v="16468.39"/>
        <n v="16479.48"/>
        <n v="16514.31"/>
        <n v="16517.63"/>
        <n v="16527.88"/>
        <n v="16539.19"/>
        <n v="16555.1"/>
        <n v="16570.69"/>
        <n v="16577.17"/>
        <n v="16614.46"/>
        <n v="16672.71"/>
        <n v="16679.97"/>
        <n v="16733.13"/>
        <n v="16822.63"/>
        <n v="16844.79"/>
        <n v="16888.12"/>
        <n v="16895.15"/>
        <n v="16925.79"/>
        <n v="16936.41"/>
        <n v="16943.67"/>
        <n v="16946.14"/>
        <n v="16950.92"/>
        <n v="17025.13"/>
        <n v="17102.57"/>
        <n v="17109.74"/>
        <n v="17152.72"/>
        <n v="17198.33"/>
        <n v="17236.38"/>
        <n v="17260.06"/>
        <n v="17269.74"/>
        <n v="17273.64"/>
        <n v="17276.18"/>
        <n v="17329.01"/>
        <n v="17368.7"/>
        <n v="17388.9"/>
        <n v="17390.39"/>
        <n v="17443.38"/>
        <n v="17458.32"/>
        <n v="17483.06"/>
        <n v="17492.41"/>
        <n v="17517.29"/>
        <n v="17526.59"/>
        <n v="17529.03"/>
        <n v="17568.53"/>
        <n v="17657.78"/>
        <n v="17666.28"/>
        <n v="17687.2"/>
        <n v="17739.73"/>
        <n v="17742.1"/>
        <n v="17757.55"/>
        <n v="17757.71"/>
        <n v="17802.2"/>
        <n v="17808.68"/>
        <n v="17840.17"/>
        <n v="17857.53"/>
        <n v="17923.66"/>
        <n v="17933.32"/>
        <n v="17962.69"/>
        <n v="18018.9"/>
        <n v="18028.93"/>
        <n v="18047.7"/>
        <n v="18050.64"/>
        <n v="18058.29"/>
        <n v="18059.08"/>
        <n v="18084.28"/>
        <n v="18158"/>
        <n v="18205.63"/>
        <n v="18216.66"/>
        <n v="18217.05"/>
        <n v="18217.1"/>
        <n v="18225.62"/>
        <n v="18297.98"/>
        <n v="18302.12"/>
        <n v="18315.95"/>
        <n v="18347.91"/>
        <n v="18360.32"/>
        <n v="18415.26"/>
        <n v="18426.49"/>
        <n v="18430.98"/>
        <n v="18515.78"/>
        <n v="18543.52"/>
        <n v="18547.85"/>
        <n v="18548.82"/>
        <n v="18557.95"/>
        <n v="18558.5"/>
        <n v="18600.03"/>
        <n v="18616.12"/>
        <n v="18618.2"/>
        <n v="18656.74"/>
        <n v="18697.11"/>
        <n v="18706.02"/>
        <n v="18763.31"/>
        <n v="18776.88"/>
        <n v="18787.65"/>
        <n v="18787.81"/>
        <n v="18816.74"/>
        <n v="18892.15"/>
        <n v="18952.22"/>
        <n v="18971.43"/>
        <n v="18977.54"/>
        <n v="18983.38"/>
        <n v="19023.15"/>
        <n v="19066.72"/>
        <n v="19087.81"/>
        <n v="19089.7"/>
        <n v="19106.05"/>
        <n v="19106.77"/>
        <n v="19137.6"/>
        <n v="19176.21"/>
        <n v="19186.03"/>
        <n v="19239.51"/>
        <n v="19246.06"/>
        <n v="19247.1"/>
        <n v="19249.22"/>
        <n v="19359.04"/>
        <n v="19373.94"/>
        <n v="19377.16"/>
        <n v="19444.5"/>
        <n v="19447.8"/>
        <n v="19454.4"/>
        <n v="19469.4"/>
        <n v="19526.41"/>
        <n v="19538.84"/>
        <n v="19583.43"/>
        <n v="19607.01"/>
        <n v="19715.62"/>
        <n v="19742.16"/>
        <n v="19826.13"/>
        <n v="19832.45"/>
        <n v="19848.07"/>
        <n v="19864.7"/>
        <n v="19867.95"/>
        <n v="19895.74"/>
        <n v="19905.7"/>
        <n v="19924.23"/>
        <n v="19926.48"/>
        <n v="19939.84"/>
        <n v="19971.57"/>
        <n v="19973.4"/>
        <n v="20020.12"/>
        <n v="20024.9"/>
        <n v="20075.95"/>
        <n v="20103.97"/>
        <n v="20119.28"/>
        <n v="20133.41"/>
        <n v="20135.87"/>
        <n v="20143.15"/>
        <n v="20156.03"/>
        <n v="20206.36"/>
        <n v="20209.42"/>
        <n v="20226.72"/>
        <n v="20233.74"/>
        <n v="20238.81"/>
        <n v="20259.13"/>
        <n v="20315.79"/>
        <n v="20346.82"/>
        <n v="20434.75"/>
        <n v="20439.39"/>
        <n v="20477.43"/>
        <n v="20512.77"/>
        <n v="20518.21"/>
        <n v="20544.67"/>
        <n v="20548.66"/>
        <n v="20558.45"/>
        <n v="20563.42"/>
        <n v="20575.46"/>
        <n v="20577"/>
        <n v="20580.71"/>
        <n v="20607.74"/>
        <n v="20649.72"/>
        <n v="20681.71"/>
        <n v="20688.44"/>
        <n v="20699.9"/>
        <n v="20785.84"/>
        <n v="20786.51"/>
        <n v="20802.24"/>
        <n v="20843.34"/>
        <n v="20846.6"/>
        <n v="20859.48"/>
        <n v="20866.49"/>
        <n v="20881.34"/>
        <n v="20889.77"/>
        <n v="20926.64"/>
        <n v="20951.84"/>
        <n v="20955.48"/>
        <n v="20966.3"/>
        <n v="20986.89"/>
        <n v="21004.75"/>
        <n v="21013.2"/>
        <n v="21035.97"/>
        <n v="21037.28"/>
        <n v="21087.41"/>
        <n v="21153.03"/>
        <n v="21175.94"/>
        <n v="21176.34"/>
        <n v="21317.47"/>
        <n v="21327.05"/>
        <n v="21351.04"/>
        <n v="21351.66"/>
        <n v="21355.15"/>
        <n v="21358.92"/>
        <n v="21375.67"/>
        <n v="21435.22"/>
        <n v="21455.95"/>
        <n v="21473.54"/>
        <n v="21507.97"/>
        <n v="21509.35"/>
        <n v="21520.85"/>
        <n v="21574.21"/>
        <n v="21577.41"/>
        <n v="21579.87"/>
        <n v="21599.63"/>
        <n v="21648.57"/>
        <n v="21669.59"/>
        <n v="21675.63"/>
        <n v="21695.45"/>
        <n v="21704.93"/>
        <n v="21736.57"/>
        <n v="21738.58"/>
        <n v="21769.7"/>
        <n v="21775.33"/>
        <n v="21814.34"/>
        <n v="21833.54"/>
        <n v="21834"/>
        <n v="21953.02"/>
        <n v="21972.47"/>
        <n v="21987.71"/>
        <n v="22047.66"/>
        <n v="22058.54"/>
        <n v="22166.18"/>
        <n v="22167.91"/>
        <n v="22172.34"/>
        <n v="22177.68"/>
        <n v="22222.54"/>
        <n v="22225.49"/>
        <n v="22227.33"/>
        <n v="22266.83"/>
        <n v="22311.99"/>
        <n v="22355.73"/>
        <n v="22371.15"/>
        <n v="22380.12"/>
        <n v="22414.73"/>
        <n v="22432.69"/>
        <n v="22441.89"/>
        <n v="22454.15"/>
        <n v="22470.45"/>
        <n v="22484.45"/>
        <n v="22497.09"/>
        <n v="22497.44"/>
        <n v="22519.5"/>
        <n v="22584.76"/>
        <n v="22608.89"/>
        <n v="22623.1"/>
        <n v="22649.63"/>
        <n v="22663.9"/>
        <n v="22718.65"/>
        <n v="22726.16"/>
        <n v="22737.25"/>
        <n v="22757.31"/>
        <n v="22781.22"/>
        <n v="22783.49"/>
        <n v="22799.39"/>
        <n v="22858.76"/>
        <n v="22862.95"/>
        <n v="22863.69"/>
        <n v="22871.93"/>
        <n v="22887.83"/>
        <n v="22921.81"/>
        <n v="22943.5"/>
        <n v="22972.22"/>
        <n v="22995.57"/>
        <n v="22998.05"/>
        <n v="23044.45"/>
        <n v="23050.23"/>
        <n v="23111.29"/>
        <n v="23130.42"/>
        <n v="23132.38"/>
        <n v="23179.59"/>
        <n v="23194.27"/>
        <n v="23239.91"/>
        <n v="23241.16"/>
        <n v="23278.67"/>
        <n v="23293.31"/>
        <n v="23299.61"/>
        <n v="23313.16"/>
        <n v="23329.49"/>
        <n v="23362.41"/>
        <n v="23445.18"/>
        <n v="23459.81"/>
        <n v="23487.92"/>
        <n v="23490.7"/>
        <n v="23503.95"/>
        <n v="23557.42"/>
        <n v="23568.48"/>
        <n v="23569.1"/>
        <n v="23635.9"/>
        <n v="23638.43"/>
        <n v="23644.31"/>
        <n v="23652.33"/>
        <n v="23662.66"/>
        <n v="23708.24"/>
        <n v="23741.84"/>
        <n v="23764.29"/>
        <n v="23784.21"/>
        <n v="23789.42"/>
        <n v="23802.9"/>
        <n v="23831.36"/>
        <n v="23875.54"/>
        <n v="23904.96"/>
        <n v="23934.99"/>
        <n v="23948.62"/>
        <n v="23963.22"/>
        <n v="24005.53"/>
        <n v="24064.04"/>
        <n v="24114.47"/>
        <n v="24129.8"/>
        <n v="24141.47"/>
        <n v="24151.61"/>
        <n v="24158.56"/>
        <n v="24161.28"/>
        <n v="24165.39"/>
        <n v="24179.05"/>
        <n v="24186.08"/>
        <n v="24229.22"/>
        <n v="24253.91"/>
        <n v="24261.42"/>
        <n v="24264.61"/>
        <n v="24285.7"/>
        <n v="24291.11"/>
        <n v="24291.47"/>
        <n v="24307.23"/>
        <n v="24358.96"/>
        <n v="24372.37"/>
        <n v="24378.23"/>
        <n v="24391.68"/>
        <n v="24404.97"/>
        <n v="24408.65"/>
        <n v="24415.55"/>
        <n v="24531.58"/>
        <n v="24575.3"/>
        <n v="24632.76"/>
        <n v="24685.72"/>
        <n v="24711.55"/>
        <n v="24714.33"/>
        <n v="24720.07"/>
        <n v="24725.39"/>
        <n v="24735.47"/>
        <n v="24745.03"/>
        <n v="24809.1"/>
        <n v="24813.95"/>
        <n v="24851.8"/>
        <n v="24897.75"/>
        <n v="24919.22"/>
        <n v="24929.56"/>
        <n v="24931.02"/>
        <n v="24933.51"/>
        <n v="24938.34"/>
        <n v="25021.13"/>
        <n v="25038.81"/>
        <n v="25059.18"/>
        <n v="25083.68"/>
        <n v="25098.95"/>
        <n v="25150.87"/>
        <n v="25197.25"/>
        <n v="25208.46"/>
        <n v="25210.21"/>
        <n v="25260.73"/>
        <n v="25296.94"/>
        <n v="25299.72"/>
        <n v="25329.08"/>
        <n v="25349.44"/>
        <n v="25378"/>
        <n v="25381.93"/>
        <n v="25391.53"/>
        <n v="25392.04"/>
        <n v="25443.57"/>
        <n v="25476.97"/>
        <n v="25494.92"/>
        <n v="25518.25"/>
        <n v="25523.92"/>
        <n v="25573.99"/>
        <n v="25611.99"/>
        <n v="25622.86"/>
        <n v="25624.43"/>
        <n v="25661.17"/>
        <n v="25666.28"/>
        <n v="25672.7"/>
        <n v="25688.72"/>
        <n v="25747.32"/>
        <n v="25779.41"/>
        <n v="25809.51"/>
        <n v="25821.69"/>
        <n v="25846.19"/>
        <n v="25848.46"/>
        <n v="25883.9"/>
        <n v="25909.5"/>
        <n v="25922.44"/>
        <n v="25939.87"/>
        <n v="25959.5"/>
        <n v="25988.1"/>
        <n v="26027.37"/>
        <n v="26064"/>
        <n v="26097.6"/>
        <n v="26175.2"/>
        <n v="26206.42"/>
        <n v="26215.19"/>
        <n v="26218.03"/>
        <n v="26250.94"/>
        <n v="26276.9"/>
        <n v="26279.17"/>
        <n v="26302.24"/>
        <n v="26316.38"/>
        <n v="26359.46"/>
        <n v="26375.37"/>
        <n v="26441.2"/>
        <n v="26516.27"/>
        <n v="26526.99"/>
        <n v="26542.31"/>
        <n v="26559.47"/>
        <n v="26572.84"/>
        <n v="26573.81"/>
        <n v="26581.57"/>
        <n v="26628.35"/>
        <n v="26672.27"/>
        <n v="26674.19"/>
        <n v="26676.56"/>
        <n v="26691.7"/>
        <n v="26702.12"/>
        <n v="26722.34"/>
        <n v="26810.48"/>
        <n v="26900.51"/>
        <n v="26963.34"/>
        <n v="26966.49"/>
        <n v="26972.66"/>
        <n v="27019.12"/>
        <n v="27056.25"/>
        <n v="27070.68"/>
        <n v="27089.55"/>
        <n v="27090.24"/>
        <n v="27094.96"/>
        <n v="27098.43"/>
        <n v="27132.11"/>
        <n v="27157.47"/>
        <n v="27157.67"/>
        <n v="27164.8"/>
        <n v="27174.9"/>
        <n v="27219.53"/>
        <n v="27303.39"/>
        <n v="27304.28"/>
        <n v="27305.08"/>
        <n v="27350.05"/>
        <n v="27376.41"/>
        <n v="27395.09"/>
        <n v="27412.75"/>
        <n v="27433.37"/>
        <n v="27471.34"/>
        <n v="27480.29"/>
        <n v="27539.18"/>
        <n v="27545.31"/>
        <n v="27556.8"/>
        <n v="27562.92"/>
        <n v="27571.29"/>
        <n v="27765.97"/>
        <n v="27768.47"/>
        <n v="27775.57"/>
        <n v="27808.22"/>
        <n v="27827.85"/>
        <n v="27912.15"/>
        <n v="27926.17"/>
        <n v="27947.33"/>
        <n v="28014.71"/>
        <n v="28030.31"/>
        <n v="28109.66"/>
        <n v="28126.55"/>
        <n v="28171.21"/>
        <n v="28186.18"/>
        <n v="28235.97"/>
        <n v="28246.56"/>
        <n v="28251.21"/>
        <n v="28331.51"/>
        <n v="28343.93"/>
        <n v="28348.16"/>
        <n v="28359.48"/>
        <n v="28366.21"/>
        <n v="28383.99"/>
        <n v="28411.74"/>
        <n v="28429.13"/>
        <n v="28438.37"/>
        <n v="28460.4"/>
        <n v="28463.22"/>
        <n v="28476.76"/>
        <n v="28477.77"/>
        <n v="28491.39"/>
        <n v="28493.55"/>
        <n v="28537.49"/>
        <n v="28548.17"/>
        <n v="28553.45"/>
        <n v="28569.3"/>
        <n v="28576.85"/>
        <n v="28607.75"/>
        <n v="28624.96"/>
        <n v="28659.19"/>
        <n v="28706.09"/>
        <n v="28717.76"/>
        <n v="28735.28"/>
        <n v="28767.06"/>
        <n v="28767.28"/>
        <n v="28808.12"/>
        <n v="28830.53"/>
        <n v="28841.81"/>
        <n v="28847.97"/>
        <n v="28876.22"/>
        <n v="28895.76"/>
        <n v="28901.9"/>
        <n v="28945.73"/>
        <n v="28976.74"/>
        <n v="28980.4"/>
        <n v="28982.44"/>
        <n v="28999.18"/>
        <n v="29015.77"/>
        <n v="29052.71"/>
        <n v="29065.37"/>
        <n v="29077.47"/>
        <n v="29128.43"/>
        <n v="29165.91"/>
        <n v="29200.48"/>
        <n v="29223.9"/>
        <n v="29240.32"/>
        <n v="29242.05"/>
        <n v="29294.97"/>
        <n v="29310.66"/>
        <n v="29327.82"/>
        <n v="29339.14"/>
        <n v="29379.64"/>
        <n v="29390.25"/>
        <n v="29396.56"/>
        <n v="29398.38"/>
        <n v="29407.24"/>
        <n v="29422.76"/>
        <n v="29429.16"/>
        <n v="29439.76"/>
        <n v="29494.07"/>
        <n v="29559.75"/>
        <n v="29597.46"/>
        <n v="29603.21"/>
        <n v="29622.43"/>
        <n v="29643.98"/>
        <n v="29646.93"/>
        <n v="29666.51"/>
        <n v="29670.1"/>
        <n v="29681.87"/>
        <n v="29689.43"/>
        <n v="29725.72"/>
        <n v="29738.54"/>
        <n v="29761.96"/>
        <n v="29777.02"/>
        <n v="29777.63"/>
        <n v="29832.93"/>
        <n v="29869.05"/>
        <n v="29961.73"/>
        <n v="30025.42"/>
        <n v="30053.75"/>
        <n v="30067.57"/>
        <n v="30086.77"/>
        <n v="30103.61"/>
        <n v="30151.93"/>
        <n v="30173.72"/>
        <n v="30180.42"/>
        <n v="30191.47"/>
        <n v="30211.77"/>
        <n v="30311.43"/>
        <n v="30317.16"/>
        <n v="30331.01"/>
        <n v="30372.47"/>
        <n v="30373.55"/>
        <n v="30380.03"/>
        <n v="30406.65"/>
        <n v="30419.08"/>
        <n v="30452.56"/>
        <n v="30482.8"/>
        <n v="30491.07"/>
        <n v="30501.05"/>
        <n v="30508.47"/>
        <n v="30512.11"/>
        <n v="30582.88"/>
        <n v="30604"/>
        <n v="30636.76"/>
        <n v="30665.2"/>
        <n v="30791.4"/>
        <n v="30791.91"/>
        <n v="30821.97"/>
        <n v="30831.97"/>
        <n v="30891.28"/>
        <n v="30937.43"/>
        <n v="30974.1"/>
        <n v="30978.1"/>
        <n v="30986.35"/>
        <n v="31032.67"/>
        <n v="31062.69"/>
        <n v="31079.11"/>
        <n v="31116.4"/>
        <n v="31176.38"/>
        <n v="31176.64"/>
        <n v="31206.36"/>
        <n v="31223.23"/>
        <n v="31254.53"/>
        <n v="31270.2"/>
        <n v="31289.28"/>
        <n v="31308.15"/>
        <n v="31365.59"/>
        <n v="31370.75"/>
        <n v="31463.38"/>
        <n v="31471.98"/>
        <n v="31538.28"/>
        <n v="31542.98"/>
        <n v="31556.57"/>
        <n v="31620.76"/>
        <n v="31637.44"/>
        <n v="31677.62"/>
        <n v="31681.69"/>
        <n v="31684.24"/>
        <n v="31762.78"/>
        <n v="31803.77"/>
        <n v="31820.85"/>
        <n v="31933.62"/>
        <n v="31940.13"/>
        <n v="31976.64"/>
        <n v="32082.58"/>
        <n v="32106.82"/>
        <n v="32112.8"/>
        <n v="32263.48"/>
        <n v="32264.75"/>
        <n v="32267.2"/>
        <n v="32282.16"/>
        <n v="32287.01"/>
        <n v="32294.14"/>
        <n v="32358.97"/>
        <n v="32400.31"/>
        <n v="32416.19"/>
        <n v="32472.75"/>
        <n v="32520.13"/>
        <n v="32521.94"/>
        <n v="32536.67"/>
        <n v="32565.06"/>
        <n v="32630.01"/>
        <n v="32642.71"/>
        <n v="32674.5"/>
        <n v="32682.22"/>
        <n v="32712.61"/>
        <n v="32823.59"/>
        <n v="32832.35"/>
        <n v="32888.73"/>
        <n v="32902.49"/>
        <n v="32919.04"/>
        <n v="32932.4"/>
        <n v="32936.8"/>
        <n v="32987.64"/>
        <n v="33003.01"/>
        <n v="33023.29"/>
        <n v="33031.99"/>
        <n v="33067.61"/>
        <n v="33090.61"/>
        <n v="33100.75"/>
        <n v="33126.5"/>
        <n v="33144.54"/>
        <n v="33146.64"/>
        <n v="33156.25"/>
        <n v="33190"/>
        <n v="33197.8"/>
        <n v="33289.65"/>
        <n v="33310.51"/>
        <n v="33329.12"/>
        <n v="33351.93"/>
        <n v="33368.99"/>
        <n v="33391.6"/>
        <n v="33406.54"/>
        <n v="33439.35"/>
        <n v="33482.71"/>
        <n v="33507.54"/>
        <n v="33536.27"/>
        <n v="33547.31"/>
        <n v="33558.76"/>
        <n v="33561.7"/>
        <n v="33572.17"/>
        <n v="33583.58"/>
        <n v="33605.33"/>
        <n v="33639.68"/>
        <n v="33644.65"/>
        <n v="33648.18"/>
        <n v="33679.5"/>
        <n v="33747.44"/>
        <n v="33769.84"/>
        <n v="33859.66"/>
        <n v="33866.41"/>
        <n v="33882.39"/>
        <n v="33889.69"/>
        <n v="33899.04"/>
        <n v="33900.73"/>
        <n v="33946.65"/>
        <n v="34007.97"/>
        <n v="34011.91"/>
        <n v="34034.8"/>
        <n v="34035.1"/>
        <n v="34038.36"/>
        <n v="34043.61"/>
        <n v="34109.4"/>
        <n v="34125.33"/>
        <n v="34138.39"/>
        <n v="34140.31"/>
        <n v="34167.46"/>
        <n v="34169.88"/>
        <n v="34210.87"/>
        <n v="34235.68"/>
        <n v="34253.78"/>
        <n v="34261.59"/>
        <n v="34314.76"/>
        <n v="34326.69"/>
        <n v="34352.45"/>
        <n v="34414.11"/>
        <n v="34415.08"/>
        <n v="34471.52"/>
        <n v="34502.94"/>
        <n v="34531.47"/>
        <n v="34554.17"/>
        <n v="34589.93"/>
        <n v="34590.42"/>
        <n v="34623.5"/>
        <n v="34728.64"/>
        <n v="34741.19"/>
        <n v="34746.45"/>
        <n v="34766.31"/>
        <n v="34795.83"/>
        <n v="34810.86"/>
        <n v="34822.26"/>
        <n v="34894.27"/>
        <n v="34915.52"/>
        <n v="34932.83"/>
        <n v="34948.43"/>
        <n v="34965.65"/>
        <n v="35028.6"/>
        <n v="35050.96"/>
        <n v="35167.77"/>
        <n v="35210.97"/>
        <n v="35228.98"/>
        <n v="35248.58"/>
        <n v="35317.48"/>
        <n v="35322.68"/>
        <n v="35353.42"/>
        <n v="35412.51"/>
        <n v="35451.13"/>
        <n v="35493.24"/>
        <n v="35560.88"/>
        <n v="35575.11"/>
        <n v="35598.7"/>
        <n v="35696.23"/>
        <n v="35784.58"/>
        <n v="35788.3"/>
        <n v="35800.25"/>
        <n v="35886.15"/>
        <n v="35941.44"/>
        <n v="35992.68"/>
        <n v="36076.05"/>
        <n v="36164.44"/>
        <n v="36182.26"/>
        <n v="36355.25"/>
        <n v="36378.54"/>
        <n v="36406.79"/>
        <n v="36447.72"/>
        <n v="36463.44"/>
        <n v="36525.71"/>
        <n v="36537.65"/>
        <n v="36540.06"/>
        <n v="36559.72"/>
        <n v="36581.89"/>
        <n v="36605.24"/>
        <n v="36639.37"/>
        <n v="36679.7"/>
        <n v="36714.48"/>
        <n v="36797.7"/>
        <n v="36889.25"/>
        <n v="36924.37"/>
        <n v="37011.31"/>
        <n v="37011.38"/>
        <n v="37026.89"/>
        <n v="37058.45"/>
        <n v="37159.34"/>
        <n v="37182.21"/>
        <n v="37358.32"/>
        <n v="37397.5"/>
        <n v="37428.32"/>
        <n v="37432.24"/>
        <n v="37546.46"/>
        <n v="37584.8"/>
        <n v="37658.26"/>
        <n v="37672.07"/>
        <n v="37725.27"/>
        <n v="37742.56"/>
        <n v="37744.08"/>
        <n v="37807.62"/>
        <n v="37854.09"/>
        <n v="37871.47"/>
        <n v="37906.72"/>
        <n v="37909.74"/>
        <n v="37924.66"/>
        <n v="37936.7"/>
        <n v="37963.15"/>
        <n v="38065.03"/>
        <n v="38194.02"/>
        <n v="38220.39"/>
        <n v="38227.56"/>
        <n v="38265.33"/>
        <n v="38267.77"/>
        <n v="38346.62"/>
        <n v="38383.65"/>
        <n v="38386.51"/>
        <n v="38400.8"/>
        <n v="38407.04"/>
        <n v="38427.62"/>
        <n v="38436.05"/>
        <n v="38455.38"/>
        <n v="38512.94"/>
        <n v="38548.93"/>
        <n v="38592.64"/>
        <n v="38618.52"/>
        <n v="38679.6"/>
        <n v="38689.61"/>
        <n v="38700.81"/>
        <n v="38775.82"/>
        <n v="38780.08"/>
        <n v="38783.91"/>
        <n v="38790.35"/>
        <n v="38825.51"/>
        <n v="39009.39"/>
        <n v="39088.34"/>
        <n v="39096.49"/>
        <n v="39137.67"/>
        <n v="39181.62"/>
        <n v="39319.17"/>
        <n v="39365.55"/>
        <n v="39381.47"/>
        <n v="39446.89"/>
        <n v="39448.72"/>
        <n v="39513.68"/>
        <n v="39530.17"/>
        <n v="39532.04"/>
        <n v="39587.13"/>
        <n v="39646.31"/>
        <n v="39756.14"/>
        <n v="39860.44"/>
        <n v="39917.89"/>
        <n v="39920.67"/>
        <n v="39972.24"/>
        <n v="40008.65"/>
        <n v="40112.39"/>
        <n v="40127.16"/>
        <n v="40245.8"/>
        <n v="40306.7"/>
        <n v="40362.18"/>
        <n v="40368.19"/>
        <n v="40475.85"/>
        <n v="40525.04"/>
        <n v="40607.3"/>
        <n v="40657.38"/>
        <n v="40684.56"/>
        <n v="40698.7"/>
        <n v="40759.69"/>
        <n v="40823.77"/>
        <n v="40954.72"/>
        <n v="40977.33"/>
        <n v="40997.79"/>
        <n v="41030.34"/>
        <n v="41256.81"/>
        <n v="41421.03"/>
        <n v="41477.29"/>
        <n v="41511.46"/>
        <n v="41623.72"/>
        <n v="41669.56"/>
        <n v="41705.5"/>
        <n v="41727.68"/>
        <n v="41799.58"/>
        <n v="41811.75"/>
        <n v="41955.46"/>
        <n v="41981.11"/>
        <n v="42012.57"/>
        <n v="42097.62"/>
        <n v="42221.48"/>
        <n v="42510.7"/>
        <n v="42574.63"/>
        <n v="42609.09"/>
        <n v="42712.17"/>
        <n v="42766.64"/>
        <n v="42780.69"/>
        <n v="42813.94"/>
        <n v="42838.88"/>
        <n v="43041.12"/>
        <n v="43097.19"/>
        <n v="43116.72"/>
        <n v="43149.56"/>
        <n v="43170.75"/>
        <n v="43181.81"/>
        <n v="43484.94"/>
        <n v="43567.63"/>
        <n v="43612.04"/>
        <n v="43633.19"/>
        <n v="43718.63"/>
        <n v="43723.54"/>
        <n v="43810.57"/>
        <n v="43948.07"/>
        <n v="43963.01"/>
        <n v="44223.42"/>
        <n v="44324.54"/>
        <n v="44446.69"/>
        <n v="44599.53"/>
        <n v="45130.37"/>
        <n v="45244.92"/>
        <n v="45443.86"/>
        <n v="46001.62"/>
        <n v="46171.89"/>
        <n v="46317.06"/>
        <n v="46409.45"/>
        <n v="46695.07"/>
      </sharedItems>
    </cacheField>
    <cacheField name="Paid_Amount" numFmtId="0">
      <sharedItems containsSemiMixedTypes="0" containsString="0" containsNumber="1" minValue="0" maxValue="45213.45" count="869">
        <n v="0"/>
        <n v="322.24"/>
        <n v="382.93"/>
        <n v="407.99"/>
        <n v="482.94"/>
        <n v="557.26"/>
        <n v="593.12"/>
        <n v="642.01"/>
        <n v="647.07"/>
        <n v="743.09"/>
        <n v="752.93"/>
        <n v="857.93"/>
        <n v="890.55"/>
        <n v="946.81"/>
        <n v="959.04"/>
        <n v="964.79"/>
        <n v="996.4"/>
        <n v="1078.23"/>
        <n v="1106.23"/>
        <n v="1113.57"/>
        <n v="1169.28"/>
        <n v="1191.31"/>
        <n v="1206.12"/>
        <n v="1580.53"/>
        <n v="1651.84"/>
        <n v="1700.37"/>
        <n v="1743.9"/>
        <n v="1764.35"/>
        <n v="1835.03"/>
        <n v="1843.58"/>
        <n v="1874.31"/>
        <n v="1884.07"/>
        <n v="1890.38"/>
        <n v="1938.48"/>
        <n v="1959.91"/>
        <n v="2117.61"/>
        <n v="2160.5"/>
        <n v="2161.8"/>
        <n v="2210.65"/>
        <n v="2334.91"/>
        <n v="2392.09"/>
        <n v="2487.95"/>
        <n v="2503.75"/>
        <n v="2503.97"/>
        <n v="2532.04"/>
        <n v="2570.25"/>
        <n v="2583.2"/>
        <n v="2583.32"/>
        <n v="2637.41"/>
        <n v="2638.38"/>
        <n v="2678.08"/>
        <n v="2755.35"/>
        <n v="2762.15"/>
        <n v="2855.47"/>
        <n v="2871.74"/>
        <n v="2873.93"/>
        <n v="2898.1"/>
        <n v="2971.37"/>
        <n v="2971.96"/>
        <n v="2982.38"/>
        <n v="2983.09"/>
        <n v="2988.8"/>
        <n v="3082.03"/>
        <n v="3096.64"/>
        <n v="3154.3"/>
        <n v="3166.8"/>
        <n v="3167.29"/>
        <n v="3172.87"/>
        <n v="3191.97"/>
        <n v="3345.83"/>
        <n v="3424.42"/>
        <n v="3474.9"/>
        <n v="3482.96"/>
        <n v="3494.36"/>
        <n v="3503.98"/>
        <n v="3514.24"/>
        <n v="3628.87"/>
        <n v="3685.35"/>
        <n v="3715.43"/>
        <n v="3761.02"/>
        <n v="3793.35"/>
        <n v="3823.5"/>
        <n v="3925.43"/>
        <n v="4051.36"/>
        <n v="4052.09"/>
        <n v="4065.67"/>
        <n v="4097.55"/>
        <n v="4120.92"/>
        <n v="4215.91"/>
        <n v="4361.49"/>
        <n v="4371.73"/>
        <n v="4480.02"/>
        <n v="4492.9"/>
        <n v="4587.98"/>
        <n v="4594.45"/>
        <n v="4601.4"/>
        <n v="4645.05"/>
        <n v="4685.46"/>
        <n v="4694.39"/>
        <n v="4893.93"/>
        <n v="4900.64"/>
        <n v="4940.93"/>
        <n v="4983.74"/>
        <n v="4986.26"/>
        <n v="4989.03"/>
        <n v="5010.97"/>
        <n v="5062.44"/>
        <n v="5145.14"/>
        <n v="5199.55"/>
        <n v="5223.06"/>
        <n v="5226.63"/>
        <n v="5327.2"/>
        <n v="5338.23"/>
        <n v="5399.01"/>
        <n v="5411.8"/>
        <n v="5513.65"/>
        <n v="5513.75"/>
        <n v="5524.45"/>
        <n v="5557.16"/>
        <n v="5558.27"/>
        <n v="5582.5"/>
        <n v="5705.19"/>
        <n v="5707.05"/>
        <n v="5740.7"/>
        <n v="5815.94"/>
        <n v="5821.2"/>
        <n v="5846.57"/>
        <n v="5851.24"/>
        <n v="5935.66"/>
        <n v="5943.96"/>
        <n v="5976.58"/>
        <n v="5982.94"/>
        <n v="5988.55"/>
        <n v="6126.12"/>
        <n v="6188.25"/>
        <n v="6222.01"/>
        <n v="6240.46"/>
        <n v="6288.19"/>
        <n v="6295.84"/>
        <n v="6310.71"/>
        <n v="6346.61"/>
        <n v="6360.7"/>
        <n v="6380.25"/>
        <n v="6569.98"/>
        <n v="6570.39"/>
        <n v="6570.75"/>
        <n v="6571.86"/>
        <n v="6642.16"/>
        <n v="6676.87"/>
        <n v="6678.86"/>
        <n v="6715.82"/>
        <n v="6718.64"/>
        <n v="6727.8"/>
        <n v="6729.38"/>
        <n v="6822.24"/>
        <n v="6833.43"/>
        <n v="6835.86"/>
        <n v="6940.39"/>
        <n v="6976.59"/>
        <n v="6987.21"/>
        <n v="7004.35"/>
        <n v="7044.41"/>
        <n v="7139.43"/>
        <n v="7143.73"/>
        <n v="7191.93"/>
        <n v="7222.46"/>
        <n v="7287.57"/>
        <n v="7294.47"/>
        <n v="7322.98"/>
        <n v="7435.09"/>
        <n v="7591.92"/>
        <n v="7663.65"/>
        <n v="7718.61"/>
        <n v="7722.88"/>
        <n v="7765.73"/>
        <n v="7865.62"/>
        <n v="7873.75"/>
        <n v="7985.81"/>
        <n v="7992.94"/>
        <n v="8014.88"/>
        <n v="8038.66"/>
        <n v="8049.82"/>
        <n v="8144.77"/>
        <n v="8158.82"/>
        <n v="8166.45"/>
        <n v="8192.37"/>
        <n v="8346.6"/>
        <n v="8359.59"/>
        <n v="8362.19"/>
        <n v="8364.44"/>
        <n v="8379.58"/>
        <n v="8446.22"/>
        <n v="8459.1"/>
        <n v="8552.7"/>
        <n v="8600.95"/>
        <n v="8647.24"/>
        <n v="8649.38"/>
        <n v="8650.67"/>
        <n v="8722.09"/>
        <n v="8730.01"/>
        <n v="8807.56"/>
        <n v="8940.47"/>
        <n v="8997.05"/>
        <n v="9005.61"/>
        <n v="9010.58"/>
        <n v="9079.57"/>
        <n v="9091.33"/>
        <n v="9105.14"/>
        <n v="9108.78"/>
        <n v="9137.92"/>
        <n v="9158.78"/>
        <n v="9192.96"/>
        <n v="9358.26"/>
        <n v="9610.19"/>
        <n v="9632.73"/>
        <n v="9775.41"/>
        <n v="9937.84"/>
        <n v="9976.92"/>
        <n v="9991.62"/>
        <n v="10051.6"/>
        <n v="10179.61"/>
        <n v="10222.18"/>
        <n v="10335.25"/>
        <n v="10374.09"/>
        <n v="10387.95"/>
        <n v="10395.86"/>
        <n v="10402.12"/>
        <n v="10407.11"/>
        <n v="10437.11"/>
        <n v="10550"/>
        <n v="10560.73"/>
        <n v="10570.27"/>
        <n v="10688.77"/>
        <n v="10710.18"/>
        <n v="10793.33"/>
        <n v="10859.3"/>
        <n v="10859.45"/>
        <n v="10892.6"/>
        <n v="10914.35"/>
        <n v="10934.73"/>
        <n v="11014.21"/>
        <n v="11046.05"/>
        <n v="11124.56"/>
        <n v="11175.18"/>
        <n v="11186.14"/>
        <n v="11249.61"/>
        <n v="11251.05"/>
        <n v="11352.22"/>
        <n v="11362.17"/>
        <n v="11382.12"/>
        <n v="11395.06"/>
        <n v="11402.91"/>
        <n v="11476.26"/>
        <n v="11504.04"/>
        <n v="11528.81"/>
        <n v="11562.8"/>
        <n v="11582.26"/>
        <n v="11584.97"/>
        <n v="11629.69"/>
        <n v="11663.22"/>
        <n v="11672.44"/>
        <n v="11718.86"/>
        <n v="11786.13"/>
        <n v="11965.36"/>
        <n v="12012.19"/>
        <n v="12049.87"/>
        <n v="12059.94"/>
        <n v="12086.07"/>
        <n v="12162.5"/>
        <n v="12231.96"/>
        <n v="12233.04"/>
        <n v="12254.95"/>
        <n v="12274.42"/>
        <n v="12315.75"/>
        <n v="12344.37"/>
        <n v="12348.17"/>
        <n v="12369.12"/>
        <n v="12376.15"/>
        <n v="12390.1"/>
        <n v="12392.39"/>
        <n v="12451.61"/>
        <n v="12485.45"/>
        <n v="12501.15"/>
        <n v="12515.23"/>
        <n v="12578.49"/>
        <n v="12610.17"/>
        <n v="12627.05"/>
        <n v="12714.86"/>
        <n v="12753.74"/>
        <n v="12764.57"/>
        <n v="12780.34"/>
        <n v="12885.53"/>
        <n v="12947.79"/>
        <n v="12953.58"/>
        <n v="12995.89"/>
        <n v="13047.84"/>
        <n v="13113.51"/>
        <n v="13126.44"/>
        <n v="13145.95"/>
        <n v="13169.11"/>
        <n v="13309.09"/>
        <n v="13343.12"/>
        <n v="13366.46"/>
        <n v="13370.49"/>
        <n v="13454.56"/>
        <n v="13472.61"/>
        <n v="13481.06"/>
        <n v="13517.04"/>
        <n v="13581.56"/>
        <n v="13618.19"/>
        <n v="13642.42"/>
        <n v="13677.68"/>
        <n v="13789.45"/>
        <n v="13835.38"/>
        <n v="13913.58"/>
        <n v="13961.7"/>
        <n v="14040.98"/>
        <n v="14058.29"/>
        <n v="14076.6"/>
        <n v="14158.71"/>
        <n v="14175.29"/>
        <n v="14287.71"/>
        <n v="14429.01"/>
        <n v="14443.36"/>
        <n v="14455.8"/>
        <n v="14459.4"/>
        <n v="14475.89"/>
        <n v="14481.32"/>
        <n v="14589.97"/>
        <n v="14644.71"/>
        <n v="14656.22"/>
        <n v="14667.43"/>
        <n v="14692.86"/>
        <n v="14758.19"/>
        <n v="14759.49"/>
        <n v="14759.53"/>
        <n v="14820.56"/>
        <n v="14853.86"/>
        <n v="14989.85"/>
        <n v="15029.02"/>
        <n v="15036.85"/>
        <n v="15156.03"/>
        <n v="15222.43"/>
        <n v="15247.38"/>
        <n v="15296.09"/>
        <n v="15310.55"/>
        <n v="15311.4"/>
        <n v="15375.28"/>
        <n v="15377.63"/>
        <n v="15421.5"/>
        <n v="15448.1"/>
        <n v="15450.86"/>
        <n v="15467.7"/>
        <n v="15534.03"/>
        <n v="15549.87"/>
        <n v="15561.88"/>
        <n v="15595.39"/>
        <n v="15617.05"/>
        <n v="15624.05"/>
        <n v="15665.48"/>
        <n v="15683.77"/>
        <n v="15701.52"/>
        <n v="15706.15"/>
        <n v="15707.71"/>
        <n v="15727.97"/>
        <n v="15751.19"/>
        <n v="15773.66"/>
        <n v="15773.85"/>
        <n v="15794.24"/>
        <n v="15853.64"/>
        <n v="15892.74"/>
        <n v="15894.66"/>
        <n v="16021.27"/>
        <n v="16021.28"/>
        <n v="16029.41"/>
        <n v="16059"/>
        <n v="16152.91"/>
        <n v="16156.2"/>
        <n v="16163.6"/>
        <n v="16178.5"/>
        <n v="16196.54"/>
        <n v="16229.38"/>
        <n v="16236.58"/>
        <n v="16265.27"/>
        <n v="16292.53"/>
        <n v="16383.29"/>
        <n v="16385.58"/>
        <n v="16521.41"/>
        <n v="16523.93"/>
        <n v="16558.55"/>
        <n v="16598.77"/>
        <n v="16604.25"/>
        <n v="16606.34"/>
        <n v="16674.11"/>
        <n v="16696.85"/>
        <n v="16705.92"/>
        <n v="16723.61"/>
        <n v="16725.25"/>
        <n v="16746.03"/>
        <n v="16805.63"/>
        <n v="16830.27"/>
        <n v="16850.18"/>
        <n v="16926.42"/>
        <n v="16946.79"/>
        <n v="16967.37"/>
        <n v="17040.03"/>
        <n v="17080.67"/>
        <n v="17102.03"/>
        <n v="17154.13"/>
        <n v="17196.36"/>
        <n v="17242.14"/>
        <n v="17304.73"/>
        <n v="17324.3"/>
        <n v="17327.57"/>
        <n v="17357.45"/>
        <n v="17372.18"/>
        <n v="17435.94"/>
        <n v="17455.23"/>
        <n v="17465.35"/>
        <n v="17467.03"/>
        <n v="17638.41"/>
        <n v="17711.01"/>
        <n v="17716.33"/>
        <n v="17726.85"/>
        <n v="17764.62"/>
        <n v="17774.67"/>
        <n v="17789.64"/>
        <n v="17980.15"/>
        <n v="17983.23"/>
        <n v="18031.28"/>
        <n v="18036.44"/>
        <n v="18070.6"/>
        <n v="18093.35"/>
        <n v="18120.39"/>
        <n v="18137.19"/>
        <n v="18150.61"/>
        <n v="18159.29"/>
        <n v="18220.95"/>
        <n v="18235.6"/>
        <n v="18270.65"/>
        <n v="18316.56"/>
        <n v="18368.67"/>
        <n v="18373.92"/>
        <n v="18464.35"/>
        <n v="18550.17"/>
        <n v="18560.45"/>
        <n v="18584.69"/>
        <n v="18622.92"/>
        <n v="18676.8"/>
        <n v="18689.17"/>
        <n v="18734.13"/>
        <n v="18735.54"/>
        <n v="18768.1"/>
        <n v="18799.68"/>
        <n v="18815.22"/>
        <n v="18926.09"/>
        <n v="18964.91"/>
        <n v="18972.48"/>
        <n v="18986.72"/>
        <n v="19059.98"/>
        <n v="19088.53"/>
        <n v="19135.81"/>
        <n v="19177.16"/>
        <n v="19185.69"/>
        <n v="19251.46"/>
        <n v="19267.3"/>
        <n v="19287.23"/>
        <n v="19328.99"/>
        <n v="19443.29"/>
        <n v="19462.93"/>
        <n v="19483.67"/>
        <n v="19508.57"/>
        <n v="19533.44"/>
        <n v="19556.22"/>
        <n v="19563.96"/>
        <n v="19568.08"/>
        <n v="19590.04"/>
        <n v="19604.4"/>
        <n v="19612.35"/>
        <n v="19637.35"/>
        <n v="19713.29"/>
        <n v="19771.26"/>
        <n v="19788.18"/>
        <n v="19792.5"/>
        <n v="19830.05"/>
        <n v="19853.2"/>
        <n v="19870.52"/>
        <n v="19906.69"/>
        <n v="19913.55"/>
        <n v="19971.21"/>
        <n v="20003.25"/>
        <n v="20074.08"/>
        <n v="20108.82"/>
        <n v="20111.64"/>
        <n v="20116.45"/>
        <n v="20183.98"/>
        <n v="20185.16"/>
        <n v="20238.05"/>
        <n v="20273.23"/>
        <n v="20291.68"/>
        <n v="20300.59"/>
        <n v="20314.96"/>
        <n v="20331.59"/>
        <n v="20347.91"/>
        <n v="20414.24"/>
        <n v="20435.04"/>
        <n v="20490.87"/>
        <n v="20495.01"/>
        <n v="20550.88"/>
        <n v="20635.35"/>
        <n v="20672.9"/>
        <n v="20692.16"/>
        <n v="20810.75"/>
        <n v="20812.45"/>
        <n v="20865.21"/>
        <n v="20916.54"/>
        <n v="20964.08"/>
        <n v="21008.86"/>
        <n v="21037.89"/>
        <n v="21073.99"/>
        <n v="21087.62"/>
        <n v="21090.21"/>
        <n v="21101.62"/>
        <n v="21116.59"/>
        <n v="21122.16"/>
        <n v="21144.72"/>
        <n v="21176.72"/>
        <n v="21217.53"/>
        <n v="21235.86"/>
        <n v="21429.6"/>
        <n v="21447.86"/>
        <n v="21489.47"/>
        <n v="21498.04"/>
        <n v="21527.72"/>
        <n v="21603.86"/>
        <n v="21659.15"/>
        <n v="21734.11"/>
        <n v="21784.08"/>
        <n v="21808.97"/>
        <n v="21816.49"/>
        <n v="21866.15"/>
        <n v="21917.05"/>
        <n v="21964.01"/>
        <n v="21968.24"/>
        <n v="22033.74"/>
        <n v="22046.59"/>
        <n v="22102.22"/>
        <n v="22102.45"/>
        <n v="22118.7"/>
        <n v="22120.31"/>
        <n v="22124.14"/>
        <n v="22124.83"/>
        <n v="22142.82"/>
        <n v="22155.4"/>
        <n v="22175.46"/>
        <n v="22185.63"/>
        <n v="22284.39"/>
        <n v="22288.56"/>
        <n v="22355.39"/>
        <n v="22379.87"/>
        <n v="22406.77"/>
        <n v="22422.47"/>
        <n v="22452.13"/>
        <n v="22471.64"/>
        <n v="22539.38"/>
        <n v="22617.69"/>
        <n v="22649.97"/>
        <n v="22661.91"/>
        <n v="22691.9"/>
        <n v="22722.08"/>
        <n v="22734.95"/>
        <n v="22754.64"/>
        <n v="22782.49"/>
        <n v="22893.11"/>
        <n v="22893.18"/>
        <n v="22895.91"/>
        <n v="22905.89"/>
        <n v="22924.43"/>
        <n v="22943.98"/>
        <n v="22970.58"/>
        <n v="22980.72"/>
        <n v="22992.64"/>
        <n v="23011.53"/>
        <n v="23033.78"/>
        <n v="23051.44"/>
        <n v="23069.58"/>
        <n v="23072.79"/>
        <n v="23085.3"/>
        <n v="23138.93"/>
        <n v="23140.87"/>
        <n v="23183.22"/>
        <n v="23247.94"/>
        <n v="23250.88"/>
        <n v="23253.29"/>
        <n v="23279.49"/>
        <n v="23289.15"/>
        <n v="23294.11"/>
        <n v="23347.56"/>
        <n v="23368.9"/>
        <n v="23371.28"/>
        <n v="23411"/>
        <n v="23472.32"/>
        <n v="23490.88"/>
        <n v="23493.73"/>
        <n v="23496.63"/>
        <n v="23526.4"/>
        <n v="23568.48"/>
        <n v="23618.25"/>
        <n v="23647.33"/>
        <n v="23726.73"/>
        <n v="23760.3"/>
        <n v="23773.79"/>
        <n v="23779.59"/>
        <n v="23782.97"/>
        <n v="23839.16"/>
        <n v="23847.85"/>
        <n v="23957.8"/>
        <n v="23978.06"/>
        <n v="23991.4"/>
        <n v="23998.67"/>
        <n v="24005.11"/>
        <n v="24014.87"/>
        <n v="24019.38"/>
        <n v="24060.2"/>
        <n v="24069.6"/>
        <n v="24073.87"/>
        <n v="24170.85"/>
        <n v="24212.54"/>
        <n v="24254.6"/>
        <n v="24389"/>
        <n v="24438.84"/>
        <n v="24509.47"/>
        <n v="24599.87"/>
        <n v="24608.21"/>
        <n v="24611.23"/>
        <n v="24634.88"/>
        <n v="24808.65"/>
        <n v="24816.17"/>
        <n v="24889.32"/>
        <n v="24921.63"/>
        <n v="24985.79"/>
        <n v="25063.03"/>
        <n v="25118.53"/>
        <n v="25192.08"/>
        <n v="25324.82"/>
        <n v="25387.84"/>
        <n v="25404.46"/>
        <n v="25499.84"/>
        <n v="25536.5"/>
        <n v="25555.97"/>
        <n v="25561.03"/>
        <n v="25596.9"/>
        <n v="25622.28"/>
        <n v="25628.34"/>
        <n v="25645.68"/>
        <n v="25703.18"/>
        <n v="25704.47"/>
        <n v="25769.1"/>
        <n v="25780.52"/>
        <n v="25843.24"/>
        <n v="25920.45"/>
        <n v="25996.19"/>
        <n v="26025.18"/>
        <n v="26098.25"/>
        <n v="26120.94"/>
        <n v="26131.93"/>
        <n v="26173.24"/>
        <n v="26228.08"/>
        <n v="26233.54"/>
        <n v="26241.99"/>
        <n v="26253.61"/>
        <n v="26283.59"/>
        <n v="26344.93"/>
        <n v="26385.56"/>
        <n v="26505.6"/>
        <n v="26621.82"/>
        <n v="26662.16"/>
        <n v="26678.18"/>
        <n v="26681.47"/>
        <n v="26696.15"/>
        <n v="26734.54"/>
        <n v="26759.95"/>
        <n v="26833.59"/>
        <n v="26929.55"/>
        <n v="26942.88"/>
        <n v="26994.55"/>
        <n v="27030.37"/>
        <n v="27086.33"/>
        <n v="27223.72"/>
        <n v="27265.8"/>
        <n v="27329.95"/>
        <n v="27337.71"/>
        <n v="27353.22"/>
        <n v="27447.84"/>
        <n v="27510.93"/>
        <n v="27594.44"/>
        <n v="27692.08"/>
        <n v="27714.28"/>
        <n v="27743.84"/>
        <n v="27761.44"/>
        <n v="27777.02"/>
        <n v="27800.35"/>
        <n v="27900.43"/>
        <n v="27991.21"/>
        <n v="28154.43"/>
        <n v="28187.19"/>
        <n v="28207.56"/>
        <n v="28248.03"/>
        <n v="28253.91"/>
        <n v="28439.7"/>
        <n v="28455.78"/>
        <n v="28507.84"/>
        <n v="28539.58"/>
        <n v="28556.88"/>
        <n v="28580.03"/>
        <n v="28696.59"/>
        <n v="28733.31"/>
        <n v="28830.14"/>
        <n v="28850.65"/>
        <n v="28861.83"/>
        <n v="28955.51"/>
        <n v="28975.45"/>
        <n v="29112.03"/>
        <n v="29112.79"/>
        <n v="29263.35"/>
        <n v="29282.26"/>
        <n v="29292.54"/>
        <n v="29326.8"/>
        <n v="29445.73"/>
        <n v="29465.99"/>
        <n v="29530.66"/>
        <n v="29641.04"/>
        <n v="29692.13"/>
        <n v="29723.79"/>
        <n v="29757.7"/>
        <n v="29875.73"/>
        <n v="29979.08"/>
        <n v="30065.32"/>
        <n v="30111.91"/>
        <n v="30319.12"/>
        <n v="30351.83"/>
        <n v="30374.73"/>
        <n v="30374.87"/>
        <n v="30425.59"/>
        <n v="30433.26"/>
        <n v="30530.19"/>
        <n v="30562.29"/>
        <n v="30569.09"/>
        <n v="30726.91"/>
        <n v="30754.17"/>
        <n v="30804.18"/>
        <n v="30858.73"/>
        <n v="30869.15"/>
        <n v="30938.67"/>
        <n v="30957.63"/>
        <n v="30978.05"/>
        <n v="30980.45"/>
        <n v="30990.64"/>
        <n v="31010.82"/>
        <n v="31037.25"/>
        <n v="31072.78"/>
        <n v="31187.1"/>
        <n v="31234.29"/>
        <n v="31331.72"/>
        <n v="31399.58"/>
        <n v="31444.61"/>
        <n v="31526.97"/>
        <n v="31636.13"/>
        <n v="31638.96"/>
        <n v="31667.65"/>
        <n v="31677.64"/>
        <n v="31695.37"/>
        <n v="31811.06"/>
        <n v="31816.49"/>
        <n v="31837.22"/>
        <n v="31858.23"/>
        <n v="31915.75"/>
        <n v="31934.12"/>
        <n v="32013.64"/>
        <n v="32214.65"/>
        <n v="32273.48"/>
        <n v="32294.61"/>
        <n v="32364.17"/>
        <n v="32391.85"/>
        <n v="32412.88"/>
        <n v="32414.41"/>
        <n v="32426.34"/>
        <n v="32428.41"/>
        <n v="32524.13"/>
        <n v="32570.15"/>
        <n v="32597.45"/>
        <n v="32612.13"/>
        <n v="32619.55"/>
        <n v="32620.58"/>
        <n v="32660.71"/>
        <n v="32688.71"/>
        <n v="32732.11"/>
        <n v="32905.06"/>
        <n v="32936.56"/>
        <n v="32937.81"/>
        <n v="33012.59"/>
        <n v="33059.88"/>
        <n v="33084"/>
        <n v="33168.78"/>
        <n v="33187.18"/>
        <n v="33265.41"/>
        <n v="33272.69"/>
        <n v="33331.52"/>
        <n v="33487.51"/>
        <n v="33730.37"/>
        <n v="33759.48"/>
        <n v="33841.39"/>
        <n v="33886.02"/>
        <n v="33907.89"/>
        <n v="34096.75"/>
        <n v="34405.44"/>
        <n v="34426.36"/>
        <n v="34442.24"/>
        <n v="34567.62"/>
        <n v="34646.88"/>
        <n v="34672.64"/>
        <n v="34773.28"/>
        <n v="34956.01"/>
        <n v="35006.73"/>
        <n v="35059.05"/>
        <n v="35203.25"/>
        <n v="35207.8"/>
        <n v="35540.37"/>
        <n v="35544.51"/>
        <n v="35556.05"/>
        <n v="35703.86"/>
        <n v="35842.16"/>
        <n v="35842.9"/>
        <n v="35859.76"/>
        <n v="35915.29"/>
        <n v="35924.21"/>
        <n v="36140.54"/>
        <n v="36192.87"/>
        <n v="36323.58"/>
        <n v="36530.43"/>
        <n v="36660.59"/>
        <n v="36681.13"/>
        <n v="36747.1"/>
        <n v="36753.76"/>
        <n v="37079.12"/>
        <n v="37195.08"/>
        <n v="37267.39"/>
        <n v="37494.5"/>
        <n v="37737.42"/>
        <n v="37738.07"/>
        <n v="38072.72"/>
        <n v="38088.71"/>
        <n v="38672.62"/>
        <n v="38877.13"/>
        <n v="39223.47"/>
        <n v="39472.41"/>
        <n v="39652.87"/>
        <n v="39889.42"/>
        <n v="40182.41"/>
        <n v="40342.99"/>
        <n v="40548.18"/>
        <n v="41064.89"/>
        <n v="41201.53"/>
        <n v="41223.82"/>
        <n v="41825.66"/>
        <n v="42019.23"/>
        <n v="42737.48"/>
        <n v="44179.43"/>
        <n v="45213.45"/>
      </sharedItems>
    </cacheField>
    <cacheField name="Member_Responsibility" numFmtId="0">
      <sharedItems containsSemiMixedTypes="0" containsString="0" containsNumber="1" minValue="3.55" maxValue="46317.06" count="1499">
        <n v="3.55"/>
        <n v="7.39"/>
        <n v="7.89"/>
        <n v="14.33"/>
        <n v="15.33"/>
        <n v="20.27"/>
        <n v="22.18"/>
        <n v="28.28"/>
        <n v="29.14"/>
        <n v="29.53"/>
        <n v="30.36"/>
        <n v="41.61"/>
        <n v="42.65"/>
        <n v="45.46"/>
        <n v="46.67"/>
        <n v="69.15"/>
        <n v="69.3"/>
        <n v="69.6"/>
        <n v="70.28"/>
        <n v="72.25"/>
        <n v="73.37"/>
        <n v="76.23"/>
        <n v="83.2"/>
        <n v="88.34"/>
        <n v="89.97"/>
        <n v="90.3"/>
        <n v="95.7"/>
        <n v="99.07"/>
        <n v="105.24"/>
        <n v="107.16"/>
        <n v="107.58"/>
        <n v="109.21"/>
        <n v="112.86"/>
        <n v="113.41"/>
        <n v="113.68"/>
        <n v="119.24"/>
        <n v="120.94"/>
        <n v="134.43"/>
        <n v="135.49"/>
        <n v="138.24"/>
        <n v="138.42"/>
        <n v="139.39"/>
        <n v="139.76"/>
        <n v="154.02"/>
        <n v="154.93"/>
        <n v="155.33"/>
        <n v="164.35"/>
        <n v="166.69"/>
        <n v="171.82"/>
        <n v="172.28"/>
        <n v="173.13"/>
        <n v="173.84"/>
        <n v="181.99"/>
        <n v="185.69"/>
        <n v="186.29"/>
        <n v="192.37"/>
        <n v="192.97"/>
        <n v="196.1"/>
        <n v="196.35"/>
        <n v="199.8"/>
        <n v="204.09"/>
        <n v="206.36"/>
        <n v="209.87"/>
        <n v="210.11"/>
        <n v="211.19"/>
        <n v="214.57"/>
        <n v="219"/>
        <n v="226.71"/>
        <n v="227.75"/>
        <n v="235.12"/>
        <n v="240.29"/>
        <n v="243.6"/>
        <n v="243.67"/>
        <n v="256.73"/>
        <n v="257.14"/>
        <n v="260.5"/>
        <n v="260.54"/>
        <n v="264.86"/>
        <n v="265.41"/>
        <n v="267.72"/>
        <n v="269.2"/>
        <n v="269.84"/>
        <n v="273"/>
        <n v="274.82"/>
        <n v="275.59"/>
        <n v="291.55"/>
        <n v="293.97"/>
        <n v="296.19"/>
        <n v="299.92"/>
        <n v="300.56"/>
        <n v="306.05"/>
        <n v="307.18"/>
        <n v="308.25"/>
        <n v="311.18"/>
        <n v="311.91"/>
        <n v="315.07"/>
        <n v="326.16"/>
        <n v="334.15"/>
        <n v="338.22"/>
        <n v="348.85"/>
        <n v="354.9"/>
        <n v="355.41"/>
        <n v="356.95"/>
        <n v="359.67"/>
        <n v="366.48"/>
        <n v="379.48"/>
        <n v="380.55"/>
        <n v="383.66"/>
        <n v="384.66"/>
        <n v="390.52"/>
        <n v="391.02"/>
        <n v="391.6"/>
        <n v="392.18"/>
        <n v="395.33"/>
        <n v="396.4"/>
        <n v="399.86"/>
        <n v="404.24"/>
        <n v="407.09"/>
        <n v="408.11"/>
        <n v="412.31"/>
        <n v="414.69"/>
        <n v="416.33"/>
        <n v="417.28"/>
        <n v="424.8"/>
        <n v="428.83"/>
        <n v="433.25"/>
        <n v="433.27"/>
        <n v="442.75"/>
        <n v="444.75"/>
        <n v="445.3"/>
        <n v="445.48"/>
        <n v="450.39"/>
        <n v="457.38"/>
        <n v="459.73"/>
        <n v="460.63"/>
        <n v="461.93"/>
        <n v="464.99"/>
        <n v="468.02"/>
        <n v="472.33"/>
        <n v="476.45"/>
        <n v="482.15"/>
        <n v="483.13"/>
        <n v="487.71"/>
        <n v="491.3"/>
        <n v="495.72"/>
        <n v="503.78"/>
        <n v="506.22"/>
        <n v="507.74"/>
        <n v="509.62"/>
        <n v="514.52"/>
        <n v="518.82"/>
        <n v="524.68"/>
        <n v="529.5"/>
        <n v="530.06"/>
        <n v="530.15"/>
        <n v="533.47"/>
        <n v="540.94"/>
        <n v="544.42"/>
        <n v="546.15"/>
        <n v="555.92"/>
        <n v="563.37"/>
        <n v="567.21"/>
        <n v="567.27"/>
        <n v="576.62"/>
        <n v="589.87"/>
        <n v="598.75"/>
        <n v="610.14"/>
        <n v="613.71"/>
        <n v="615.7"/>
        <n v="616.77"/>
        <n v="620.8"/>
        <n v="629.06"/>
        <n v="632.12"/>
        <n v="632.85"/>
        <n v="634.09"/>
        <n v="634.8"/>
        <n v="636.23"/>
        <n v="640.67"/>
        <n v="641.13"/>
        <n v="644.41"/>
        <n v="650.3"/>
        <n v="651.08"/>
        <n v="654.59"/>
        <n v="654.75"/>
        <n v="657.38"/>
        <n v="659.5"/>
        <n v="666.43"/>
        <n v="673.69"/>
        <n v="678.46"/>
        <n v="680.42"/>
        <n v="683.84"/>
        <n v="693.28"/>
        <n v="694.39"/>
        <n v="694.77"/>
        <n v="694.82"/>
        <n v="696.93"/>
        <n v="697.73"/>
        <n v="708.4"/>
        <n v="713.89"/>
        <n v="736.69"/>
        <n v="738.18"/>
        <n v="742.21"/>
        <n v="742.32"/>
        <n v="744.63"/>
        <n v="745"/>
        <n v="745.14"/>
        <n v="745.94"/>
        <n v="746.71"/>
        <n v="751.44"/>
        <n v="754.9"/>
        <n v="757.45"/>
        <n v="764.97"/>
        <n v="773.73"/>
        <n v="780.61"/>
        <n v="793.68"/>
        <n v="811.95"/>
        <n v="813.84"/>
        <n v="819.75"/>
        <n v="826.54"/>
        <n v="831.1"/>
        <n v="832.82"/>
        <n v="833.22"/>
        <n v="833.55"/>
        <n v="835.28"/>
        <n v="836.34"/>
        <n v="845.35"/>
        <n v="850.81"/>
        <n v="855.38"/>
        <n v="857.81"/>
        <n v="864.97"/>
        <n v="869.77"/>
        <n v="875.96"/>
        <n v="876.77"/>
        <n v="884.41"/>
        <n v="886.3"/>
        <n v="895.33"/>
        <n v="901.21"/>
        <n v="916.95"/>
        <n v="923.79"/>
        <n v="938.62"/>
        <n v="939.94"/>
        <n v="950.13"/>
        <n v="951.57"/>
        <n v="957.1"/>
        <n v="958.5"/>
        <n v="961.21"/>
        <n v="963.79"/>
        <n v="967.42"/>
        <n v="974.63"/>
        <n v="975.84"/>
        <n v="1006.93"/>
        <n v="1010.56"/>
        <n v="1013.73"/>
        <n v="1016.33"/>
        <n v="1028.02"/>
        <n v="1034.64"/>
        <n v="1040.93"/>
        <n v="1044.12"/>
        <n v="1049.81"/>
        <n v="1054.39"/>
        <n v="1056.46"/>
        <n v="1057.98"/>
        <n v="1059.94"/>
        <n v="1060.45"/>
        <n v="1060.52"/>
        <n v="1061.43"/>
        <n v="1067.01"/>
        <n v="1071.02"/>
        <n v="1074.49"/>
        <n v="1076.38"/>
        <n v="1079.23"/>
        <n v="1096.98"/>
        <n v="1102.95"/>
        <n v="1113.55"/>
        <n v="1119.66"/>
        <n v="1125.98"/>
        <n v="1140.13"/>
        <n v="1144.64"/>
        <n v="1149.65"/>
        <n v="1160.53"/>
        <n v="1160.68"/>
        <n v="1162.51"/>
        <n v="1163.3"/>
        <n v="1165.09"/>
        <n v="1179.36"/>
        <n v="1183.03"/>
        <n v="1198.41"/>
        <n v="1206.57"/>
        <n v="1210.62"/>
        <n v="1220.68"/>
        <n v="1235.4"/>
        <n v="1243.74"/>
        <n v="1246.75"/>
        <n v="1253.02"/>
        <n v="1257.5"/>
        <n v="1260.27"/>
        <n v="1260.56"/>
        <n v="1265.21"/>
        <n v="1267.74"/>
        <n v="1271.89"/>
        <n v="1276.41"/>
        <n v="1277.76"/>
        <n v="1291.06"/>
        <n v="1294.64"/>
        <n v="1294.68"/>
        <n v="1299.2"/>
        <n v="1300.45"/>
        <n v="1305.23"/>
        <n v="1323.2"/>
        <n v="1324.46"/>
        <n v="1327.34"/>
        <n v="1340.05"/>
        <n v="1341.21"/>
        <n v="1341.38"/>
        <n v="1344.48"/>
        <n v="1358.26"/>
        <n v="1367.61"/>
        <n v="1375.12"/>
        <n v="1386.88"/>
        <n v="1390.33"/>
        <n v="1390.37"/>
        <n v="1410.57"/>
        <n v="1421.05"/>
        <n v="1425.71"/>
        <n v="1426.59"/>
        <n v="1432.1"/>
        <n v="1432.16"/>
        <n v="1432.19"/>
        <n v="1435.33"/>
        <n v="1441.31"/>
        <n v="1442.29"/>
        <n v="1446.23"/>
        <n v="1446.73"/>
        <n v="1456.88"/>
        <n v="1457.64"/>
        <n v="1466.65"/>
        <n v="1467.41"/>
        <n v="1468.5"/>
        <n v="1468.66"/>
        <n v="1473.04"/>
        <n v="1474.46"/>
        <n v="1475.06"/>
        <n v="1481.62"/>
        <n v="1491.08"/>
        <n v="1512.67"/>
        <n v="1514.74"/>
        <n v="1521.5"/>
        <n v="1522.16"/>
        <n v="1523.56"/>
        <n v="1529.21"/>
        <n v="1532.38"/>
        <n v="1536.11"/>
        <n v="1539.21"/>
        <n v="1542.82"/>
        <n v="1549.34"/>
        <n v="1559.2"/>
        <n v="1566.82"/>
        <n v="1566.92"/>
        <n v="1570.08"/>
        <n v="1573.68"/>
        <n v="1576.57"/>
        <n v="1578.51"/>
        <n v="1595.1"/>
        <n v="1597.42"/>
        <n v="1599.68"/>
        <n v="1624.94"/>
        <n v="1631.84"/>
        <n v="1641.01"/>
        <n v="1641.04"/>
        <n v="1647.5"/>
        <n v="1648.95"/>
        <n v="1661.25"/>
        <n v="1661.38"/>
        <n v="1665.6"/>
        <n v="1667.72"/>
        <n v="1667.77"/>
        <n v="1675.91"/>
        <n v="1677.24"/>
        <n v="1677.85"/>
        <n v="1679.32"/>
        <n v="1681.86"/>
        <n v="1683.32"/>
        <n v="1684.22"/>
        <n v="1693.03"/>
        <n v="1693.21"/>
        <n v="1697.98"/>
        <n v="1699.78"/>
        <n v="1706.93"/>
        <n v="1708.86"/>
        <n v="1709.34"/>
        <n v="1712.95"/>
        <n v="1713.32"/>
        <n v="1717.44"/>
        <n v="1731.47"/>
        <n v="1732"/>
        <n v="1732.96"/>
        <n v="1738.09"/>
        <n v="1742.17"/>
        <n v="1747.68"/>
        <n v="1748.88"/>
        <n v="1758.09"/>
        <n v="1763.08"/>
        <n v="1771.85"/>
        <n v="1777.23"/>
        <n v="1796.81"/>
        <n v="1800.71"/>
        <n v="1805.71"/>
        <n v="1815.07"/>
        <n v="1821.64"/>
        <n v="1822.19"/>
        <n v="1831.47"/>
        <n v="1838.88"/>
        <n v="1838.91"/>
        <n v="1843.26"/>
        <n v="1847.75"/>
        <n v="1854.97"/>
        <n v="1862.24"/>
        <n v="1863.85"/>
        <n v="1867.22"/>
        <n v="1867.26"/>
        <n v="1869.14"/>
        <n v="1875.27"/>
        <n v="1883.09"/>
        <n v="1892.33"/>
        <n v="1894.12"/>
        <n v="1903.25"/>
        <n v="1910.25"/>
        <n v="1910.61"/>
        <n v="1929.6"/>
        <n v="1930.23"/>
        <n v="1933.19"/>
        <n v="1935.17"/>
        <n v="1941.52"/>
        <n v="1943.73"/>
        <n v="1944.48"/>
        <n v="1961.99"/>
        <n v="1966.8"/>
        <n v="1986.41"/>
        <n v="1986.66"/>
        <n v="1992.07"/>
        <n v="2001.23"/>
        <n v="2005.96"/>
        <n v="2006.48"/>
        <n v="2016.01"/>
        <n v="2024.42"/>
        <n v="2036.1"/>
        <n v="2038.76"/>
        <n v="2044.4"/>
        <n v="2051.83"/>
        <n v="2059.38"/>
        <n v="2062.21"/>
        <n v="2063.11"/>
        <n v="2064.3"/>
        <n v="2078.63"/>
        <n v="2085.04"/>
        <n v="2087.77"/>
        <n v="2088.66"/>
        <n v="2100.3"/>
        <n v="2101.07"/>
        <n v="2107.09"/>
        <n v="2109.04"/>
        <n v="2113.01"/>
        <n v="2119.76"/>
        <n v="2139.47"/>
        <n v="2143.26"/>
        <n v="2147.96"/>
        <n v="2148.59"/>
        <n v="2153.62"/>
        <n v="2163.52"/>
        <n v="2170.75"/>
        <n v="2183.84"/>
        <n v="2189.8"/>
        <n v="2205.28"/>
        <n v="2211.03"/>
        <n v="2214.67"/>
        <n v="2220.17"/>
        <n v="2222.13"/>
        <n v="2231.05"/>
        <n v="2232.51"/>
        <n v="2236.28"/>
        <n v="2236.76"/>
        <n v="2243.8"/>
        <n v="2265.65"/>
        <n v="2278.84"/>
        <n v="2284.51"/>
        <n v="2293.38"/>
        <n v="2317.21"/>
        <n v="2318.93"/>
        <n v="2335.13"/>
        <n v="2336.44"/>
        <n v="2339.04"/>
        <n v="2342.29"/>
        <n v="2358.15"/>
        <n v="2360.79"/>
        <n v="2361.77"/>
        <n v="2366.1"/>
        <n v="2381.61"/>
        <n v="2382.6"/>
        <n v="2397.9"/>
        <n v="2398.51"/>
        <n v="2403.5"/>
        <n v="2406.57"/>
        <n v="2410.51"/>
        <n v="2428.15"/>
        <n v="2439.37"/>
        <n v="2442.31"/>
        <n v="2443.44"/>
        <n v="2455.83"/>
        <n v="2473.17"/>
        <n v="2474.92"/>
        <n v="2475.82"/>
        <n v="2487.92"/>
        <n v="2491.44"/>
        <n v="2498.21"/>
        <n v="2503.54"/>
        <n v="2504.68"/>
        <n v="2508.38"/>
        <n v="2516.64"/>
        <n v="2521.1"/>
        <n v="2523.22"/>
        <n v="2525.36"/>
        <n v="2537.6"/>
        <n v="2539.86"/>
        <n v="2546.55"/>
        <n v="2550.93"/>
        <n v="2559.41"/>
        <n v="2563.22"/>
        <n v="2570.4"/>
        <n v="2576.34"/>
        <n v="2584.19"/>
        <n v="2585.98"/>
        <n v="2587.57"/>
        <n v="2603.26"/>
        <n v="2609.99"/>
        <n v="2610.6"/>
        <n v="2619.98"/>
        <n v="2624.86"/>
        <n v="2635.51"/>
        <n v="2637.76"/>
        <n v="2639.17"/>
        <n v="2658.64"/>
        <n v="2674.77"/>
        <n v="2676.38"/>
        <n v="2677.81"/>
        <n v="2682.25"/>
        <n v="2699.95"/>
        <n v="2700.8"/>
        <n v="2703.23"/>
        <n v="2718.63"/>
        <n v="2731.34"/>
        <n v="2738.78"/>
        <n v="2745.79"/>
        <n v="2747.74"/>
        <n v="2761.13"/>
        <n v="2783.8"/>
        <n v="2786.84"/>
        <n v="2795.01"/>
        <n v="2803.34"/>
        <n v="2806.49"/>
        <n v="2807.09"/>
        <n v="2812.58"/>
        <n v="2828.18"/>
        <n v="2830.28"/>
        <n v="2831.08"/>
        <n v="2835.81"/>
        <n v="2836.65"/>
        <n v="2838.23"/>
        <n v="2861.12"/>
        <n v="2867.08"/>
        <n v="2880.68"/>
        <n v="2907.72"/>
        <n v="2909"/>
        <n v="2910.49"/>
        <n v="2916.85"/>
        <n v="2917.95"/>
        <n v="2940.51"/>
        <n v="2942.67"/>
        <n v="2949.33"/>
        <n v="2954.57"/>
        <n v="2970.7"/>
        <n v="2973.34"/>
        <n v="2980.26"/>
        <n v="2988.47"/>
        <n v="2989.22"/>
        <n v="2991.98"/>
        <n v="2999.36"/>
        <n v="2999.68"/>
        <n v="3008.88"/>
        <n v="3015.44"/>
        <n v="3015.99"/>
        <n v="3021.13"/>
        <n v="3027.02"/>
        <n v="3030.94"/>
        <n v="3033.75"/>
        <n v="3033.96"/>
        <n v="3035.84"/>
        <n v="3038.15"/>
        <n v="3055.81"/>
        <n v="3066.21"/>
        <n v="3068.99"/>
        <n v="3071.19"/>
        <n v="3071.93"/>
        <n v="3076.21"/>
        <n v="3090.99"/>
        <n v="3097.72"/>
        <n v="3107.13"/>
        <n v="3111.14"/>
        <n v="3123.32"/>
        <n v="3132.75"/>
        <n v="3133.32"/>
        <n v="3134.26"/>
        <n v="3142.87"/>
        <n v="3150.67"/>
        <n v="3161.54"/>
        <n v="3163.19"/>
        <n v="3179.06"/>
        <n v="3187.42"/>
        <n v="3187.64"/>
        <n v="3190.96"/>
        <n v="3197.93"/>
        <n v="3208.39"/>
        <n v="3222.62"/>
        <n v="3229.28"/>
        <n v="3237.32"/>
        <n v="3239.4"/>
        <n v="3243.58"/>
        <n v="3255.31"/>
        <n v="3261.37"/>
        <n v="3288.52"/>
        <n v="3304.83"/>
        <n v="3317.98"/>
        <n v="3321.63"/>
        <n v="3337.3"/>
        <n v="3344.94"/>
        <n v="3345.44"/>
        <n v="3346.19"/>
        <n v="3346.85"/>
        <n v="3356.83"/>
        <n v="3360.49"/>
        <n v="3366.78"/>
        <n v="3381.8"/>
        <n v="3385.54"/>
        <n v="3386.57"/>
        <n v="3396.73"/>
        <n v="3419.28"/>
        <n v="3421.97"/>
        <n v="3424.37"/>
        <n v="3428.32"/>
        <n v="3436.46"/>
        <n v="3467.92"/>
        <n v="3469.27"/>
        <n v="3493.29"/>
        <n v="3494.05"/>
        <n v="3502.53"/>
        <n v="3503.61"/>
        <n v="3513.92"/>
        <n v="3521.98"/>
        <n v="3555.74"/>
        <n v="3571.47"/>
        <n v="3589.12"/>
        <n v="3599.82"/>
        <n v="3604.39"/>
        <n v="3608.35"/>
        <n v="3626.72"/>
        <n v="3634.58"/>
        <n v="3641.33"/>
        <n v="3645.04"/>
        <n v="3646.62"/>
        <n v="3651.33"/>
        <n v="3713.7"/>
        <n v="3715.28"/>
        <n v="3718.83"/>
        <n v="3720.02"/>
        <n v="3722.35"/>
        <n v="3722.46"/>
        <n v="3724.31"/>
        <n v="3737.6"/>
        <n v="3744.05"/>
        <n v="3755.76"/>
        <n v="3772.29"/>
        <n v="3789.99"/>
        <n v="3811.18"/>
        <n v="3811.95"/>
        <n v="3833.73"/>
        <n v="3840.3"/>
        <n v="3855.45"/>
        <n v="3869.63"/>
        <n v="3884.17"/>
        <n v="3888.69"/>
        <n v="3903"/>
        <n v="3914.76"/>
        <n v="3921.38"/>
        <n v="3925.73"/>
        <n v="3926.35"/>
        <n v="3944.41"/>
        <n v="3948.2"/>
        <n v="3954.78"/>
        <n v="3962.51"/>
        <n v="3968.53"/>
        <n v="3970.4"/>
        <n v="4011.99"/>
        <n v="4028.24"/>
        <n v="4032.54"/>
        <n v="4043.79"/>
        <n v="4052.85"/>
        <n v="4059.39"/>
        <n v="4065.33"/>
        <n v="4072.99"/>
        <n v="4078.1"/>
        <n v="4099.48"/>
        <n v="4123.6"/>
        <n v="4125.67"/>
        <n v="4131.31"/>
        <n v="4148.89"/>
        <n v="4177.01"/>
        <n v="4180.36"/>
        <n v="4180.85"/>
        <n v="4199.99"/>
        <n v="4200.02"/>
        <n v="4207.23"/>
        <n v="4208.25"/>
        <n v="4227.44"/>
        <n v="4239.69"/>
        <n v="4242.26"/>
        <n v="4254.59"/>
        <n v="4261.04"/>
        <n v="4270.41"/>
        <n v="4310.85"/>
        <n v="4314.98"/>
        <n v="4316.37"/>
        <n v="4329.55"/>
        <n v="4358.64"/>
        <n v="4366.17"/>
        <n v="4371.64"/>
        <n v="4405.83"/>
        <n v="4408.41"/>
        <n v="4439.08"/>
        <n v="4441.99"/>
        <n v="4442.22"/>
        <n v="4444.88"/>
        <n v="4454.65"/>
        <n v="4459.89"/>
        <n v="4460.65"/>
        <n v="4463.81"/>
        <n v="4473.9"/>
        <n v="4473.96"/>
        <n v="4475.11"/>
        <n v="4478.51"/>
        <n v="4506.07"/>
        <n v="4521.12"/>
        <n v="4523.39"/>
        <n v="4530.35"/>
        <n v="4536.07"/>
        <n v="4550.84"/>
        <n v="4590.57"/>
        <n v="4595.95"/>
        <n v="4607.06"/>
        <n v="4617.91"/>
        <n v="4626.65"/>
        <n v="4635.24"/>
        <n v="4636.9"/>
        <n v="4639.17"/>
        <n v="4663.73"/>
        <n v="4690.43"/>
        <n v="4707.6"/>
        <n v="4726.02"/>
        <n v="4726.63"/>
        <n v="4729.86"/>
        <n v="4744.36"/>
        <n v="4757.51"/>
        <n v="4758.25"/>
        <n v="4759.58"/>
        <n v="4766.6"/>
        <n v="4770.65"/>
        <n v="4776.64"/>
        <n v="4784.8"/>
        <n v="4802.31"/>
        <n v="4807.68"/>
        <n v="4816.91"/>
        <n v="4819.02"/>
        <n v="4820.35"/>
        <n v="4822.77"/>
        <n v="4825.15"/>
        <n v="4832.3"/>
        <n v="4836.45"/>
        <n v="4860.94"/>
        <n v="4862.18"/>
        <n v="4871.61"/>
        <n v="4923.13"/>
        <n v="4924.04"/>
        <n v="4927.84"/>
        <n v="4929.22"/>
        <n v="4932.95"/>
        <n v="4935.37"/>
        <n v="4942.26"/>
        <n v="4950.91"/>
        <n v="4953.18"/>
        <n v="4964.73"/>
        <n v="4985.72"/>
        <n v="5012.85"/>
        <n v="5014.62"/>
        <n v="5021.32"/>
        <n v="5031.74"/>
        <n v="5060.51"/>
        <n v="5062.74"/>
        <n v="5070.42"/>
        <n v="5100.81"/>
        <n v="5115.19"/>
        <n v="5116.41"/>
        <n v="5122.75"/>
        <n v="5124.53"/>
        <n v="5158.69"/>
        <n v="5164.94"/>
        <n v="5167.68"/>
        <n v="5241.02"/>
        <n v="5249.99"/>
        <n v="5251.91"/>
        <n v="5261.76"/>
        <n v="5294.28"/>
        <n v="5310.52"/>
        <n v="5311.63"/>
        <n v="5315.62"/>
        <n v="5316.21"/>
        <n v="5350.52"/>
        <n v="5351.02"/>
        <n v="5351.18"/>
        <n v="5375.1"/>
        <n v="5387.9"/>
        <n v="5395.67"/>
        <n v="5403.13"/>
        <n v="5431.57"/>
        <n v="5443.51"/>
        <n v="5460.78"/>
        <n v="5465.13"/>
        <n v="5466.3"/>
        <n v="5489.99"/>
        <n v="5503.7"/>
        <n v="5523.21"/>
        <n v="5544.34"/>
        <n v="5560.71"/>
        <n v="5584.59"/>
        <n v="5589.09"/>
        <n v="5597.51"/>
        <n v="5604"/>
        <n v="5606.19"/>
        <n v="5638.88"/>
        <n v="5649.21"/>
        <n v="5653.62"/>
        <n v="5678.7"/>
        <n v="5680.31"/>
        <n v="5683.2"/>
        <n v="5716.88"/>
        <n v="5728.07"/>
        <n v="5729.07"/>
        <n v="5729.97"/>
        <n v="5737.85"/>
        <n v="5747.66"/>
        <n v="5777.71"/>
        <n v="5793.39"/>
        <n v="5816.05"/>
        <n v="5844.33"/>
        <n v="5869.1"/>
        <n v="5875.68"/>
        <n v="5876.44"/>
        <n v="5878.16"/>
        <n v="5906.46"/>
        <n v="5914.55"/>
        <n v="5981.2"/>
        <n v="5991.82"/>
        <n v="6003.42"/>
        <n v="6011.56"/>
        <n v="6032.33"/>
        <n v="6052.94"/>
        <n v="6056.99"/>
        <n v="6066.46"/>
        <n v="6071.1"/>
        <n v="6092.16"/>
        <n v="6095.18"/>
        <n v="6131.88"/>
        <n v="6133.7"/>
        <n v="6134.35"/>
        <n v="6141.82"/>
        <n v="6161.93"/>
        <n v="6171.32"/>
        <n v="6173.41"/>
        <n v="6184.34"/>
        <n v="6186.45"/>
        <n v="6194.93"/>
        <n v="6201.86"/>
        <n v="6212.37"/>
        <n v="6213.07"/>
        <n v="6231.36"/>
        <n v="6243.51"/>
        <n v="6268.24"/>
        <n v="6274.65"/>
        <n v="6293.45"/>
        <n v="6309.28"/>
        <n v="6353.09"/>
        <n v="6361.71"/>
        <n v="6370.34"/>
        <n v="6384.9"/>
        <n v="6387.01"/>
        <n v="6418.83"/>
        <n v="6422.54"/>
        <n v="6434.83"/>
        <n v="6480.05"/>
        <n v="6556.02"/>
        <n v="6558.62"/>
        <n v="6615.43"/>
        <n v="6680.85"/>
        <n v="6691.34"/>
        <n v="6725.58"/>
        <n v="6731.28"/>
        <n v="6768.4"/>
        <n v="6773.46"/>
        <n v="6785.22"/>
        <n v="6796.25"/>
        <n v="6802.92"/>
        <n v="6838.02"/>
        <n v="6871.33"/>
        <n v="6874.17"/>
        <n v="6877.08"/>
        <n v="6887.69"/>
        <n v="6895.4"/>
        <n v="6927.05"/>
        <n v="6929.29"/>
        <n v="6931.75"/>
        <n v="6939.21"/>
        <n v="6963.81"/>
        <n v="6964.02"/>
        <n v="6995.36"/>
        <n v="7056.3"/>
        <n v="7075.32"/>
        <n v="7091.31"/>
        <n v="7111.52"/>
        <n v="7148.02"/>
        <n v="7182.53"/>
        <n v="7196.05"/>
        <n v="7229.24"/>
        <n v="7241.16"/>
        <n v="7303.25"/>
        <n v="7327.12"/>
        <n v="7338.65"/>
        <n v="7363.64"/>
        <n v="7397.29"/>
        <n v="7399.96"/>
        <n v="7411.6"/>
        <n v="7413.06"/>
        <n v="7428.88"/>
        <n v="7431.47"/>
        <n v="7448.47"/>
        <n v="7474.94"/>
        <n v="7502.29"/>
        <n v="7502.72"/>
        <n v="7510.74"/>
        <n v="7511.81"/>
        <n v="7517.08"/>
        <n v="7524.36"/>
        <n v="7526.54"/>
        <n v="7535.16"/>
        <n v="7540.53"/>
        <n v="7575.98"/>
        <n v="7577.67"/>
        <n v="7610.26"/>
        <n v="7653.01"/>
        <n v="7683.05"/>
        <n v="7730"/>
        <n v="7756.16"/>
        <n v="7756.65"/>
        <n v="7787.28"/>
        <n v="7921.02"/>
        <n v="7983.95"/>
        <n v="8058.92"/>
        <n v="8092.53"/>
        <n v="8121.2"/>
        <n v="8122.76"/>
        <n v="8132.59"/>
        <n v="8234.05"/>
        <n v="8320.51"/>
        <n v="8330.63"/>
        <n v="8336.32"/>
        <n v="8343.17"/>
        <n v="8363.29"/>
        <n v="8377.68"/>
        <n v="8387.93"/>
        <n v="8422.64"/>
        <n v="8466.51"/>
        <n v="8469.63"/>
        <n v="8472.09"/>
        <n v="8496.51"/>
        <n v="8514.36"/>
        <n v="8519.05"/>
        <n v="8565.7"/>
        <n v="8762.44"/>
        <n v="8779.34"/>
        <n v="8822.62"/>
        <n v="8841.33"/>
        <n v="8880.18"/>
        <n v="8948.79"/>
        <n v="8961.42"/>
        <n v="9004.42"/>
        <n v="9074"/>
        <n v="9094.88"/>
        <n v="9097.05"/>
        <n v="9110.92"/>
        <n v="9182.68"/>
        <n v="9206.38"/>
        <n v="9210.36"/>
        <n v="9242.75"/>
        <n v="9276.39"/>
        <n v="9360.11"/>
        <n v="9402.12"/>
        <n v="9407.73"/>
        <n v="9489.49"/>
        <n v="9565.79"/>
        <n v="9700.48"/>
        <n v="9707.63"/>
        <n v="9733.03"/>
        <n v="9761.07"/>
        <n v="9833.7"/>
        <n v="9950.27"/>
        <n v="10004.48"/>
        <n v="10071.08"/>
        <n v="10089.33"/>
        <n v="10173.17"/>
        <n v="10197.01"/>
        <n v="10225.3"/>
        <n v="10239.03"/>
        <n v="10261.54"/>
        <n v="10290.93"/>
        <n v="10305.65"/>
        <n v="10309.5"/>
        <n v="10430.77"/>
        <n v="10446.79"/>
        <n v="10460.56"/>
        <n v="10507.96"/>
        <n v="10696.54"/>
        <n v="10730.57"/>
        <n v="10758.81"/>
        <n v="10800.74"/>
        <n v="10881.06"/>
        <n v="10891.9"/>
        <n v="10912.33"/>
        <n v="10973.94"/>
        <n v="11141.61"/>
        <n v="11177.71"/>
        <n v="11360.88"/>
        <n v="11428.89"/>
        <n v="11569.48"/>
        <n v="11622.22"/>
        <n v="11765.73"/>
        <n v="11790.4"/>
        <n v="11826.44"/>
        <n v="11931.69"/>
        <n v="12108.37"/>
        <n v="12147.43"/>
        <n v="12219.11"/>
        <n v="12219.89"/>
        <n v="12240.9"/>
        <n v="12254.43"/>
        <n v="12263.75"/>
        <n v="12266.55"/>
        <n v="12273.09"/>
        <n v="12306.18"/>
        <n v="12328.75"/>
        <n v="12640.76"/>
        <n v="12743.51"/>
        <n v="12808.29"/>
        <n v="12816.19"/>
        <n v="12827.16"/>
        <n v="12904.07"/>
        <n v="12973.99"/>
        <n v="12995.1"/>
        <n v="13103.45"/>
        <n v="13310.98"/>
        <n v="13437.25"/>
        <n v="13549.9"/>
        <n v="13577.98"/>
        <n v="13652.52"/>
        <n v="13797.17"/>
        <n v="13804.66"/>
        <n v="13997.3"/>
        <n v="14000.26"/>
        <n v="14029.33"/>
        <n v="14049.93"/>
        <n v="14079.02"/>
        <n v="14114.82"/>
        <n v="14142.68"/>
        <n v="14338.89"/>
        <n v="14377.89"/>
        <n v="14422.21"/>
        <n v="14503.57"/>
        <n v="14542.75"/>
        <n v="14560.25"/>
        <n v="14594.82"/>
        <n v="14644.22"/>
        <n v="14714.67"/>
        <n v="14757.02"/>
        <n v="14775.05"/>
        <n v="14802.03"/>
        <n v="14810.67"/>
        <n v="14907.99"/>
        <n v="14911.88"/>
        <n v="14996.74"/>
        <n v="15029.48"/>
        <n v="15037.89"/>
        <n v="15068.04"/>
        <n v="15069.07"/>
        <n v="15196.04"/>
        <n v="15344.34"/>
        <n v="15476.84"/>
        <n v="15510.89"/>
        <n v="15701.65"/>
        <n v="15740.7"/>
        <n v="15855.22"/>
        <n v="15924.17"/>
        <n v="15935.15"/>
        <n v="16052.38"/>
        <n v="16142.94"/>
        <n v="16162.92"/>
        <n v="16195.24"/>
        <n v="16208.45"/>
        <n v="16235.2"/>
        <n v="16237.01"/>
        <n v="16238.01"/>
        <n v="16260.55"/>
        <n v="16292.15"/>
        <n v="16384.02"/>
        <n v="16479.48"/>
        <n v="16514.31"/>
        <n v="16527.88"/>
        <n v="16577.17"/>
        <n v="16733.13"/>
        <n v="16844.79"/>
        <n v="16888.12"/>
        <n v="16895.15"/>
        <n v="16925.79"/>
        <n v="16936.41"/>
        <n v="16946.14"/>
        <n v="17102.57"/>
        <n v="17152.72"/>
        <n v="17198.33"/>
        <n v="17260.06"/>
        <n v="17390.39"/>
        <n v="17492.41"/>
        <n v="17517.29"/>
        <n v="17687.2"/>
        <n v="17757.71"/>
        <n v="17933.32"/>
        <n v="18018.9"/>
        <n v="18047.7"/>
        <n v="18050.64"/>
        <n v="18084.28"/>
        <n v="18217.05"/>
        <n v="18430.98"/>
        <n v="18547.85"/>
        <n v="18616.12"/>
        <n v="18706.02"/>
        <n v="18787.81"/>
        <n v="18816.74"/>
        <n v="18892.15"/>
        <n v="18971.43"/>
        <n v="19066.72"/>
        <n v="19246.06"/>
        <n v="19359.04"/>
        <n v="19377.16"/>
        <n v="19454.4"/>
        <n v="19607.01"/>
        <n v="19742.16"/>
        <n v="19826.13"/>
        <n v="19848.07"/>
        <n v="19864.7"/>
        <n v="19905.7"/>
        <n v="19924.23"/>
        <n v="19926.48"/>
        <n v="19939.84"/>
        <n v="20020.12"/>
        <n v="20024.9"/>
        <n v="20103.97"/>
        <n v="20119.28"/>
        <n v="20133.41"/>
        <n v="20209.42"/>
        <n v="20238.81"/>
        <n v="20259.13"/>
        <n v="20315.79"/>
        <n v="20346.82"/>
        <n v="20434.75"/>
        <n v="20477.43"/>
        <n v="20518.21"/>
        <n v="20558.45"/>
        <n v="20563.42"/>
        <n v="20577"/>
        <n v="20580.71"/>
        <n v="20926.64"/>
        <n v="20951.84"/>
        <n v="20966.3"/>
        <n v="21013.2"/>
        <n v="21153.03"/>
        <n v="21317.47"/>
        <n v="21327.05"/>
        <n v="21351.04"/>
        <n v="21355.15"/>
        <n v="21375.67"/>
        <n v="21455.95"/>
        <n v="21577.41"/>
        <n v="21599.63"/>
        <n v="21669.59"/>
        <n v="21704.93"/>
        <n v="21769.7"/>
        <n v="21833.54"/>
        <n v="21834"/>
        <n v="21972.47"/>
        <n v="22227.33"/>
        <n v="22266.83"/>
        <n v="22355.73"/>
        <n v="22441.89"/>
        <n v="22470.45"/>
        <n v="22484.45"/>
        <n v="22497.44"/>
        <n v="22584.76"/>
        <n v="22663.9"/>
        <n v="22718.65"/>
        <n v="22737.25"/>
        <n v="22781.22"/>
        <n v="22862.95"/>
        <n v="22887.83"/>
        <n v="22943.5"/>
        <n v="22972.22"/>
        <n v="22998.05"/>
        <n v="23050.23"/>
        <n v="23130.42"/>
        <n v="23132.38"/>
        <n v="23362.41"/>
        <n v="23459.81"/>
        <n v="23503.95"/>
        <n v="23557.42"/>
        <n v="23784.21"/>
        <n v="23831.36"/>
        <n v="23904.96"/>
        <n v="23963.22"/>
        <n v="24005.53"/>
        <n v="24064.04"/>
        <n v="24141.47"/>
        <n v="24158.56"/>
        <n v="24229.22"/>
        <n v="24261.42"/>
        <n v="24291.11"/>
        <n v="24291.47"/>
        <n v="24307.23"/>
        <n v="24358.96"/>
        <n v="24378.23"/>
        <n v="24415.55"/>
        <n v="24685.72"/>
        <n v="24711.55"/>
        <n v="24720.07"/>
        <n v="24725.39"/>
        <n v="24929.56"/>
        <n v="24931.02"/>
        <n v="24933.51"/>
        <n v="24938.34"/>
        <n v="25021.13"/>
        <n v="25059.18"/>
        <n v="25083.68"/>
        <n v="25098.95"/>
        <n v="25150.87"/>
        <n v="25208.46"/>
        <n v="25210.21"/>
        <n v="25260.73"/>
        <n v="25296.94"/>
        <n v="25378"/>
        <n v="25381.93"/>
        <n v="25392.04"/>
        <n v="25443.57"/>
        <n v="25518.25"/>
        <n v="25573.99"/>
        <n v="25622.86"/>
        <n v="25624.43"/>
        <n v="25661.17"/>
        <n v="25666.28"/>
        <n v="26097.6"/>
        <n v="26215.19"/>
        <n v="26316.38"/>
        <n v="26375.37"/>
        <n v="26516.27"/>
        <n v="26542.31"/>
        <n v="26573.81"/>
        <n v="26672.27"/>
        <n v="26674.19"/>
        <n v="26676.56"/>
        <n v="26810.48"/>
        <n v="27094.96"/>
        <n v="27132.11"/>
        <n v="27174.9"/>
        <n v="27219.53"/>
        <n v="27303.39"/>
        <n v="27304.28"/>
        <n v="27305.08"/>
        <n v="27395.09"/>
        <n v="27471.34"/>
        <n v="27539.18"/>
        <n v="27556.8"/>
        <n v="27827.85"/>
        <n v="28126.55"/>
        <n v="28186.18"/>
        <n v="28235.97"/>
        <n v="28251.21"/>
        <n v="28383.99"/>
        <n v="28429.13"/>
        <n v="28438.37"/>
        <n v="28476.76"/>
        <n v="28493.55"/>
        <n v="28537.49"/>
        <n v="28548.17"/>
        <n v="28576.85"/>
        <n v="28706.09"/>
        <n v="28717.76"/>
        <n v="28767.06"/>
        <n v="28841.81"/>
        <n v="28847.97"/>
        <n v="28976.74"/>
        <n v="28980.4"/>
        <n v="28999.18"/>
        <n v="29015.77"/>
        <n v="29065.37"/>
        <n v="29077.47"/>
        <n v="29128.43"/>
        <n v="29165.91"/>
        <n v="29200.48"/>
        <n v="29242.05"/>
        <n v="29294.97"/>
        <n v="29327.82"/>
        <n v="29339.14"/>
        <n v="29390.25"/>
        <n v="29398.38"/>
        <n v="29429.16"/>
        <n v="29559.75"/>
        <n v="29597.46"/>
        <n v="29603.21"/>
        <n v="29622.43"/>
        <n v="29681.87"/>
        <n v="29738.54"/>
        <n v="29761.96"/>
        <n v="29832.93"/>
        <n v="29961.73"/>
        <n v="30086.77"/>
        <n v="30103.61"/>
        <n v="30180.42"/>
        <n v="30191.47"/>
        <n v="30211.77"/>
        <n v="30317.16"/>
        <n v="30331.01"/>
        <n v="30380.03"/>
        <n v="30452.56"/>
        <n v="30491.07"/>
        <n v="30512.11"/>
        <n v="30604"/>
        <n v="30636.76"/>
        <n v="30791.4"/>
        <n v="30791.91"/>
        <n v="30831.97"/>
        <n v="30891.28"/>
        <n v="30937.43"/>
        <n v="30974.1"/>
        <n v="31032.67"/>
        <n v="31116.4"/>
        <n v="31206.36"/>
        <n v="31223.23"/>
        <n v="31270.2"/>
        <n v="31289.28"/>
        <n v="31365.59"/>
        <n v="31471.98"/>
        <n v="31542.98"/>
        <n v="31556.57"/>
        <n v="31620.76"/>
        <n v="31677.62"/>
        <n v="31681.69"/>
        <n v="31684.24"/>
        <n v="31803.77"/>
        <n v="31933.62"/>
        <n v="31940.13"/>
        <n v="32106.82"/>
        <n v="32358.97"/>
        <n v="32400.31"/>
        <n v="32520.13"/>
        <n v="32521.94"/>
        <n v="32630.01"/>
        <n v="32642.71"/>
        <n v="32823.59"/>
        <n v="32832.35"/>
        <n v="32888.73"/>
        <n v="32987.64"/>
        <n v="33023.29"/>
        <n v="33067.61"/>
        <n v="33100.75"/>
        <n v="33126.5"/>
        <n v="33156.25"/>
        <n v="33190"/>
        <n v="33310.51"/>
        <n v="33329.12"/>
        <n v="33391.6"/>
        <n v="33507.54"/>
        <n v="33547.31"/>
        <n v="33561.7"/>
        <n v="33605.33"/>
        <n v="33644.65"/>
        <n v="33679.5"/>
        <n v="33866.41"/>
        <n v="33899.04"/>
        <n v="33946.65"/>
        <n v="34011.91"/>
        <n v="34125.33"/>
        <n v="34138.39"/>
        <n v="34140.31"/>
        <n v="34167.46"/>
        <n v="34235.68"/>
        <n v="34314.76"/>
        <n v="34352.45"/>
        <n v="34415.08"/>
        <n v="34502.94"/>
        <n v="34554.17"/>
        <n v="34623.5"/>
        <n v="34728.64"/>
        <n v="34741.19"/>
        <n v="34746.45"/>
        <n v="34766.31"/>
        <n v="34810.86"/>
        <n v="34822.26"/>
        <n v="34948.43"/>
        <n v="35050.96"/>
        <n v="35228.98"/>
        <n v="35248.58"/>
        <n v="35353.42"/>
        <n v="35560.88"/>
        <n v="35575.11"/>
        <n v="35696.23"/>
        <n v="35800.25"/>
        <n v="35941.44"/>
        <n v="35992.68"/>
        <n v="36164.44"/>
        <n v="36355.25"/>
        <n v="36463.44"/>
        <n v="36525.71"/>
        <n v="36537.65"/>
        <n v="36540.06"/>
        <n v="36714.48"/>
        <n v="36924.37"/>
        <n v="37011.31"/>
        <n v="37011.38"/>
        <n v="37058.45"/>
        <n v="37397.5"/>
        <n v="37432.24"/>
        <n v="37658.26"/>
        <n v="37725.27"/>
        <n v="37871.47"/>
        <n v="38194.02"/>
        <n v="38220.39"/>
        <n v="38227.56"/>
        <n v="38265.33"/>
        <n v="38383.65"/>
        <n v="38455.38"/>
        <n v="38679.6"/>
        <n v="38700.81"/>
        <n v="38775.82"/>
        <n v="38780.08"/>
        <n v="38790.35"/>
        <n v="38825.51"/>
        <n v="39009.39"/>
        <n v="39088.34"/>
        <n v="39381.47"/>
        <n v="39513.68"/>
        <n v="39646.31"/>
        <n v="39756.14"/>
        <n v="39860.44"/>
        <n v="39920.67"/>
        <n v="40112.39"/>
        <n v="40127.16"/>
        <n v="40362.18"/>
        <n v="40657.38"/>
        <n v="40684.56"/>
        <n v="40823.77"/>
        <n v="40954.72"/>
        <n v="40997.79"/>
        <n v="41669.56"/>
        <n v="41705.5"/>
        <n v="41811.75"/>
        <n v="41955.46"/>
        <n v="42012.57"/>
        <n v="42609.09"/>
        <n v="42813.94"/>
        <n v="43041.12"/>
        <n v="43097.19"/>
        <n v="43149.56"/>
        <n v="43484.94"/>
        <n v="43633.19"/>
        <n v="44324.54"/>
        <n v="45244.92"/>
        <n v="45443.86"/>
        <n v="46171.89"/>
        <n v="46317.06"/>
      </sharedItems>
    </cacheField>
    <cacheField name="Claim_Status" numFmtId="0">
      <sharedItems count="4">
        <s v="Cancelled"/>
        <s v="Denied"/>
        <s v="Paid"/>
        <s v="Pending"/>
      </sharedItems>
    </cacheField>
    <cacheField name="Denial_Reason" numFmtId="0">
      <sharedItems containsBlank="1" count="6">
        <s v="Duplicate Claim"/>
        <s v="Eligibility Issue"/>
        <s v="Invalid Procedure Code"/>
        <s v="Missing Documentation"/>
        <s v="Out of Network"/>
        <m/>
      </sharedItems>
    </cacheField>
    <cacheField name="Processing_Days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Priority" numFmtId="0">
      <sharedItems count="3">
        <s v="High"/>
        <s v="Low"/>
        <s v="Medium"/>
      </sharedItems>
    </cacheField>
    <cacheField name="Region" numFmtId="0">
      <sharedItems count="7">
        <s v="Delhi"/>
        <s v="Haryana"/>
        <s v="Karnataka"/>
        <s v="Maharashtra"/>
        <s v="Tamil Nadu"/>
        <s v="Telangana"/>
        <s v="Uttar Pradesh"/>
      </sharedItems>
    </cacheField>
    <cacheField name="Payment_Date" numFmtId="0">
      <sharedItems containsNonDate="0" containsDate="1" containsString="0" containsBlank="1" minDate="2026-01-05T00:00:00" maxDate="2026-08-10T00:00:00" count="214">
        <d v="2026-01-05T00:00:00"/>
        <d v="2026-01-06T00:00:00"/>
        <d v="2026-01-07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">
  <r>
    <x v="0"/>
    <x v="44"/>
    <x v="12"/>
    <x v="56"/>
    <x v="59"/>
    <x v="58"/>
    <x v="0"/>
    <x v="685"/>
    <x v="1047"/>
    <x v="1101"/>
    <x v="1232"/>
    <x v="690"/>
    <x v="841"/>
    <x v="2"/>
    <x v="5"/>
    <x v="6"/>
    <x v="1"/>
    <x v="2"/>
    <x v="59"/>
  </r>
  <r>
    <x v="1"/>
    <x v="156"/>
    <x v="45"/>
    <x v="64"/>
    <x v="198"/>
    <x v="194"/>
    <x v="2"/>
    <x v="108"/>
    <x v="1326"/>
    <x v="1220"/>
    <x v="1241"/>
    <x v="0"/>
    <x v="1393"/>
    <x v="1"/>
    <x v="2"/>
    <x v="2"/>
    <x v="1"/>
    <x v="0"/>
    <x v="213"/>
  </r>
  <r>
    <x v="2"/>
    <x v="25"/>
    <x v="23"/>
    <x v="90"/>
    <x v="45"/>
    <x v="44"/>
    <x v="0"/>
    <x v="229"/>
    <x v="962"/>
    <x v="294"/>
    <x v="246"/>
    <x v="0"/>
    <x v="928"/>
    <x v="1"/>
    <x v="0"/>
    <x v="0"/>
    <x v="2"/>
    <x v="5"/>
    <x v="213"/>
  </r>
  <r>
    <x v="3"/>
    <x v="224"/>
    <x v="11"/>
    <x v="60"/>
    <x v="106"/>
    <x v="101"/>
    <x v="3"/>
    <x v="286"/>
    <x v="439"/>
    <x v="1006"/>
    <x v="924"/>
    <x v="0"/>
    <x v="1255"/>
    <x v="1"/>
    <x v="4"/>
    <x v="7"/>
    <x v="2"/>
    <x v="4"/>
    <x v="213"/>
  </r>
  <r>
    <x v="4"/>
    <x v="111"/>
    <x v="41"/>
    <x v="28"/>
    <x v="176"/>
    <x v="176"/>
    <x v="0"/>
    <x v="224"/>
    <x v="1051"/>
    <x v="546"/>
    <x v="477"/>
    <x v="271"/>
    <x v="336"/>
    <x v="2"/>
    <x v="5"/>
    <x v="3"/>
    <x v="1"/>
    <x v="0"/>
    <x v="172"/>
  </r>
  <r>
    <x v="5"/>
    <x v="112"/>
    <x v="16"/>
    <x v="77"/>
    <x v="204"/>
    <x v="199"/>
    <x v="3"/>
    <x v="591"/>
    <x v="722"/>
    <x v="1368"/>
    <x v="1399"/>
    <x v="820"/>
    <x v="684"/>
    <x v="2"/>
    <x v="5"/>
    <x v="0"/>
    <x v="2"/>
    <x v="2"/>
    <x v="197"/>
  </r>
  <r>
    <x v="6"/>
    <x v="295"/>
    <x v="6"/>
    <x v="0"/>
    <x v="92"/>
    <x v="89"/>
    <x v="3"/>
    <x v="462"/>
    <x v="741"/>
    <x v="656"/>
    <x v="724"/>
    <x v="464"/>
    <x v="233"/>
    <x v="2"/>
    <x v="5"/>
    <x v="6"/>
    <x v="2"/>
    <x v="4"/>
    <x v="91"/>
  </r>
  <r>
    <x v="7"/>
    <x v="149"/>
    <x v="12"/>
    <x v="19"/>
    <x v="30"/>
    <x v="27"/>
    <x v="0"/>
    <x v="43"/>
    <x v="1038"/>
    <x v="1479"/>
    <x v="1454"/>
    <x v="858"/>
    <x v="329"/>
    <x v="2"/>
    <x v="5"/>
    <x v="4"/>
    <x v="1"/>
    <x v="3"/>
    <x v="29"/>
  </r>
  <r>
    <x v="8"/>
    <x v="210"/>
    <x v="25"/>
    <x v="49"/>
    <x v="175"/>
    <x v="174"/>
    <x v="1"/>
    <x v="484"/>
    <x v="505"/>
    <x v="970"/>
    <x v="1185"/>
    <x v="0"/>
    <x v="1367"/>
    <x v="3"/>
    <x v="5"/>
    <x v="7"/>
    <x v="2"/>
    <x v="4"/>
    <x v="213"/>
  </r>
  <r>
    <x v="9"/>
    <x v="179"/>
    <x v="32"/>
    <x v="38"/>
    <x v="183"/>
    <x v="182"/>
    <x v="0"/>
    <x v="700"/>
    <x v="482"/>
    <x v="946"/>
    <x v="954"/>
    <x v="0"/>
    <x v="1272"/>
    <x v="3"/>
    <x v="5"/>
    <x v="13"/>
    <x v="2"/>
    <x v="0"/>
    <x v="213"/>
  </r>
  <r>
    <x v="10"/>
    <x v="168"/>
    <x v="41"/>
    <x v="11"/>
    <x v="121"/>
    <x v="120"/>
    <x v="0"/>
    <x v="293"/>
    <x v="587"/>
    <x v="1066"/>
    <x v="1133"/>
    <x v="0"/>
    <x v="1341"/>
    <x v="3"/>
    <x v="5"/>
    <x v="5"/>
    <x v="1"/>
    <x v="1"/>
    <x v="213"/>
  </r>
  <r>
    <x v="11"/>
    <x v="58"/>
    <x v="30"/>
    <x v="6"/>
    <x v="81"/>
    <x v="78"/>
    <x v="1"/>
    <x v="391"/>
    <x v="518"/>
    <x v="462"/>
    <x v="429"/>
    <x v="0"/>
    <x v="1063"/>
    <x v="1"/>
    <x v="0"/>
    <x v="4"/>
    <x v="1"/>
    <x v="0"/>
    <x v="213"/>
  </r>
  <r>
    <x v="12"/>
    <x v="171"/>
    <x v="26"/>
    <x v="72"/>
    <x v="177"/>
    <x v="174"/>
    <x v="2"/>
    <x v="115"/>
    <x v="835"/>
    <x v="585"/>
    <x v="683"/>
    <x v="340"/>
    <x v="704"/>
    <x v="2"/>
    <x v="5"/>
    <x v="3"/>
    <x v="1"/>
    <x v="6"/>
    <x v="173"/>
  </r>
  <r>
    <x v="13"/>
    <x v="227"/>
    <x v="17"/>
    <x v="26"/>
    <x v="199"/>
    <x v="199"/>
    <x v="0"/>
    <x v="477"/>
    <x v="418"/>
    <x v="931"/>
    <x v="816"/>
    <x v="498"/>
    <x v="446"/>
    <x v="2"/>
    <x v="5"/>
    <x v="0"/>
    <x v="2"/>
    <x v="1"/>
    <x v="192"/>
  </r>
  <r>
    <x v="14"/>
    <x v="192"/>
    <x v="0"/>
    <x v="4"/>
    <x v="195"/>
    <x v="195"/>
    <x v="0"/>
    <x v="608"/>
    <x v="969"/>
    <x v="608"/>
    <x v="603"/>
    <x v="331"/>
    <x v="505"/>
    <x v="2"/>
    <x v="5"/>
    <x v="7"/>
    <x v="0"/>
    <x v="3"/>
    <x v="195"/>
  </r>
  <r>
    <x v="15"/>
    <x v="156"/>
    <x v="8"/>
    <x v="13"/>
    <x v="197"/>
    <x v="193"/>
    <x v="2"/>
    <x v="414"/>
    <x v="806"/>
    <x v="999"/>
    <x v="1071"/>
    <x v="589"/>
    <x v="823"/>
    <x v="2"/>
    <x v="5"/>
    <x v="5"/>
    <x v="0"/>
    <x v="0"/>
    <x v="195"/>
  </r>
  <r>
    <x v="16"/>
    <x v="218"/>
    <x v="43"/>
    <x v="17"/>
    <x v="210"/>
    <x v="210"/>
    <x v="3"/>
    <x v="402"/>
    <x v="935"/>
    <x v="406"/>
    <x v="453"/>
    <x v="258"/>
    <x v="307"/>
    <x v="2"/>
    <x v="5"/>
    <x v="5"/>
    <x v="0"/>
    <x v="6"/>
    <x v="207"/>
  </r>
  <r>
    <x v="17"/>
    <x v="254"/>
    <x v="10"/>
    <x v="15"/>
    <x v="210"/>
    <x v="207"/>
    <x v="3"/>
    <x v="590"/>
    <x v="108"/>
    <x v="326"/>
    <x v="385"/>
    <x v="200"/>
    <x v="468"/>
    <x v="2"/>
    <x v="5"/>
    <x v="0"/>
    <x v="2"/>
    <x v="4"/>
    <x v="202"/>
  </r>
  <r>
    <x v="18"/>
    <x v="10"/>
    <x v="3"/>
    <x v="88"/>
    <x v="69"/>
    <x v="65"/>
    <x v="1"/>
    <x v="344"/>
    <x v="1138"/>
    <x v="866"/>
    <x v="709"/>
    <x v="0"/>
    <x v="1171"/>
    <x v="3"/>
    <x v="5"/>
    <x v="4"/>
    <x v="2"/>
    <x v="0"/>
    <x v="213"/>
  </r>
  <r>
    <x v="19"/>
    <x v="211"/>
    <x v="42"/>
    <x v="12"/>
    <x v="142"/>
    <x v="140"/>
    <x v="3"/>
    <x v="516"/>
    <x v="351"/>
    <x v="217"/>
    <x v="245"/>
    <x v="138"/>
    <x v="178"/>
    <x v="2"/>
    <x v="5"/>
    <x v="4"/>
    <x v="2"/>
    <x v="1"/>
    <x v="139"/>
  </r>
  <r>
    <x v="20"/>
    <x v="250"/>
    <x v="12"/>
    <x v="77"/>
    <x v="30"/>
    <x v="26"/>
    <x v="0"/>
    <x v="648"/>
    <x v="691"/>
    <x v="165"/>
    <x v="137"/>
    <x v="0"/>
    <x v="730"/>
    <x v="3"/>
    <x v="5"/>
    <x v="4"/>
    <x v="1"/>
    <x v="6"/>
    <x v="213"/>
  </r>
  <r>
    <x v="21"/>
    <x v="166"/>
    <x v="15"/>
    <x v="0"/>
    <x v="96"/>
    <x v="91"/>
    <x v="1"/>
    <x v="557"/>
    <x v="239"/>
    <x v="232"/>
    <x v="241"/>
    <x v="151"/>
    <x v="43"/>
    <x v="2"/>
    <x v="5"/>
    <x v="7"/>
    <x v="0"/>
    <x v="1"/>
    <x v="96"/>
  </r>
  <r>
    <x v="22"/>
    <x v="129"/>
    <x v="41"/>
    <x v="29"/>
    <x v="151"/>
    <x v="146"/>
    <x v="2"/>
    <x v="246"/>
    <x v="694"/>
    <x v="1423"/>
    <x v="1461"/>
    <x v="780"/>
    <x v="1016"/>
    <x v="2"/>
    <x v="5"/>
    <x v="1"/>
    <x v="2"/>
    <x v="0"/>
    <x v="145"/>
  </r>
  <r>
    <x v="23"/>
    <x v="57"/>
    <x v="6"/>
    <x v="97"/>
    <x v="26"/>
    <x v="25"/>
    <x v="1"/>
    <x v="8"/>
    <x v="358"/>
    <x v="1265"/>
    <x v="1215"/>
    <x v="0"/>
    <x v="1381"/>
    <x v="1"/>
    <x v="0"/>
    <x v="5"/>
    <x v="1"/>
    <x v="4"/>
    <x v="213"/>
  </r>
  <r>
    <x v="24"/>
    <x v="186"/>
    <x v="21"/>
    <x v="23"/>
    <x v="45"/>
    <x v="43"/>
    <x v="1"/>
    <x v="331"/>
    <x v="1025"/>
    <x v="619"/>
    <x v="659"/>
    <x v="427"/>
    <x v="160"/>
    <x v="2"/>
    <x v="5"/>
    <x v="1"/>
    <x v="2"/>
    <x v="3"/>
    <x v="40"/>
  </r>
  <r>
    <x v="25"/>
    <x v="65"/>
    <x v="44"/>
    <x v="92"/>
    <x v="103"/>
    <x v="98"/>
    <x v="1"/>
    <x v="702"/>
    <x v="423"/>
    <x v="1193"/>
    <x v="1272"/>
    <x v="0"/>
    <x v="1406"/>
    <x v="1"/>
    <x v="2"/>
    <x v="2"/>
    <x v="0"/>
    <x v="2"/>
    <x v="213"/>
  </r>
  <r>
    <x v="26"/>
    <x v="14"/>
    <x v="43"/>
    <x v="93"/>
    <x v="154"/>
    <x v="151"/>
    <x v="0"/>
    <x v="398"/>
    <x v="1252"/>
    <x v="1002"/>
    <x v="891"/>
    <x v="0"/>
    <x v="1240"/>
    <x v="1"/>
    <x v="1"/>
    <x v="6"/>
    <x v="0"/>
    <x v="2"/>
    <x v="213"/>
  </r>
  <r>
    <x v="27"/>
    <x v="169"/>
    <x v="33"/>
    <x v="66"/>
    <x v="112"/>
    <x v="112"/>
    <x v="1"/>
    <x v="357"/>
    <x v="646"/>
    <x v="969"/>
    <x v="786"/>
    <x v="513"/>
    <x v="197"/>
    <x v="2"/>
    <x v="5"/>
    <x v="3"/>
    <x v="2"/>
    <x v="3"/>
    <x v="108"/>
  </r>
  <r>
    <x v="28"/>
    <x v="27"/>
    <x v="0"/>
    <x v="82"/>
    <x v="174"/>
    <x v="169"/>
    <x v="0"/>
    <x v="416"/>
    <x v="1205"/>
    <x v="212"/>
    <x v="248"/>
    <x v="0"/>
    <x v="931"/>
    <x v="3"/>
    <x v="5"/>
    <x v="12"/>
    <x v="2"/>
    <x v="1"/>
    <x v="213"/>
  </r>
  <r>
    <x v="29"/>
    <x v="255"/>
    <x v="14"/>
    <x v="70"/>
    <x v="42"/>
    <x v="42"/>
    <x v="2"/>
    <x v="332"/>
    <x v="611"/>
    <x v="445"/>
    <x v="427"/>
    <x v="0"/>
    <x v="1061"/>
    <x v="1"/>
    <x v="2"/>
    <x v="4"/>
    <x v="0"/>
    <x v="2"/>
    <x v="213"/>
  </r>
  <r>
    <x v="30"/>
    <x v="9"/>
    <x v="6"/>
    <x v="51"/>
    <x v="117"/>
    <x v="113"/>
    <x v="2"/>
    <x v="25"/>
    <x v="1389"/>
    <x v="1270"/>
    <x v="1265"/>
    <x v="667"/>
    <x v="946"/>
    <x v="2"/>
    <x v="5"/>
    <x v="7"/>
    <x v="0"/>
    <x v="1"/>
    <x v="117"/>
  </r>
  <r>
    <x v="31"/>
    <x v="229"/>
    <x v="21"/>
    <x v="46"/>
    <x v="27"/>
    <x v="23"/>
    <x v="1"/>
    <x v="681"/>
    <x v="585"/>
    <x v="943"/>
    <x v="1115"/>
    <x v="0"/>
    <x v="1333"/>
    <x v="0"/>
    <x v="5"/>
    <x v="3"/>
    <x v="2"/>
    <x v="3"/>
    <x v="213"/>
  </r>
  <r>
    <x v="32"/>
    <x v="56"/>
    <x v="6"/>
    <x v="97"/>
    <x v="147"/>
    <x v="143"/>
    <x v="0"/>
    <x v="2"/>
    <x v="894"/>
    <x v="1056"/>
    <x v="1027"/>
    <x v="0"/>
    <x v="1295"/>
    <x v="3"/>
    <x v="5"/>
    <x v="10"/>
    <x v="2"/>
    <x v="1"/>
    <x v="213"/>
  </r>
  <r>
    <x v="33"/>
    <x v="69"/>
    <x v="45"/>
    <x v="95"/>
    <x v="164"/>
    <x v="162"/>
    <x v="2"/>
    <x v="85"/>
    <x v="667"/>
    <x v="520"/>
    <x v="454"/>
    <x v="286"/>
    <x v="97"/>
    <x v="2"/>
    <x v="5"/>
    <x v="7"/>
    <x v="1"/>
    <x v="6"/>
    <x v="164"/>
  </r>
  <r>
    <x v="34"/>
    <x v="53"/>
    <x v="48"/>
    <x v="53"/>
    <x v="48"/>
    <x v="48"/>
    <x v="1"/>
    <x v="525"/>
    <x v="326"/>
    <x v="553"/>
    <x v="545"/>
    <x v="0"/>
    <x v="1112"/>
    <x v="1"/>
    <x v="1"/>
    <x v="3"/>
    <x v="2"/>
    <x v="2"/>
    <x v="213"/>
  </r>
  <r>
    <x v="35"/>
    <x v="279"/>
    <x v="27"/>
    <x v="74"/>
    <x v="172"/>
    <x v="168"/>
    <x v="2"/>
    <x v="418"/>
    <x v="472"/>
    <x v="193"/>
    <x v="186"/>
    <x v="0"/>
    <x v="853"/>
    <x v="0"/>
    <x v="5"/>
    <x v="0"/>
    <x v="1"/>
    <x v="5"/>
    <x v="213"/>
  </r>
  <r>
    <x v="36"/>
    <x v="192"/>
    <x v="26"/>
    <x v="77"/>
    <x v="49"/>
    <x v="44"/>
    <x v="0"/>
    <x v="229"/>
    <x v="1018"/>
    <x v="137"/>
    <x v="150"/>
    <x v="0"/>
    <x v="772"/>
    <x v="1"/>
    <x v="4"/>
    <x v="5"/>
    <x v="2"/>
    <x v="3"/>
    <x v="213"/>
  </r>
  <r>
    <x v="37"/>
    <x v="279"/>
    <x v="40"/>
    <x v="27"/>
    <x v="116"/>
    <x v="115"/>
    <x v="0"/>
    <x v="175"/>
    <x v="766"/>
    <x v="884"/>
    <x v="1043"/>
    <x v="629"/>
    <x v="642"/>
    <x v="2"/>
    <x v="5"/>
    <x v="5"/>
    <x v="1"/>
    <x v="3"/>
    <x v="114"/>
  </r>
  <r>
    <x v="38"/>
    <x v="57"/>
    <x v="48"/>
    <x v="45"/>
    <x v="173"/>
    <x v="172"/>
    <x v="2"/>
    <x v="483"/>
    <x v="1074"/>
    <x v="961"/>
    <x v="1165"/>
    <x v="0"/>
    <x v="1356"/>
    <x v="0"/>
    <x v="5"/>
    <x v="5"/>
    <x v="1"/>
    <x v="4"/>
    <x v="213"/>
  </r>
  <r>
    <x v="39"/>
    <x v="191"/>
    <x v="9"/>
    <x v="6"/>
    <x v="138"/>
    <x v="136"/>
    <x v="1"/>
    <x v="167"/>
    <x v="703"/>
    <x v="593"/>
    <x v="484"/>
    <x v="0"/>
    <x v="1081"/>
    <x v="1"/>
    <x v="2"/>
    <x v="1"/>
    <x v="0"/>
    <x v="3"/>
    <x v="213"/>
  </r>
  <r>
    <x v="40"/>
    <x v="179"/>
    <x v="28"/>
    <x v="13"/>
    <x v="176"/>
    <x v="174"/>
    <x v="0"/>
    <x v="618"/>
    <x v="1004"/>
    <x v="82"/>
    <x v="91"/>
    <x v="44"/>
    <x v="171"/>
    <x v="2"/>
    <x v="5"/>
    <x v="0"/>
    <x v="0"/>
    <x v="5"/>
    <x v="169"/>
  </r>
  <r>
    <x v="41"/>
    <x v="278"/>
    <x v="3"/>
    <x v="1"/>
    <x v="205"/>
    <x v="200"/>
    <x v="3"/>
    <x v="170"/>
    <x v="1134"/>
    <x v="982"/>
    <x v="1175"/>
    <x v="669"/>
    <x v="768"/>
    <x v="2"/>
    <x v="5"/>
    <x v="5"/>
    <x v="0"/>
    <x v="4"/>
    <x v="202"/>
  </r>
  <r>
    <x v="42"/>
    <x v="98"/>
    <x v="49"/>
    <x v="92"/>
    <x v="185"/>
    <x v="180"/>
    <x v="0"/>
    <x v="244"/>
    <x v="1149"/>
    <x v="1126"/>
    <x v="1170"/>
    <x v="0"/>
    <x v="1359"/>
    <x v="3"/>
    <x v="5"/>
    <x v="12"/>
    <x v="0"/>
    <x v="4"/>
    <x v="213"/>
  </r>
  <r>
    <x v="43"/>
    <x v="215"/>
    <x v="17"/>
    <x v="71"/>
    <x v="20"/>
    <x v="19"/>
    <x v="3"/>
    <x v="103"/>
    <x v="430"/>
    <x v="1082"/>
    <x v="946"/>
    <x v="0"/>
    <x v="1268"/>
    <x v="0"/>
    <x v="5"/>
    <x v="0"/>
    <x v="1"/>
    <x v="1"/>
    <x v="213"/>
  </r>
  <r>
    <x v="44"/>
    <x v="26"/>
    <x v="49"/>
    <x v="80"/>
    <x v="65"/>
    <x v="65"/>
    <x v="3"/>
    <x v="403"/>
    <x v="929"/>
    <x v="1051"/>
    <x v="928"/>
    <x v="474"/>
    <x v="815"/>
    <x v="2"/>
    <x v="5"/>
    <x v="5"/>
    <x v="0"/>
    <x v="1"/>
    <x v="64"/>
  </r>
  <r>
    <x v="45"/>
    <x v="208"/>
    <x v="34"/>
    <x v="68"/>
    <x v="183"/>
    <x v="181"/>
    <x v="2"/>
    <x v="74"/>
    <x v="910"/>
    <x v="1432"/>
    <x v="1401"/>
    <x v="839"/>
    <x v="450"/>
    <x v="2"/>
    <x v="5"/>
    <x v="2"/>
    <x v="0"/>
    <x v="6"/>
    <x v="178"/>
  </r>
  <r>
    <x v="46"/>
    <x v="283"/>
    <x v="48"/>
    <x v="83"/>
    <x v="171"/>
    <x v="169"/>
    <x v="1"/>
    <x v="91"/>
    <x v="904"/>
    <x v="412"/>
    <x v="490"/>
    <x v="287"/>
    <x v="313"/>
    <x v="2"/>
    <x v="5"/>
    <x v="7"/>
    <x v="2"/>
    <x v="6"/>
    <x v="171"/>
  </r>
  <r>
    <x v="47"/>
    <x v="56"/>
    <x v="24"/>
    <x v="32"/>
    <x v="168"/>
    <x v="164"/>
    <x v="3"/>
    <x v="16"/>
    <x v="1314"/>
    <x v="344"/>
    <x v="291"/>
    <x v="0"/>
    <x v="978"/>
    <x v="1"/>
    <x v="0"/>
    <x v="5"/>
    <x v="2"/>
    <x v="5"/>
    <x v="213"/>
  </r>
  <r>
    <x v="48"/>
    <x v="48"/>
    <x v="10"/>
    <x v="98"/>
    <x v="209"/>
    <x v="205"/>
    <x v="1"/>
    <x v="519"/>
    <x v="177"/>
    <x v="52"/>
    <x v="64"/>
    <x v="34"/>
    <x v="144"/>
    <x v="2"/>
    <x v="5"/>
    <x v="1"/>
    <x v="0"/>
    <x v="4"/>
    <x v="202"/>
  </r>
  <r>
    <x v="49"/>
    <x v="76"/>
    <x v="1"/>
    <x v="58"/>
    <x v="162"/>
    <x v="161"/>
    <x v="3"/>
    <x v="27"/>
    <x v="237"/>
    <x v="596"/>
    <x v="510"/>
    <x v="0"/>
    <x v="1095"/>
    <x v="1"/>
    <x v="2"/>
    <x v="6"/>
    <x v="0"/>
    <x v="0"/>
    <x v="213"/>
  </r>
  <r>
    <x v="50"/>
    <x v="226"/>
    <x v="40"/>
    <x v="51"/>
    <x v="47"/>
    <x v="45"/>
    <x v="2"/>
    <x v="264"/>
    <x v="55"/>
    <x v="838"/>
    <x v="754"/>
    <x v="403"/>
    <x v="685"/>
    <x v="2"/>
    <x v="5"/>
    <x v="6"/>
    <x v="2"/>
    <x v="4"/>
    <x v="47"/>
  </r>
  <r>
    <x v="51"/>
    <x v="36"/>
    <x v="22"/>
    <x v="64"/>
    <x v="34"/>
    <x v="30"/>
    <x v="1"/>
    <x v="241"/>
    <x v="791"/>
    <x v="1061"/>
    <x v="901"/>
    <x v="566"/>
    <x v="351"/>
    <x v="2"/>
    <x v="5"/>
    <x v="0"/>
    <x v="1"/>
    <x v="0"/>
    <x v="29"/>
  </r>
  <r>
    <x v="52"/>
    <x v="67"/>
    <x v="47"/>
    <x v="50"/>
    <x v="75"/>
    <x v="72"/>
    <x v="3"/>
    <x v="526"/>
    <x v="375"/>
    <x v="1222"/>
    <x v="1022"/>
    <x v="529"/>
    <x v="852"/>
    <x v="2"/>
    <x v="5"/>
    <x v="3"/>
    <x v="2"/>
    <x v="4"/>
    <x v="72"/>
  </r>
  <r>
    <x v="53"/>
    <x v="70"/>
    <x v="7"/>
    <x v="5"/>
    <x v="208"/>
    <x v="203"/>
    <x v="1"/>
    <x v="473"/>
    <x v="1012"/>
    <x v="1434"/>
    <x v="1186"/>
    <x v="0"/>
    <x v="1368"/>
    <x v="3"/>
    <x v="5"/>
    <x v="11"/>
    <x v="1"/>
    <x v="5"/>
    <x v="213"/>
  </r>
  <r>
    <x v="54"/>
    <x v="80"/>
    <x v="11"/>
    <x v="28"/>
    <x v="23"/>
    <x v="21"/>
    <x v="3"/>
    <x v="163"/>
    <x v="299"/>
    <x v="1096"/>
    <x v="1212"/>
    <x v="660"/>
    <x v="898"/>
    <x v="2"/>
    <x v="5"/>
    <x v="2"/>
    <x v="0"/>
    <x v="4"/>
    <x v="20"/>
  </r>
  <r>
    <x v="55"/>
    <x v="36"/>
    <x v="18"/>
    <x v="85"/>
    <x v="208"/>
    <x v="204"/>
    <x v="1"/>
    <x v="209"/>
    <x v="262"/>
    <x v="1261"/>
    <x v="1425"/>
    <x v="0"/>
    <x v="1470"/>
    <x v="1"/>
    <x v="4"/>
    <x v="7"/>
    <x v="0"/>
    <x v="4"/>
    <x v="213"/>
  </r>
  <r>
    <x v="56"/>
    <x v="50"/>
    <x v="18"/>
    <x v="79"/>
    <x v="151"/>
    <x v="148"/>
    <x v="1"/>
    <x v="163"/>
    <x v="838"/>
    <x v="495"/>
    <x v="541"/>
    <x v="0"/>
    <x v="1110"/>
    <x v="0"/>
    <x v="5"/>
    <x v="3"/>
    <x v="2"/>
    <x v="2"/>
    <x v="213"/>
  </r>
  <r>
    <x v="57"/>
    <x v="182"/>
    <x v="20"/>
    <x v="54"/>
    <x v="88"/>
    <x v="84"/>
    <x v="0"/>
    <x v="3"/>
    <x v="825"/>
    <x v="1026"/>
    <x v="902"/>
    <x v="0"/>
    <x v="1244"/>
    <x v="3"/>
    <x v="5"/>
    <x v="12"/>
    <x v="0"/>
    <x v="1"/>
    <x v="213"/>
  </r>
  <r>
    <x v="58"/>
    <x v="166"/>
    <x v="30"/>
    <x v="59"/>
    <x v="61"/>
    <x v="56"/>
    <x v="2"/>
    <x v="297"/>
    <x v="805"/>
    <x v="613"/>
    <x v="713"/>
    <x v="0"/>
    <x v="1173"/>
    <x v="3"/>
    <x v="5"/>
    <x v="5"/>
    <x v="2"/>
    <x v="5"/>
    <x v="213"/>
  </r>
  <r>
    <x v="59"/>
    <x v="271"/>
    <x v="12"/>
    <x v="33"/>
    <x v="28"/>
    <x v="27"/>
    <x v="1"/>
    <x v="604"/>
    <x v="207"/>
    <x v="108"/>
    <x v="100"/>
    <x v="0"/>
    <x v="635"/>
    <x v="3"/>
    <x v="5"/>
    <x v="5"/>
    <x v="0"/>
    <x v="1"/>
    <x v="213"/>
  </r>
  <r>
    <x v="60"/>
    <x v="278"/>
    <x v="16"/>
    <x v="69"/>
    <x v="134"/>
    <x v="129"/>
    <x v="2"/>
    <x v="543"/>
    <x v="387"/>
    <x v="847"/>
    <x v="830"/>
    <x v="499"/>
    <x v="486"/>
    <x v="2"/>
    <x v="5"/>
    <x v="0"/>
    <x v="2"/>
    <x v="2"/>
    <x v="127"/>
  </r>
  <r>
    <x v="61"/>
    <x v="45"/>
    <x v="25"/>
    <x v="46"/>
    <x v="61"/>
    <x v="57"/>
    <x v="1"/>
    <x v="550"/>
    <x v="618"/>
    <x v="407"/>
    <x v="406"/>
    <x v="0"/>
    <x v="1050"/>
    <x v="3"/>
    <x v="5"/>
    <x v="11"/>
    <x v="1"/>
    <x v="4"/>
    <x v="213"/>
  </r>
  <r>
    <x v="62"/>
    <x v="243"/>
    <x v="22"/>
    <x v="5"/>
    <x v="46"/>
    <x v="42"/>
    <x v="0"/>
    <x v="633"/>
    <x v="1249"/>
    <x v="230"/>
    <x v="240"/>
    <x v="133"/>
    <x v="206"/>
    <x v="2"/>
    <x v="5"/>
    <x v="2"/>
    <x v="0"/>
    <x v="0"/>
    <x v="42"/>
  </r>
  <r>
    <x v="63"/>
    <x v="236"/>
    <x v="29"/>
    <x v="5"/>
    <x v="69"/>
    <x v="67"/>
    <x v="1"/>
    <x v="539"/>
    <x v="848"/>
    <x v="991"/>
    <x v="1014"/>
    <x v="654"/>
    <x v="321"/>
    <x v="2"/>
    <x v="5"/>
    <x v="6"/>
    <x v="0"/>
    <x v="4"/>
    <x v="69"/>
  </r>
  <r>
    <x v="64"/>
    <x v="189"/>
    <x v="23"/>
    <x v="75"/>
    <x v="138"/>
    <x v="133"/>
    <x v="1"/>
    <x v="424"/>
    <x v="659"/>
    <x v="1246"/>
    <x v="1159"/>
    <x v="0"/>
    <x v="1353"/>
    <x v="1"/>
    <x v="0"/>
    <x v="2"/>
    <x v="2"/>
    <x v="6"/>
    <x v="213"/>
  </r>
  <r>
    <x v="65"/>
    <x v="252"/>
    <x v="8"/>
    <x v="56"/>
    <x v="135"/>
    <x v="132"/>
    <x v="0"/>
    <x v="189"/>
    <x v="211"/>
    <x v="1289"/>
    <x v="1304"/>
    <x v="738"/>
    <x v="747"/>
    <x v="2"/>
    <x v="5"/>
    <x v="0"/>
    <x v="1"/>
    <x v="4"/>
    <x v="128"/>
  </r>
  <r>
    <x v="66"/>
    <x v="208"/>
    <x v="21"/>
    <x v="92"/>
    <x v="72"/>
    <x v="71"/>
    <x v="1"/>
    <x v="397"/>
    <x v="1232"/>
    <x v="225"/>
    <x v="243"/>
    <x v="143"/>
    <x v="95"/>
    <x v="2"/>
    <x v="5"/>
    <x v="3"/>
    <x v="2"/>
    <x v="6"/>
    <x v="69"/>
  </r>
  <r>
    <x v="67"/>
    <x v="289"/>
    <x v="37"/>
    <x v="20"/>
    <x v="152"/>
    <x v="151"/>
    <x v="0"/>
    <x v="522"/>
    <x v="1309"/>
    <x v="582"/>
    <x v="532"/>
    <x v="0"/>
    <x v="1107"/>
    <x v="3"/>
    <x v="5"/>
    <x v="5"/>
    <x v="0"/>
    <x v="5"/>
    <x v="213"/>
  </r>
  <r>
    <x v="68"/>
    <x v="143"/>
    <x v="5"/>
    <x v="27"/>
    <x v="37"/>
    <x v="37"/>
    <x v="2"/>
    <x v="503"/>
    <x v="1209"/>
    <x v="1387"/>
    <x v="1364"/>
    <x v="767"/>
    <x v="837"/>
    <x v="2"/>
    <x v="5"/>
    <x v="0"/>
    <x v="2"/>
    <x v="6"/>
    <x v="31"/>
  </r>
  <r>
    <x v="69"/>
    <x v="257"/>
    <x v="16"/>
    <x v="21"/>
    <x v="59"/>
    <x v="56"/>
    <x v="3"/>
    <x v="376"/>
    <x v="191"/>
    <x v="1181"/>
    <x v="1333"/>
    <x v="0"/>
    <x v="1434"/>
    <x v="3"/>
    <x v="5"/>
    <x v="5"/>
    <x v="0"/>
    <x v="2"/>
    <x v="213"/>
  </r>
  <r>
    <x v="70"/>
    <x v="74"/>
    <x v="38"/>
    <x v="12"/>
    <x v="99"/>
    <x v="98"/>
    <x v="0"/>
    <x v="392"/>
    <x v="114"/>
    <x v="296"/>
    <x v="333"/>
    <x v="189"/>
    <x v="285"/>
    <x v="2"/>
    <x v="5"/>
    <x v="6"/>
    <x v="1"/>
    <x v="5"/>
    <x v="98"/>
  </r>
  <r>
    <x v="71"/>
    <x v="216"/>
    <x v="33"/>
    <x v="53"/>
    <x v="192"/>
    <x v="192"/>
    <x v="3"/>
    <x v="731"/>
    <x v="127"/>
    <x v="972"/>
    <x v="1161"/>
    <x v="685"/>
    <x v="655"/>
    <x v="2"/>
    <x v="5"/>
    <x v="0"/>
    <x v="1"/>
    <x v="5"/>
    <x v="185"/>
  </r>
  <r>
    <x v="72"/>
    <x v="290"/>
    <x v="6"/>
    <x v="54"/>
    <x v="110"/>
    <x v="109"/>
    <x v="0"/>
    <x v="213"/>
    <x v="1229"/>
    <x v="698"/>
    <x v="782"/>
    <x v="0"/>
    <x v="1203"/>
    <x v="1"/>
    <x v="4"/>
    <x v="5"/>
    <x v="0"/>
    <x v="1"/>
    <x v="213"/>
  </r>
  <r>
    <x v="73"/>
    <x v="3"/>
    <x v="36"/>
    <x v="66"/>
    <x v="23"/>
    <x v="21"/>
    <x v="1"/>
    <x v="427"/>
    <x v="24"/>
    <x v="799"/>
    <x v="715"/>
    <x v="0"/>
    <x v="1175"/>
    <x v="3"/>
    <x v="5"/>
    <x v="3"/>
    <x v="2"/>
    <x v="4"/>
    <x v="213"/>
  </r>
  <r>
    <x v="74"/>
    <x v="127"/>
    <x v="16"/>
    <x v="68"/>
    <x v="57"/>
    <x v="52"/>
    <x v="2"/>
    <x v="466"/>
    <x v="953"/>
    <x v="578"/>
    <x v="494"/>
    <x v="0"/>
    <x v="1087"/>
    <x v="1"/>
    <x v="4"/>
    <x v="6"/>
    <x v="1"/>
    <x v="3"/>
    <x v="213"/>
  </r>
  <r>
    <x v="75"/>
    <x v="185"/>
    <x v="35"/>
    <x v="71"/>
    <x v="177"/>
    <x v="174"/>
    <x v="2"/>
    <x v="212"/>
    <x v="809"/>
    <x v="586"/>
    <x v="660"/>
    <x v="0"/>
    <x v="1155"/>
    <x v="1"/>
    <x v="3"/>
    <x v="7"/>
    <x v="1"/>
    <x v="3"/>
    <x v="213"/>
  </r>
  <r>
    <x v="76"/>
    <x v="224"/>
    <x v="44"/>
    <x v="20"/>
    <x v="203"/>
    <x v="198"/>
    <x v="1"/>
    <x v="179"/>
    <x v="1300"/>
    <x v="201"/>
    <x v="231"/>
    <x v="108"/>
    <x v="337"/>
    <x v="2"/>
    <x v="5"/>
    <x v="3"/>
    <x v="2"/>
    <x v="1"/>
    <x v="199"/>
  </r>
  <r>
    <x v="77"/>
    <x v="2"/>
    <x v="5"/>
    <x v="18"/>
    <x v="90"/>
    <x v="86"/>
    <x v="2"/>
    <x v="497"/>
    <x v="1115"/>
    <x v="1014"/>
    <x v="845"/>
    <x v="0"/>
    <x v="1225"/>
    <x v="3"/>
    <x v="5"/>
    <x v="9"/>
    <x v="0"/>
    <x v="0"/>
    <x v="213"/>
  </r>
  <r>
    <x v="78"/>
    <x v="262"/>
    <x v="18"/>
    <x v="91"/>
    <x v="68"/>
    <x v="67"/>
    <x v="1"/>
    <x v="644"/>
    <x v="463"/>
    <x v="896"/>
    <x v="1000"/>
    <x v="664"/>
    <x v="134"/>
    <x v="2"/>
    <x v="5"/>
    <x v="6"/>
    <x v="1"/>
    <x v="2"/>
    <x v="68"/>
  </r>
  <r>
    <x v="79"/>
    <x v="257"/>
    <x v="33"/>
    <x v="89"/>
    <x v="112"/>
    <x v="112"/>
    <x v="0"/>
    <x v="509"/>
    <x v="449"/>
    <x v="971"/>
    <x v="1117"/>
    <x v="626"/>
    <x v="816"/>
    <x v="2"/>
    <x v="5"/>
    <x v="0"/>
    <x v="1"/>
    <x v="0"/>
    <x v="105"/>
  </r>
  <r>
    <x v="80"/>
    <x v="200"/>
    <x v="22"/>
    <x v="85"/>
    <x v="93"/>
    <x v="92"/>
    <x v="2"/>
    <x v="334"/>
    <x v="531"/>
    <x v="1463"/>
    <x v="1235"/>
    <x v="0"/>
    <x v="1390"/>
    <x v="3"/>
    <x v="5"/>
    <x v="7"/>
    <x v="1"/>
    <x v="0"/>
    <x v="213"/>
  </r>
  <r>
    <x v="81"/>
    <x v="173"/>
    <x v="17"/>
    <x v="28"/>
    <x v="193"/>
    <x v="188"/>
    <x v="0"/>
    <x v="377"/>
    <x v="1037"/>
    <x v="121"/>
    <x v="111"/>
    <x v="73"/>
    <x v="45"/>
    <x v="2"/>
    <x v="5"/>
    <x v="5"/>
    <x v="1"/>
    <x v="0"/>
    <x v="191"/>
  </r>
  <r>
    <x v="82"/>
    <x v="258"/>
    <x v="16"/>
    <x v="68"/>
    <x v="67"/>
    <x v="66"/>
    <x v="3"/>
    <x v="573"/>
    <x v="1132"/>
    <x v="142"/>
    <x v="124"/>
    <x v="68"/>
    <x v="190"/>
    <x v="2"/>
    <x v="5"/>
    <x v="1"/>
    <x v="2"/>
    <x v="5"/>
    <x v="62"/>
  </r>
  <r>
    <x v="83"/>
    <x v="14"/>
    <x v="30"/>
    <x v="14"/>
    <x v="124"/>
    <x v="123"/>
    <x v="3"/>
    <x v="53"/>
    <x v="989"/>
    <x v="1443"/>
    <x v="1379"/>
    <x v="0"/>
    <x v="1453"/>
    <x v="1"/>
    <x v="4"/>
    <x v="7"/>
    <x v="1"/>
    <x v="1"/>
    <x v="213"/>
  </r>
  <r>
    <x v="84"/>
    <x v="260"/>
    <x v="34"/>
    <x v="1"/>
    <x v="61"/>
    <x v="56"/>
    <x v="3"/>
    <x v="207"/>
    <x v="756"/>
    <x v="1194"/>
    <x v="1176"/>
    <x v="0"/>
    <x v="1363"/>
    <x v="3"/>
    <x v="5"/>
    <x v="8"/>
    <x v="0"/>
    <x v="2"/>
    <x v="213"/>
  </r>
  <r>
    <x v="85"/>
    <x v="177"/>
    <x v="13"/>
    <x v="73"/>
    <x v="177"/>
    <x v="172"/>
    <x v="3"/>
    <x v="153"/>
    <x v="506"/>
    <x v="97"/>
    <x v="128"/>
    <x v="0"/>
    <x v="697"/>
    <x v="1"/>
    <x v="1"/>
    <x v="7"/>
    <x v="2"/>
    <x v="4"/>
    <x v="213"/>
  </r>
  <r>
    <x v="86"/>
    <x v="125"/>
    <x v="39"/>
    <x v="45"/>
    <x v="52"/>
    <x v="51"/>
    <x v="0"/>
    <x v="649"/>
    <x v="279"/>
    <x v="1303"/>
    <x v="1179"/>
    <x v="0"/>
    <x v="1364"/>
    <x v="3"/>
    <x v="5"/>
    <x v="6"/>
    <x v="0"/>
    <x v="0"/>
    <x v="213"/>
  </r>
  <r>
    <x v="87"/>
    <x v="186"/>
    <x v="39"/>
    <x v="40"/>
    <x v="178"/>
    <x v="173"/>
    <x v="2"/>
    <x v="475"/>
    <x v="720"/>
    <x v="9"/>
    <x v="9"/>
    <x v="9"/>
    <x v="2"/>
    <x v="2"/>
    <x v="5"/>
    <x v="7"/>
    <x v="2"/>
    <x v="6"/>
    <x v="178"/>
  </r>
  <r>
    <x v="88"/>
    <x v="240"/>
    <x v="34"/>
    <x v="4"/>
    <x v="199"/>
    <x v="195"/>
    <x v="3"/>
    <x v="326"/>
    <x v="462"/>
    <x v="319"/>
    <x v="331"/>
    <x v="165"/>
    <x v="480"/>
    <x v="2"/>
    <x v="5"/>
    <x v="6"/>
    <x v="2"/>
    <x v="0"/>
    <x v="198"/>
  </r>
  <r>
    <x v="89"/>
    <x v="163"/>
    <x v="23"/>
    <x v="78"/>
    <x v="182"/>
    <x v="178"/>
    <x v="3"/>
    <x v="157"/>
    <x v="1388"/>
    <x v="1020"/>
    <x v="831"/>
    <x v="436"/>
    <x v="743"/>
    <x v="2"/>
    <x v="5"/>
    <x v="1"/>
    <x v="2"/>
    <x v="6"/>
    <x v="176"/>
  </r>
  <r>
    <x v="90"/>
    <x v="105"/>
    <x v="26"/>
    <x v="89"/>
    <x v="71"/>
    <x v="68"/>
    <x v="3"/>
    <x v="303"/>
    <x v="1026"/>
    <x v="480"/>
    <x v="430"/>
    <x v="0"/>
    <x v="1064"/>
    <x v="0"/>
    <x v="5"/>
    <x v="6"/>
    <x v="2"/>
    <x v="2"/>
    <x v="213"/>
  </r>
  <r>
    <x v="91"/>
    <x v="118"/>
    <x v="35"/>
    <x v="55"/>
    <x v="50"/>
    <x v="46"/>
    <x v="2"/>
    <x v="164"/>
    <x v="380"/>
    <x v="841"/>
    <x v="755"/>
    <x v="376"/>
    <x v="763"/>
    <x v="2"/>
    <x v="5"/>
    <x v="4"/>
    <x v="1"/>
    <x v="6"/>
    <x v="48"/>
  </r>
  <r>
    <x v="92"/>
    <x v="245"/>
    <x v="19"/>
    <x v="32"/>
    <x v="121"/>
    <x v="121"/>
    <x v="1"/>
    <x v="329"/>
    <x v="265"/>
    <x v="724"/>
    <x v="888"/>
    <x v="583"/>
    <x v="236"/>
    <x v="2"/>
    <x v="5"/>
    <x v="5"/>
    <x v="1"/>
    <x v="6"/>
    <x v="119"/>
  </r>
  <r>
    <x v="93"/>
    <x v="131"/>
    <x v="23"/>
    <x v="46"/>
    <x v="16"/>
    <x v="15"/>
    <x v="3"/>
    <x v="286"/>
    <x v="62"/>
    <x v="679"/>
    <x v="728"/>
    <x v="0"/>
    <x v="1181"/>
    <x v="1"/>
    <x v="1"/>
    <x v="7"/>
    <x v="2"/>
    <x v="0"/>
    <x v="213"/>
  </r>
  <r>
    <x v="94"/>
    <x v="143"/>
    <x v="22"/>
    <x v="41"/>
    <x v="94"/>
    <x v="89"/>
    <x v="2"/>
    <x v="645"/>
    <x v="1144"/>
    <x v="292"/>
    <x v="305"/>
    <x v="0"/>
    <x v="990"/>
    <x v="0"/>
    <x v="5"/>
    <x v="2"/>
    <x v="0"/>
    <x v="2"/>
    <x v="213"/>
  </r>
  <r>
    <x v="95"/>
    <x v="211"/>
    <x v="40"/>
    <x v="78"/>
    <x v="159"/>
    <x v="157"/>
    <x v="2"/>
    <x v="707"/>
    <x v="195"/>
    <x v="1430"/>
    <x v="1480"/>
    <x v="856"/>
    <x v="690"/>
    <x v="2"/>
    <x v="5"/>
    <x v="5"/>
    <x v="0"/>
    <x v="6"/>
    <x v="157"/>
  </r>
  <r>
    <x v="96"/>
    <x v="136"/>
    <x v="28"/>
    <x v="99"/>
    <x v="88"/>
    <x v="87"/>
    <x v="3"/>
    <x v="622"/>
    <x v="1322"/>
    <x v="966"/>
    <x v="1058"/>
    <x v="648"/>
    <x v="556"/>
    <x v="2"/>
    <x v="5"/>
    <x v="6"/>
    <x v="2"/>
    <x v="2"/>
    <x v="88"/>
  </r>
  <r>
    <x v="97"/>
    <x v="105"/>
    <x v="10"/>
    <x v="50"/>
    <x v="43"/>
    <x v="42"/>
    <x v="1"/>
    <x v="77"/>
    <x v="170"/>
    <x v="176"/>
    <x v="155"/>
    <x v="0"/>
    <x v="779"/>
    <x v="1"/>
    <x v="2"/>
    <x v="4"/>
    <x v="2"/>
    <x v="5"/>
    <x v="213"/>
  </r>
  <r>
    <x v="98"/>
    <x v="77"/>
    <x v="5"/>
    <x v="83"/>
    <x v="13"/>
    <x v="13"/>
    <x v="2"/>
    <x v="257"/>
    <x v="600"/>
    <x v="762"/>
    <x v="939"/>
    <x v="0"/>
    <x v="1262"/>
    <x v="1"/>
    <x v="1"/>
    <x v="1"/>
    <x v="0"/>
    <x v="4"/>
    <x v="213"/>
  </r>
  <r>
    <x v="99"/>
    <x v="17"/>
    <x v="42"/>
    <x v="45"/>
    <x v="75"/>
    <x v="72"/>
    <x v="3"/>
    <x v="721"/>
    <x v="1226"/>
    <x v="189"/>
    <x v="218"/>
    <x v="0"/>
    <x v="896"/>
    <x v="3"/>
    <x v="5"/>
    <x v="3"/>
    <x v="2"/>
    <x v="1"/>
    <x v="213"/>
  </r>
  <r>
    <x v="100"/>
    <x v="284"/>
    <x v="27"/>
    <x v="67"/>
    <x v="140"/>
    <x v="138"/>
    <x v="3"/>
    <x v="287"/>
    <x v="1241"/>
    <x v="194"/>
    <x v="233"/>
    <x v="129"/>
    <x v="212"/>
    <x v="2"/>
    <x v="5"/>
    <x v="7"/>
    <x v="1"/>
    <x v="6"/>
    <x v="140"/>
  </r>
  <r>
    <x v="101"/>
    <x v="263"/>
    <x v="48"/>
    <x v="17"/>
    <x v="206"/>
    <x v="206"/>
    <x v="3"/>
    <x v="239"/>
    <x v="1204"/>
    <x v="506"/>
    <x v="471"/>
    <x v="244"/>
    <x v="492"/>
    <x v="2"/>
    <x v="5"/>
    <x v="0"/>
    <x v="1"/>
    <x v="0"/>
    <x v="199"/>
  </r>
  <r>
    <x v="102"/>
    <x v="116"/>
    <x v="0"/>
    <x v="70"/>
    <x v="179"/>
    <x v="176"/>
    <x v="3"/>
    <x v="159"/>
    <x v="1058"/>
    <x v="682"/>
    <x v="547"/>
    <x v="0"/>
    <x v="1113"/>
    <x v="1"/>
    <x v="1"/>
    <x v="6"/>
    <x v="1"/>
    <x v="2"/>
    <x v="213"/>
  </r>
  <r>
    <x v="103"/>
    <x v="39"/>
    <x v="27"/>
    <x v="80"/>
    <x v="102"/>
    <x v="101"/>
    <x v="0"/>
    <x v="424"/>
    <x v="714"/>
    <x v="1088"/>
    <x v="1062"/>
    <x v="616"/>
    <x v="735"/>
    <x v="2"/>
    <x v="5"/>
    <x v="4"/>
    <x v="2"/>
    <x v="4"/>
    <x v="99"/>
  </r>
  <r>
    <x v="104"/>
    <x v="146"/>
    <x v="7"/>
    <x v="81"/>
    <x v="194"/>
    <x v="190"/>
    <x v="2"/>
    <x v="512"/>
    <x v="1162"/>
    <x v="584"/>
    <x v="677"/>
    <x v="0"/>
    <x v="1161"/>
    <x v="1"/>
    <x v="3"/>
    <x v="2"/>
    <x v="2"/>
    <x v="4"/>
    <x v="213"/>
  </r>
  <r>
    <x v="105"/>
    <x v="51"/>
    <x v="18"/>
    <x v="34"/>
    <x v="162"/>
    <x v="159"/>
    <x v="0"/>
    <x v="594"/>
    <x v="1123"/>
    <x v="25"/>
    <x v="16"/>
    <x v="11"/>
    <x v="32"/>
    <x v="2"/>
    <x v="5"/>
    <x v="2"/>
    <x v="1"/>
    <x v="0"/>
    <x v="157"/>
  </r>
  <r>
    <x v="106"/>
    <x v="186"/>
    <x v="29"/>
    <x v="89"/>
    <x v="59"/>
    <x v="59"/>
    <x v="1"/>
    <x v="275"/>
    <x v="219"/>
    <x v="716"/>
    <x v="670"/>
    <x v="353"/>
    <x v="622"/>
    <x v="2"/>
    <x v="5"/>
    <x v="7"/>
    <x v="0"/>
    <x v="0"/>
    <x v="60"/>
  </r>
  <r>
    <x v="107"/>
    <x v="6"/>
    <x v="7"/>
    <x v="98"/>
    <x v="71"/>
    <x v="68"/>
    <x v="0"/>
    <x v="319"/>
    <x v="1133"/>
    <x v="662"/>
    <x v="592"/>
    <x v="377"/>
    <x v="186"/>
    <x v="2"/>
    <x v="5"/>
    <x v="6"/>
    <x v="0"/>
    <x v="4"/>
    <x v="71"/>
  </r>
  <r>
    <x v="108"/>
    <x v="195"/>
    <x v="43"/>
    <x v="39"/>
    <x v="9"/>
    <x v="8"/>
    <x v="3"/>
    <x v="130"/>
    <x v="126"/>
    <x v="1151"/>
    <x v="1181"/>
    <x v="759"/>
    <x v="41"/>
    <x v="2"/>
    <x v="5"/>
    <x v="7"/>
    <x v="1"/>
    <x v="5"/>
    <x v="12"/>
  </r>
  <r>
    <x v="109"/>
    <x v="55"/>
    <x v="15"/>
    <x v="81"/>
    <x v="133"/>
    <x v="133"/>
    <x v="2"/>
    <x v="270"/>
    <x v="45"/>
    <x v="947"/>
    <x v="839"/>
    <x v="552"/>
    <x v="177"/>
    <x v="2"/>
    <x v="5"/>
    <x v="3"/>
    <x v="0"/>
    <x v="1"/>
    <x v="129"/>
  </r>
  <r>
    <x v="110"/>
    <x v="77"/>
    <x v="23"/>
    <x v="98"/>
    <x v="74"/>
    <x v="70"/>
    <x v="1"/>
    <x v="207"/>
    <x v="414"/>
    <x v="1168"/>
    <x v="970"/>
    <x v="479"/>
    <x v="885"/>
    <x v="2"/>
    <x v="5"/>
    <x v="7"/>
    <x v="2"/>
    <x v="0"/>
    <x v="75"/>
  </r>
  <r>
    <x v="111"/>
    <x v="76"/>
    <x v="44"/>
    <x v="68"/>
    <x v="179"/>
    <x v="175"/>
    <x v="1"/>
    <x v="100"/>
    <x v="1250"/>
    <x v="1456"/>
    <x v="1466"/>
    <x v="789"/>
    <x v="1021"/>
    <x v="2"/>
    <x v="5"/>
    <x v="5"/>
    <x v="0"/>
    <x v="3"/>
    <x v="177"/>
  </r>
  <r>
    <x v="112"/>
    <x v="189"/>
    <x v="22"/>
    <x v="92"/>
    <x v="147"/>
    <x v="142"/>
    <x v="0"/>
    <x v="209"/>
    <x v="116"/>
    <x v="1200"/>
    <x v="1194"/>
    <x v="0"/>
    <x v="1372"/>
    <x v="1"/>
    <x v="2"/>
    <x v="3"/>
    <x v="2"/>
    <x v="4"/>
    <x v="213"/>
  </r>
  <r>
    <x v="113"/>
    <x v="162"/>
    <x v="46"/>
    <x v="59"/>
    <x v="116"/>
    <x v="112"/>
    <x v="3"/>
    <x v="724"/>
    <x v="428"/>
    <x v="1033"/>
    <x v="926"/>
    <x v="480"/>
    <x v="802"/>
    <x v="2"/>
    <x v="5"/>
    <x v="5"/>
    <x v="0"/>
    <x v="5"/>
    <x v="114"/>
  </r>
  <r>
    <x v="114"/>
    <x v="92"/>
    <x v="1"/>
    <x v="79"/>
    <x v="42"/>
    <x v="39"/>
    <x v="3"/>
    <x v="646"/>
    <x v="617"/>
    <x v="374"/>
    <x v="361"/>
    <x v="172"/>
    <x v="527"/>
    <x v="2"/>
    <x v="5"/>
    <x v="6"/>
    <x v="2"/>
    <x v="4"/>
    <x v="42"/>
  </r>
  <r>
    <x v="115"/>
    <x v="278"/>
    <x v="9"/>
    <x v="78"/>
    <x v="21"/>
    <x v="16"/>
    <x v="3"/>
    <x v="268"/>
    <x v="1053"/>
    <x v="1219"/>
    <x v="1098"/>
    <x v="0"/>
    <x v="1322"/>
    <x v="0"/>
    <x v="5"/>
    <x v="7"/>
    <x v="1"/>
    <x v="3"/>
    <x v="213"/>
  </r>
  <r>
    <x v="116"/>
    <x v="101"/>
    <x v="6"/>
    <x v="62"/>
    <x v="28"/>
    <x v="28"/>
    <x v="0"/>
    <x v="79"/>
    <x v="87"/>
    <x v="89"/>
    <x v="104"/>
    <x v="50"/>
    <x v="203"/>
    <x v="2"/>
    <x v="5"/>
    <x v="0"/>
    <x v="1"/>
    <x v="4"/>
    <x v="23"/>
  </r>
  <r>
    <x v="117"/>
    <x v="35"/>
    <x v="0"/>
    <x v="26"/>
    <x v="104"/>
    <x v="99"/>
    <x v="2"/>
    <x v="692"/>
    <x v="218"/>
    <x v="920"/>
    <x v="977"/>
    <x v="482"/>
    <x v="883"/>
    <x v="2"/>
    <x v="5"/>
    <x v="3"/>
    <x v="2"/>
    <x v="1"/>
    <x v="100"/>
  </r>
  <r>
    <x v="118"/>
    <x v="134"/>
    <x v="33"/>
    <x v="5"/>
    <x v="163"/>
    <x v="163"/>
    <x v="1"/>
    <x v="694"/>
    <x v="797"/>
    <x v="1100"/>
    <x v="1290"/>
    <x v="795"/>
    <x v="347"/>
    <x v="2"/>
    <x v="5"/>
    <x v="0"/>
    <x v="0"/>
    <x v="6"/>
    <x v="156"/>
  </r>
  <r>
    <x v="119"/>
    <x v="287"/>
    <x v="40"/>
    <x v="22"/>
    <x v="132"/>
    <x v="132"/>
    <x v="2"/>
    <x v="621"/>
    <x v="276"/>
    <x v="331"/>
    <x v="323"/>
    <x v="167"/>
    <x v="413"/>
    <x v="2"/>
    <x v="5"/>
    <x v="3"/>
    <x v="1"/>
    <x v="5"/>
    <x v="128"/>
  </r>
  <r>
    <x v="120"/>
    <x v="277"/>
    <x v="25"/>
    <x v="64"/>
    <x v="96"/>
    <x v="91"/>
    <x v="3"/>
    <x v="546"/>
    <x v="416"/>
    <x v="986"/>
    <x v="1163"/>
    <x v="627"/>
    <x v="899"/>
    <x v="2"/>
    <x v="5"/>
    <x v="2"/>
    <x v="1"/>
    <x v="5"/>
    <x v="91"/>
  </r>
  <r>
    <x v="121"/>
    <x v="216"/>
    <x v="46"/>
    <x v="41"/>
    <x v="115"/>
    <x v="113"/>
    <x v="0"/>
    <x v="464"/>
    <x v="1381"/>
    <x v="806"/>
    <x v="990"/>
    <x v="0"/>
    <x v="1281"/>
    <x v="1"/>
    <x v="0"/>
    <x v="5"/>
    <x v="0"/>
    <x v="2"/>
    <x v="213"/>
  </r>
  <r>
    <x v="122"/>
    <x v="0"/>
    <x v="46"/>
    <x v="4"/>
    <x v="200"/>
    <x v="196"/>
    <x v="3"/>
    <x v="494"/>
    <x v="51"/>
    <x v="363"/>
    <x v="428"/>
    <x v="0"/>
    <x v="1062"/>
    <x v="1"/>
    <x v="0"/>
    <x v="7"/>
    <x v="1"/>
    <x v="6"/>
    <x v="213"/>
  </r>
  <r>
    <x v="123"/>
    <x v="279"/>
    <x v="32"/>
    <x v="71"/>
    <x v="77"/>
    <x v="77"/>
    <x v="0"/>
    <x v="76"/>
    <x v="109"/>
    <x v="318"/>
    <x v="366"/>
    <x v="175"/>
    <x v="523"/>
    <x v="2"/>
    <x v="5"/>
    <x v="4"/>
    <x v="2"/>
    <x v="3"/>
    <x v="75"/>
  </r>
  <r>
    <x v="124"/>
    <x v="46"/>
    <x v="36"/>
    <x v="51"/>
    <x v="40"/>
    <x v="39"/>
    <x v="0"/>
    <x v="611"/>
    <x v="212"/>
    <x v="1340"/>
    <x v="1213"/>
    <x v="671"/>
    <x v="869"/>
    <x v="2"/>
    <x v="5"/>
    <x v="4"/>
    <x v="1"/>
    <x v="3"/>
    <x v="38"/>
  </r>
  <r>
    <x v="125"/>
    <x v="150"/>
    <x v="2"/>
    <x v="93"/>
    <x v="205"/>
    <x v="202"/>
    <x v="2"/>
    <x v="61"/>
    <x v="157"/>
    <x v="1227"/>
    <x v="1328"/>
    <x v="771"/>
    <x v="678"/>
    <x v="2"/>
    <x v="5"/>
    <x v="1"/>
    <x v="2"/>
    <x v="3"/>
    <x v="199"/>
  </r>
  <r>
    <x v="126"/>
    <x v="191"/>
    <x v="3"/>
    <x v="39"/>
    <x v="212"/>
    <x v="209"/>
    <x v="1"/>
    <x v="266"/>
    <x v="1360"/>
    <x v="1290"/>
    <x v="1424"/>
    <x v="777"/>
    <x v="964"/>
    <x v="2"/>
    <x v="5"/>
    <x v="0"/>
    <x v="1"/>
    <x v="6"/>
    <x v="204"/>
  </r>
  <r>
    <x v="127"/>
    <x v="224"/>
    <x v="48"/>
    <x v="76"/>
    <x v="87"/>
    <x v="83"/>
    <x v="1"/>
    <x v="185"/>
    <x v="1109"/>
    <x v="218"/>
    <x v="244"/>
    <x v="0"/>
    <x v="922"/>
    <x v="3"/>
    <x v="5"/>
    <x v="9"/>
    <x v="2"/>
    <x v="1"/>
    <x v="213"/>
  </r>
  <r>
    <x v="128"/>
    <x v="132"/>
    <x v="5"/>
    <x v="51"/>
    <x v="101"/>
    <x v="100"/>
    <x v="2"/>
    <x v="644"/>
    <x v="340"/>
    <x v="111"/>
    <x v="118"/>
    <x v="54"/>
    <x v="235"/>
    <x v="2"/>
    <x v="5"/>
    <x v="6"/>
    <x v="0"/>
    <x v="2"/>
    <x v="100"/>
  </r>
  <r>
    <x v="129"/>
    <x v="122"/>
    <x v="4"/>
    <x v="34"/>
    <x v="144"/>
    <x v="143"/>
    <x v="2"/>
    <x v="269"/>
    <x v="240"/>
    <x v="964"/>
    <x v="858"/>
    <x v="517"/>
    <x v="477"/>
    <x v="2"/>
    <x v="5"/>
    <x v="3"/>
    <x v="0"/>
    <x v="4"/>
    <x v="140"/>
  </r>
  <r>
    <x v="130"/>
    <x v="84"/>
    <x v="22"/>
    <x v="78"/>
    <x v="108"/>
    <x v="105"/>
    <x v="2"/>
    <x v="517"/>
    <x v="380"/>
    <x v="280"/>
    <x v="262"/>
    <x v="156"/>
    <x v="179"/>
    <x v="2"/>
    <x v="5"/>
    <x v="4"/>
    <x v="2"/>
    <x v="0"/>
    <x v="105"/>
  </r>
  <r>
    <x v="131"/>
    <x v="27"/>
    <x v="15"/>
    <x v="79"/>
    <x v="210"/>
    <x v="209"/>
    <x v="0"/>
    <x v="725"/>
    <x v="757"/>
    <x v="519"/>
    <x v="589"/>
    <x v="375"/>
    <x v="167"/>
    <x v="2"/>
    <x v="5"/>
    <x v="1"/>
    <x v="0"/>
    <x v="3"/>
    <x v="203"/>
  </r>
  <r>
    <x v="132"/>
    <x v="102"/>
    <x v="34"/>
    <x v="66"/>
    <x v="177"/>
    <x v="177"/>
    <x v="3"/>
    <x v="449"/>
    <x v="1242"/>
    <x v="665"/>
    <x v="633"/>
    <x v="394"/>
    <x v="280"/>
    <x v="2"/>
    <x v="5"/>
    <x v="3"/>
    <x v="1"/>
    <x v="4"/>
    <x v="173"/>
  </r>
  <r>
    <x v="133"/>
    <x v="265"/>
    <x v="2"/>
    <x v="32"/>
    <x v="41"/>
    <x v="36"/>
    <x v="0"/>
    <x v="46"/>
    <x v="747"/>
    <x v="23"/>
    <x v="24"/>
    <x v="0"/>
    <x v="282"/>
    <x v="3"/>
    <x v="5"/>
    <x v="13"/>
    <x v="0"/>
    <x v="1"/>
    <x v="213"/>
  </r>
  <r>
    <x v="134"/>
    <x v="180"/>
    <x v="6"/>
    <x v="2"/>
    <x v="182"/>
    <x v="178"/>
    <x v="3"/>
    <x v="724"/>
    <x v="997"/>
    <x v="653"/>
    <x v="803"/>
    <x v="400"/>
    <x v="809"/>
    <x v="2"/>
    <x v="5"/>
    <x v="4"/>
    <x v="0"/>
    <x v="2"/>
    <x v="179"/>
  </r>
  <r>
    <x v="135"/>
    <x v="99"/>
    <x v="32"/>
    <x v="58"/>
    <x v="135"/>
    <x v="130"/>
    <x v="1"/>
    <x v="29"/>
    <x v="644"/>
    <x v="438"/>
    <x v="512"/>
    <x v="292"/>
    <x v="392"/>
    <x v="2"/>
    <x v="5"/>
    <x v="2"/>
    <x v="1"/>
    <x v="3"/>
    <x v="130"/>
  </r>
  <r>
    <x v="136"/>
    <x v="118"/>
    <x v="32"/>
    <x v="35"/>
    <x v="88"/>
    <x v="85"/>
    <x v="1"/>
    <x v="518"/>
    <x v="673"/>
    <x v="223"/>
    <x v="214"/>
    <x v="110"/>
    <x v="251"/>
    <x v="2"/>
    <x v="5"/>
    <x v="4"/>
    <x v="2"/>
    <x v="1"/>
    <x v="86"/>
  </r>
  <r>
    <x v="137"/>
    <x v="43"/>
    <x v="46"/>
    <x v="48"/>
    <x v="11"/>
    <x v="7"/>
    <x v="0"/>
    <x v="345"/>
    <x v="621"/>
    <x v="328"/>
    <x v="313"/>
    <x v="0"/>
    <x v="994"/>
    <x v="1"/>
    <x v="3"/>
    <x v="6"/>
    <x v="1"/>
    <x v="6"/>
    <x v="213"/>
  </r>
  <r>
    <x v="138"/>
    <x v="293"/>
    <x v="34"/>
    <x v="87"/>
    <x v="111"/>
    <x v="109"/>
    <x v="0"/>
    <x v="720"/>
    <x v="357"/>
    <x v="459"/>
    <x v="475"/>
    <x v="0"/>
    <x v="1078"/>
    <x v="1"/>
    <x v="3"/>
    <x v="3"/>
    <x v="2"/>
    <x v="4"/>
    <x v="213"/>
  </r>
  <r>
    <x v="139"/>
    <x v="78"/>
    <x v="20"/>
    <x v="8"/>
    <x v="184"/>
    <x v="180"/>
    <x v="1"/>
    <x v="154"/>
    <x v="837"/>
    <x v="603"/>
    <x v="721"/>
    <x v="0"/>
    <x v="1178"/>
    <x v="1"/>
    <x v="4"/>
    <x v="2"/>
    <x v="0"/>
    <x v="4"/>
    <x v="213"/>
  </r>
  <r>
    <x v="140"/>
    <x v="75"/>
    <x v="49"/>
    <x v="24"/>
    <x v="9"/>
    <x v="7"/>
    <x v="1"/>
    <x v="104"/>
    <x v="488"/>
    <x v="587"/>
    <x v="567"/>
    <x v="0"/>
    <x v="1123"/>
    <x v="1"/>
    <x v="1"/>
    <x v="7"/>
    <x v="0"/>
    <x v="1"/>
    <x v="213"/>
  </r>
  <r>
    <x v="141"/>
    <x v="179"/>
    <x v="5"/>
    <x v="88"/>
    <x v="160"/>
    <x v="156"/>
    <x v="2"/>
    <x v="107"/>
    <x v="1285"/>
    <x v="825"/>
    <x v="741"/>
    <x v="391"/>
    <x v="694"/>
    <x v="2"/>
    <x v="5"/>
    <x v="0"/>
    <x v="1"/>
    <x v="2"/>
    <x v="153"/>
  </r>
  <r>
    <x v="142"/>
    <x v="113"/>
    <x v="2"/>
    <x v="52"/>
    <x v="187"/>
    <x v="182"/>
    <x v="1"/>
    <x v="225"/>
    <x v="1064"/>
    <x v="1264"/>
    <x v="1280"/>
    <x v="679"/>
    <x v="942"/>
    <x v="2"/>
    <x v="5"/>
    <x v="3"/>
    <x v="0"/>
    <x v="4"/>
    <x v="183"/>
  </r>
  <r>
    <x v="143"/>
    <x v="246"/>
    <x v="44"/>
    <x v="41"/>
    <x v="172"/>
    <x v="171"/>
    <x v="2"/>
    <x v="205"/>
    <x v="1100"/>
    <x v="87"/>
    <x v="107"/>
    <x v="0"/>
    <x v="653"/>
    <x v="1"/>
    <x v="4"/>
    <x v="7"/>
    <x v="2"/>
    <x v="1"/>
    <x v="213"/>
  </r>
  <r>
    <x v="144"/>
    <x v="288"/>
    <x v="38"/>
    <x v="68"/>
    <x v="14"/>
    <x v="10"/>
    <x v="1"/>
    <x v="428"/>
    <x v="288"/>
    <x v="532"/>
    <x v="499"/>
    <x v="0"/>
    <x v="1089"/>
    <x v="3"/>
    <x v="5"/>
    <x v="12"/>
    <x v="2"/>
    <x v="2"/>
    <x v="213"/>
  </r>
  <r>
    <x v="145"/>
    <x v="95"/>
    <x v="18"/>
    <x v="56"/>
    <x v="11"/>
    <x v="10"/>
    <x v="2"/>
    <x v="254"/>
    <x v="752"/>
    <x v="557"/>
    <x v="617"/>
    <x v="354"/>
    <x v="430"/>
    <x v="2"/>
    <x v="5"/>
    <x v="0"/>
    <x v="2"/>
    <x v="6"/>
    <x v="7"/>
  </r>
  <r>
    <x v="146"/>
    <x v="233"/>
    <x v="41"/>
    <x v="57"/>
    <x v="110"/>
    <x v="108"/>
    <x v="1"/>
    <x v="599"/>
    <x v="1281"/>
    <x v="68"/>
    <x v="66"/>
    <x v="0"/>
    <x v="528"/>
    <x v="3"/>
    <x v="5"/>
    <x v="5"/>
    <x v="0"/>
    <x v="6"/>
    <x v="213"/>
  </r>
  <r>
    <x v="147"/>
    <x v="226"/>
    <x v="1"/>
    <x v="22"/>
    <x v="203"/>
    <x v="199"/>
    <x v="2"/>
    <x v="489"/>
    <x v="535"/>
    <x v="1030"/>
    <x v="895"/>
    <x v="0"/>
    <x v="1242"/>
    <x v="1"/>
    <x v="1"/>
    <x v="6"/>
    <x v="2"/>
    <x v="0"/>
    <x v="213"/>
  </r>
  <r>
    <x v="148"/>
    <x v="61"/>
    <x v="5"/>
    <x v="14"/>
    <x v="66"/>
    <x v="64"/>
    <x v="2"/>
    <x v="526"/>
    <x v="947"/>
    <x v="1359"/>
    <x v="1436"/>
    <x v="0"/>
    <x v="1476"/>
    <x v="3"/>
    <x v="5"/>
    <x v="14"/>
    <x v="0"/>
    <x v="5"/>
    <x v="213"/>
  </r>
  <r>
    <x v="149"/>
    <x v="189"/>
    <x v="35"/>
    <x v="48"/>
    <x v="184"/>
    <x v="181"/>
    <x v="1"/>
    <x v="639"/>
    <x v="453"/>
    <x v="1461"/>
    <x v="1441"/>
    <x v="0"/>
    <x v="1477"/>
    <x v="3"/>
    <x v="5"/>
    <x v="5"/>
    <x v="2"/>
    <x v="5"/>
    <x v="213"/>
  </r>
  <r>
    <x v="150"/>
    <x v="155"/>
    <x v="46"/>
    <x v="98"/>
    <x v="169"/>
    <x v="168"/>
    <x v="2"/>
    <x v="240"/>
    <x v="480"/>
    <x v="209"/>
    <x v="235"/>
    <x v="107"/>
    <x v="364"/>
    <x v="2"/>
    <x v="5"/>
    <x v="4"/>
    <x v="0"/>
    <x v="6"/>
    <x v="166"/>
  </r>
  <r>
    <x v="151"/>
    <x v="274"/>
    <x v="0"/>
    <x v="77"/>
    <x v="51"/>
    <x v="51"/>
    <x v="2"/>
    <x v="197"/>
    <x v="570"/>
    <x v="361"/>
    <x v="360"/>
    <x v="0"/>
    <x v="1028"/>
    <x v="3"/>
    <x v="5"/>
    <x v="10"/>
    <x v="1"/>
    <x v="4"/>
    <x v="213"/>
  </r>
  <r>
    <x v="152"/>
    <x v="281"/>
    <x v="13"/>
    <x v="6"/>
    <x v="124"/>
    <x v="121"/>
    <x v="0"/>
    <x v="120"/>
    <x v="154"/>
    <x v="105"/>
    <x v="113"/>
    <x v="60"/>
    <x v="192"/>
    <x v="2"/>
    <x v="5"/>
    <x v="4"/>
    <x v="1"/>
    <x v="3"/>
    <x v="121"/>
  </r>
  <r>
    <x v="153"/>
    <x v="43"/>
    <x v="3"/>
    <x v="13"/>
    <x v="10"/>
    <x v="9"/>
    <x v="2"/>
    <x v="149"/>
    <x v="433"/>
    <x v="989"/>
    <x v="1148"/>
    <x v="0"/>
    <x v="1348"/>
    <x v="1"/>
    <x v="1"/>
    <x v="4"/>
    <x v="1"/>
    <x v="3"/>
    <x v="213"/>
  </r>
  <r>
    <x v="154"/>
    <x v="229"/>
    <x v="47"/>
    <x v="74"/>
    <x v="161"/>
    <x v="156"/>
    <x v="3"/>
    <x v="25"/>
    <x v="247"/>
    <x v="871"/>
    <x v="996"/>
    <x v="0"/>
    <x v="1284"/>
    <x v="3"/>
    <x v="5"/>
    <x v="5"/>
    <x v="2"/>
    <x v="3"/>
    <x v="213"/>
  </r>
  <r>
    <x v="155"/>
    <x v="237"/>
    <x v="8"/>
    <x v="15"/>
    <x v="97"/>
    <x v="94"/>
    <x v="3"/>
    <x v="274"/>
    <x v="1331"/>
    <x v="1127"/>
    <x v="1296"/>
    <x v="0"/>
    <x v="1416"/>
    <x v="1"/>
    <x v="1"/>
    <x v="1"/>
    <x v="2"/>
    <x v="5"/>
    <x v="213"/>
  </r>
  <r>
    <x v="156"/>
    <x v="243"/>
    <x v="46"/>
    <x v="88"/>
    <x v="58"/>
    <x v="53"/>
    <x v="3"/>
    <x v="353"/>
    <x v="836"/>
    <x v="73"/>
    <x v="73"/>
    <x v="52"/>
    <x v="3"/>
    <x v="2"/>
    <x v="5"/>
    <x v="1"/>
    <x v="2"/>
    <x v="5"/>
    <x v="53"/>
  </r>
  <r>
    <x v="157"/>
    <x v="248"/>
    <x v="11"/>
    <x v="78"/>
    <x v="151"/>
    <x v="147"/>
    <x v="0"/>
    <x v="587"/>
    <x v="765"/>
    <x v="186"/>
    <x v="185"/>
    <x v="103"/>
    <x v="189"/>
    <x v="2"/>
    <x v="5"/>
    <x v="7"/>
    <x v="0"/>
    <x v="0"/>
    <x v="151"/>
  </r>
  <r>
    <x v="158"/>
    <x v="207"/>
    <x v="2"/>
    <x v="42"/>
    <x v="30"/>
    <x v="30"/>
    <x v="3"/>
    <x v="461"/>
    <x v="558"/>
    <x v="1184"/>
    <x v="1310"/>
    <x v="702"/>
    <x v="923"/>
    <x v="2"/>
    <x v="5"/>
    <x v="6"/>
    <x v="0"/>
    <x v="4"/>
    <x v="30"/>
  </r>
  <r>
    <x v="159"/>
    <x v="3"/>
    <x v="7"/>
    <x v="87"/>
    <x v="56"/>
    <x v="51"/>
    <x v="3"/>
    <x v="284"/>
    <x v="1017"/>
    <x v="1171"/>
    <x v="1116"/>
    <x v="658"/>
    <x v="663"/>
    <x v="2"/>
    <x v="5"/>
    <x v="5"/>
    <x v="1"/>
    <x v="5"/>
    <x v="55"/>
  </r>
  <r>
    <x v="160"/>
    <x v="18"/>
    <x v="41"/>
    <x v="17"/>
    <x v="157"/>
    <x v="157"/>
    <x v="2"/>
    <x v="127"/>
    <x v="1181"/>
    <x v="282"/>
    <x v="320"/>
    <x v="0"/>
    <x v="1002"/>
    <x v="1"/>
    <x v="0"/>
    <x v="7"/>
    <x v="1"/>
    <x v="3"/>
    <x v="213"/>
  </r>
  <r>
    <x v="161"/>
    <x v="270"/>
    <x v="1"/>
    <x v="26"/>
    <x v="121"/>
    <x v="118"/>
    <x v="3"/>
    <x v="665"/>
    <x v="915"/>
    <x v="69"/>
    <x v="68"/>
    <x v="0"/>
    <x v="539"/>
    <x v="1"/>
    <x v="4"/>
    <x v="5"/>
    <x v="0"/>
    <x v="6"/>
    <x v="213"/>
  </r>
  <r>
    <x v="162"/>
    <x v="93"/>
    <x v="38"/>
    <x v="14"/>
    <x v="71"/>
    <x v="71"/>
    <x v="3"/>
    <x v="584"/>
    <x v="830"/>
    <x v="524"/>
    <x v="540"/>
    <x v="270"/>
    <x v="621"/>
    <x v="2"/>
    <x v="5"/>
    <x v="6"/>
    <x v="1"/>
    <x v="0"/>
    <x v="71"/>
  </r>
  <r>
    <x v="163"/>
    <x v="108"/>
    <x v="33"/>
    <x v="38"/>
    <x v="72"/>
    <x v="69"/>
    <x v="0"/>
    <x v="89"/>
    <x v="971"/>
    <x v="1310"/>
    <x v="1255"/>
    <x v="778"/>
    <x v="323"/>
    <x v="2"/>
    <x v="5"/>
    <x v="4"/>
    <x v="0"/>
    <x v="1"/>
    <x v="70"/>
  </r>
  <r>
    <x v="164"/>
    <x v="170"/>
    <x v="30"/>
    <x v="93"/>
    <x v="51"/>
    <x v="51"/>
    <x v="3"/>
    <x v="646"/>
    <x v="858"/>
    <x v="36"/>
    <x v="33"/>
    <x v="22"/>
    <x v="49"/>
    <x v="2"/>
    <x v="5"/>
    <x v="3"/>
    <x v="0"/>
    <x v="1"/>
    <x v="48"/>
  </r>
  <r>
    <x v="165"/>
    <x v="194"/>
    <x v="45"/>
    <x v="66"/>
    <x v="29"/>
    <x v="25"/>
    <x v="1"/>
    <x v="3"/>
    <x v="818"/>
    <x v="191"/>
    <x v="208"/>
    <x v="0"/>
    <x v="878"/>
    <x v="3"/>
    <x v="5"/>
    <x v="10"/>
    <x v="0"/>
    <x v="4"/>
    <x v="213"/>
  </r>
  <r>
    <x v="166"/>
    <x v="11"/>
    <x v="36"/>
    <x v="97"/>
    <x v="152"/>
    <x v="152"/>
    <x v="3"/>
    <x v="529"/>
    <x v="549"/>
    <x v="1338"/>
    <x v="1149"/>
    <x v="712"/>
    <x v="402"/>
    <x v="2"/>
    <x v="5"/>
    <x v="4"/>
    <x v="2"/>
    <x v="6"/>
    <x v="149"/>
  </r>
  <r>
    <x v="167"/>
    <x v="78"/>
    <x v="17"/>
    <x v="14"/>
    <x v="51"/>
    <x v="49"/>
    <x v="1"/>
    <x v="516"/>
    <x v="1310"/>
    <x v="444"/>
    <x v="441"/>
    <x v="216"/>
    <x v="560"/>
    <x v="2"/>
    <x v="5"/>
    <x v="2"/>
    <x v="0"/>
    <x v="6"/>
    <x v="47"/>
  </r>
  <r>
    <x v="168"/>
    <x v="85"/>
    <x v="4"/>
    <x v="39"/>
    <x v="140"/>
    <x v="138"/>
    <x v="3"/>
    <x v="444"/>
    <x v="1135"/>
    <x v="385"/>
    <x v="456"/>
    <x v="275"/>
    <x v="176"/>
    <x v="2"/>
    <x v="5"/>
    <x v="3"/>
    <x v="0"/>
    <x v="6"/>
    <x v="136"/>
  </r>
  <r>
    <x v="169"/>
    <x v="196"/>
    <x v="11"/>
    <x v="90"/>
    <x v="10"/>
    <x v="7"/>
    <x v="2"/>
    <x v="511"/>
    <x v="925"/>
    <x v="61"/>
    <x v="59"/>
    <x v="0"/>
    <x v="485"/>
    <x v="1"/>
    <x v="0"/>
    <x v="1"/>
    <x v="2"/>
    <x v="3"/>
    <x v="213"/>
  </r>
  <r>
    <x v="170"/>
    <x v="286"/>
    <x v="8"/>
    <x v="11"/>
    <x v="210"/>
    <x v="209"/>
    <x v="2"/>
    <x v="78"/>
    <x v="1171"/>
    <x v="996"/>
    <x v="1028"/>
    <x v="0"/>
    <x v="1296"/>
    <x v="3"/>
    <x v="5"/>
    <x v="10"/>
    <x v="2"/>
    <x v="4"/>
    <x v="213"/>
  </r>
  <r>
    <x v="171"/>
    <x v="130"/>
    <x v="23"/>
    <x v="50"/>
    <x v="169"/>
    <x v="164"/>
    <x v="0"/>
    <x v="579"/>
    <x v="868"/>
    <x v="663"/>
    <x v="814"/>
    <x v="0"/>
    <x v="1212"/>
    <x v="1"/>
    <x v="4"/>
    <x v="2"/>
    <x v="2"/>
    <x v="2"/>
    <x v="213"/>
  </r>
  <r>
    <x v="172"/>
    <x v="174"/>
    <x v="38"/>
    <x v="73"/>
    <x v="124"/>
    <x v="124"/>
    <x v="0"/>
    <x v="418"/>
    <x v="271"/>
    <x v="157"/>
    <x v="157"/>
    <x v="96"/>
    <x v="54"/>
    <x v="2"/>
    <x v="5"/>
    <x v="4"/>
    <x v="2"/>
    <x v="1"/>
    <x v="121"/>
  </r>
  <r>
    <x v="173"/>
    <x v="207"/>
    <x v="15"/>
    <x v="79"/>
    <x v="182"/>
    <x v="182"/>
    <x v="0"/>
    <x v="449"/>
    <x v="420"/>
    <x v="960"/>
    <x v="1096"/>
    <x v="651"/>
    <x v="641"/>
    <x v="2"/>
    <x v="5"/>
    <x v="6"/>
    <x v="2"/>
    <x v="2"/>
    <x v="181"/>
  </r>
  <r>
    <x v="174"/>
    <x v="274"/>
    <x v="44"/>
    <x v="30"/>
    <x v="18"/>
    <x v="16"/>
    <x v="0"/>
    <x v="550"/>
    <x v="215"/>
    <x v="1027"/>
    <x v="1023"/>
    <x v="686"/>
    <x v="37"/>
    <x v="2"/>
    <x v="5"/>
    <x v="5"/>
    <x v="1"/>
    <x v="4"/>
    <x v="18"/>
  </r>
  <r>
    <x v="175"/>
    <x v="88"/>
    <x v="19"/>
    <x v="51"/>
    <x v="149"/>
    <x v="146"/>
    <x v="1"/>
    <x v="495"/>
    <x v="286"/>
    <x v="874"/>
    <x v="821"/>
    <x v="415"/>
    <x v="803"/>
    <x v="2"/>
    <x v="5"/>
    <x v="7"/>
    <x v="1"/>
    <x v="1"/>
    <x v="149"/>
  </r>
  <r>
    <x v="176"/>
    <x v="293"/>
    <x v="48"/>
    <x v="81"/>
    <x v="155"/>
    <x v="152"/>
    <x v="1"/>
    <x v="630"/>
    <x v="383"/>
    <x v="957"/>
    <x v="793"/>
    <x v="416"/>
    <x v="722"/>
    <x v="2"/>
    <x v="5"/>
    <x v="2"/>
    <x v="1"/>
    <x v="6"/>
    <x v="150"/>
  </r>
  <r>
    <x v="177"/>
    <x v="150"/>
    <x v="36"/>
    <x v="86"/>
    <x v="119"/>
    <x v="115"/>
    <x v="3"/>
    <x v="359"/>
    <x v="900"/>
    <x v="908"/>
    <x v="906"/>
    <x v="469"/>
    <x v="781"/>
    <x v="2"/>
    <x v="5"/>
    <x v="5"/>
    <x v="0"/>
    <x v="5"/>
    <x v="117"/>
  </r>
  <r>
    <x v="178"/>
    <x v="31"/>
    <x v="23"/>
    <x v="70"/>
    <x v="6"/>
    <x v="2"/>
    <x v="1"/>
    <x v="0"/>
    <x v="935"/>
    <x v="573"/>
    <x v="492"/>
    <x v="0"/>
    <x v="1086"/>
    <x v="0"/>
    <x v="5"/>
    <x v="4"/>
    <x v="0"/>
    <x v="1"/>
    <x v="213"/>
  </r>
  <r>
    <x v="179"/>
    <x v="203"/>
    <x v="24"/>
    <x v="55"/>
    <x v="72"/>
    <x v="72"/>
    <x v="0"/>
    <x v="550"/>
    <x v="458"/>
    <x v="1042"/>
    <x v="1016"/>
    <x v="563"/>
    <x v="757"/>
    <x v="2"/>
    <x v="5"/>
    <x v="6"/>
    <x v="2"/>
    <x v="6"/>
    <x v="72"/>
  </r>
  <r>
    <x v="180"/>
    <x v="66"/>
    <x v="0"/>
    <x v="9"/>
    <x v="52"/>
    <x v="48"/>
    <x v="1"/>
    <x v="116"/>
    <x v="1248"/>
    <x v="1391"/>
    <x v="1457"/>
    <x v="797"/>
    <x v="995"/>
    <x v="2"/>
    <x v="5"/>
    <x v="2"/>
    <x v="1"/>
    <x v="2"/>
    <x v="48"/>
  </r>
  <r>
    <x v="181"/>
    <x v="90"/>
    <x v="29"/>
    <x v="65"/>
    <x v="34"/>
    <x v="34"/>
    <x v="2"/>
    <x v="453"/>
    <x v="1156"/>
    <x v="1201"/>
    <x v="1355"/>
    <x v="830"/>
    <x v="249"/>
    <x v="2"/>
    <x v="5"/>
    <x v="6"/>
    <x v="2"/>
    <x v="3"/>
    <x v="34"/>
  </r>
  <r>
    <x v="182"/>
    <x v="206"/>
    <x v="34"/>
    <x v="73"/>
    <x v="58"/>
    <x v="57"/>
    <x v="3"/>
    <x v="24"/>
    <x v="110"/>
    <x v="10"/>
    <x v="8"/>
    <x v="8"/>
    <x v="14"/>
    <x v="2"/>
    <x v="5"/>
    <x v="4"/>
    <x v="1"/>
    <x v="2"/>
    <x v="56"/>
  </r>
  <r>
    <x v="183"/>
    <x v="234"/>
    <x v="33"/>
    <x v="10"/>
    <x v="182"/>
    <x v="180"/>
    <x v="1"/>
    <x v="204"/>
    <x v="1214"/>
    <x v="697"/>
    <x v="757"/>
    <x v="386"/>
    <x v="744"/>
    <x v="2"/>
    <x v="5"/>
    <x v="4"/>
    <x v="1"/>
    <x v="4"/>
    <x v="179"/>
  </r>
  <r>
    <x v="184"/>
    <x v="171"/>
    <x v="34"/>
    <x v="99"/>
    <x v="174"/>
    <x v="169"/>
    <x v="1"/>
    <x v="389"/>
    <x v="1168"/>
    <x v="936"/>
    <x v="1059"/>
    <x v="601"/>
    <x v="787"/>
    <x v="2"/>
    <x v="5"/>
    <x v="0"/>
    <x v="1"/>
    <x v="2"/>
    <x v="167"/>
  </r>
  <r>
    <x v="185"/>
    <x v="18"/>
    <x v="44"/>
    <x v="76"/>
    <x v="151"/>
    <x v="146"/>
    <x v="3"/>
    <x v="604"/>
    <x v="682"/>
    <x v="490"/>
    <x v="600"/>
    <x v="315"/>
    <x v="583"/>
    <x v="2"/>
    <x v="5"/>
    <x v="2"/>
    <x v="0"/>
    <x v="4"/>
    <x v="146"/>
  </r>
  <r>
    <x v="186"/>
    <x v="144"/>
    <x v="31"/>
    <x v="10"/>
    <x v="125"/>
    <x v="121"/>
    <x v="0"/>
    <x v="416"/>
    <x v="210"/>
    <x v="62"/>
    <x v="77"/>
    <x v="51"/>
    <x v="39"/>
    <x v="2"/>
    <x v="5"/>
    <x v="0"/>
    <x v="2"/>
    <x v="3"/>
    <x v="118"/>
  </r>
  <r>
    <x v="187"/>
    <x v="75"/>
    <x v="42"/>
    <x v="57"/>
    <x v="37"/>
    <x v="33"/>
    <x v="3"/>
    <x v="673"/>
    <x v="464"/>
    <x v="1273"/>
    <x v="1051"/>
    <x v="540"/>
    <x v="892"/>
    <x v="2"/>
    <x v="5"/>
    <x v="2"/>
    <x v="2"/>
    <x v="1"/>
    <x v="33"/>
  </r>
  <r>
    <x v="188"/>
    <x v="72"/>
    <x v="38"/>
    <x v="19"/>
    <x v="180"/>
    <x v="179"/>
    <x v="2"/>
    <x v="627"/>
    <x v="1063"/>
    <x v="1190"/>
    <x v="1345"/>
    <x v="743"/>
    <x v="867"/>
    <x v="2"/>
    <x v="5"/>
    <x v="1"/>
    <x v="2"/>
    <x v="6"/>
    <x v="174"/>
  </r>
  <r>
    <x v="189"/>
    <x v="27"/>
    <x v="41"/>
    <x v="33"/>
    <x v="172"/>
    <x v="169"/>
    <x v="1"/>
    <x v="39"/>
    <x v="446"/>
    <x v="242"/>
    <x v="254"/>
    <x v="0"/>
    <x v="938"/>
    <x v="3"/>
    <x v="5"/>
    <x v="8"/>
    <x v="2"/>
    <x v="2"/>
    <x v="213"/>
  </r>
  <r>
    <x v="190"/>
    <x v="238"/>
    <x v="16"/>
    <x v="18"/>
    <x v="123"/>
    <x v="121"/>
    <x v="2"/>
    <x v="9"/>
    <x v="761"/>
    <x v="1421"/>
    <x v="1487"/>
    <x v="827"/>
    <x v="985"/>
    <x v="2"/>
    <x v="5"/>
    <x v="6"/>
    <x v="2"/>
    <x v="2"/>
    <x v="122"/>
  </r>
  <r>
    <x v="191"/>
    <x v="217"/>
    <x v="39"/>
    <x v="83"/>
    <x v="175"/>
    <x v="173"/>
    <x v="3"/>
    <x v="278"/>
    <x v="710"/>
    <x v="1010"/>
    <x v="834"/>
    <x v="0"/>
    <x v="1221"/>
    <x v="0"/>
    <x v="5"/>
    <x v="5"/>
    <x v="2"/>
    <x v="1"/>
    <x v="213"/>
  </r>
  <r>
    <x v="192"/>
    <x v="121"/>
    <x v="46"/>
    <x v="86"/>
    <x v="27"/>
    <x v="25"/>
    <x v="0"/>
    <x v="427"/>
    <x v="884"/>
    <x v="551"/>
    <x v="619"/>
    <x v="0"/>
    <x v="1145"/>
    <x v="3"/>
    <x v="5"/>
    <x v="14"/>
    <x v="1"/>
    <x v="4"/>
    <x v="213"/>
  </r>
  <r>
    <x v="193"/>
    <x v="264"/>
    <x v="6"/>
    <x v="87"/>
    <x v="48"/>
    <x v="46"/>
    <x v="2"/>
    <x v="289"/>
    <x v="576"/>
    <x v="997"/>
    <x v="1155"/>
    <x v="575"/>
    <x v="954"/>
    <x v="2"/>
    <x v="5"/>
    <x v="1"/>
    <x v="1"/>
    <x v="3"/>
    <x v="43"/>
  </r>
  <r>
    <x v="194"/>
    <x v="60"/>
    <x v="45"/>
    <x v="15"/>
    <x v="65"/>
    <x v="64"/>
    <x v="1"/>
    <x v="713"/>
    <x v="339"/>
    <x v="915"/>
    <x v="752"/>
    <x v="448"/>
    <x v="460"/>
    <x v="2"/>
    <x v="5"/>
    <x v="3"/>
    <x v="2"/>
    <x v="4"/>
    <x v="62"/>
  </r>
  <r>
    <x v="195"/>
    <x v="147"/>
    <x v="29"/>
    <x v="84"/>
    <x v="200"/>
    <x v="195"/>
    <x v="1"/>
    <x v="529"/>
    <x v="1164"/>
    <x v="1448"/>
    <x v="1490"/>
    <x v="861"/>
    <x v="640"/>
    <x v="2"/>
    <x v="5"/>
    <x v="4"/>
    <x v="2"/>
    <x v="1"/>
    <x v="197"/>
  </r>
  <r>
    <x v="196"/>
    <x v="139"/>
    <x v="49"/>
    <x v="7"/>
    <x v="114"/>
    <x v="109"/>
    <x v="2"/>
    <x v="322"/>
    <x v="871"/>
    <x v="1148"/>
    <x v="1088"/>
    <x v="0"/>
    <x v="1317"/>
    <x v="1"/>
    <x v="2"/>
    <x v="2"/>
    <x v="0"/>
    <x v="3"/>
    <x v="213"/>
  </r>
  <r>
    <x v="197"/>
    <x v="89"/>
    <x v="41"/>
    <x v="62"/>
    <x v="210"/>
    <x v="208"/>
    <x v="1"/>
    <x v="116"/>
    <x v="1363"/>
    <x v="92"/>
    <x v="114"/>
    <x v="58"/>
    <x v="201"/>
    <x v="2"/>
    <x v="5"/>
    <x v="6"/>
    <x v="2"/>
    <x v="6"/>
    <x v="208"/>
  </r>
  <r>
    <x v="198"/>
    <x v="288"/>
    <x v="46"/>
    <x v="32"/>
    <x v="162"/>
    <x v="157"/>
    <x v="2"/>
    <x v="13"/>
    <x v="1275"/>
    <x v="627"/>
    <x v="571"/>
    <x v="274"/>
    <x v="692"/>
    <x v="2"/>
    <x v="5"/>
    <x v="1"/>
    <x v="0"/>
    <x v="4"/>
    <x v="156"/>
  </r>
  <r>
    <x v="199"/>
    <x v="290"/>
    <x v="0"/>
    <x v="65"/>
    <x v="163"/>
    <x v="163"/>
    <x v="2"/>
    <x v="394"/>
    <x v="1118"/>
    <x v="983"/>
    <x v="912"/>
    <x v="0"/>
    <x v="1250"/>
    <x v="1"/>
    <x v="0"/>
    <x v="5"/>
    <x v="2"/>
    <x v="1"/>
    <x v="213"/>
  </r>
  <r>
    <x v="200"/>
    <x v="60"/>
    <x v="36"/>
    <x v="68"/>
    <x v="186"/>
    <x v="186"/>
    <x v="3"/>
    <x v="277"/>
    <x v="794"/>
    <x v="5"/>
    <x v="6"/>
    <x v="6"/>
    <x v="7"/>
    <x v="2"/>
    <x v="5"/>
    <x v="7"/>
    <x v="2"/>
    <x v="0"/>
    <x v="186"/>
  </r>
  <r>
    <x v="201"/>
    <x v="146"/>
    <x v="41"/>
    <x v="25"/>
    <x v="166"/>
    <x v="161"/>
    <x v="0"/>
    <x v="455"/>
    <x v="115"/>
    <x v="780"/>
    <x v="947"/>
    <x v="470"/>
    <x v="859"/>
    <x v="2"/>
    <x v="5"/>
    <x v="7"/>
    <x v="2"/>
    <x v="4"/>
    <x v="166"/>
  </r>
  <r>
    <x v="202"/>
    <x v="245"/>
    <x v="5"/>
    <x v="80"/>
    <x v="50"/>
    <x v="48"/>
    <x v="2"/>
    <x v="612"/>
    <x v="503"/>
    <x v="1345"/>
    <x v="1372"/>
    <x v="0"/>
    <x v="1451"/>
    <x v="3"/>
    <x v="5"/>
    <x v="8"/>
    <x v="0"/>
    <x v="0"/>
    <x v="213"/>
  </r>
  <r>
    <x v="203"/>
    <x v="272"/>
    <x v="41"/>
    <x v="39"/>
    <x v="49"/>
    <x v="49"/>
    <x v="2"/>
    <x v="437"/>
    <x v="1152"/>
    <x v="864"/>
    <x v="882"/>
    <x v="0"/>
    <x v="1236"/>
    <x v="3"/>
    <x v="5"/>
    <x v="4"/>
    <x v="0"/>
    <x v="0"/>
    <x v="213"/>
  </r>
  <r>
    <x v="204"/>
    <x v="270"/>
    <x v="9"/>
    <x v="94"/>
    <x v="86"/>
    <x v="86"/>
    <x v="0"/>
    <x v="55"/>
    <x v="107"/>
    <x v="1062"/>
    <x v="1047"/>
    <x v="561"/>
    <x v="836"/>
    <x v="2"/>
    <x v="5"/>
    <x v="7"/>
    <x v="1"/>
    <x v="6"/>
    <x v="87"/>
  </r>
  <r>
    <x v="205"/>
    <x v="7"/>
    <x v="11"/>
    <x v="80"/>
    <x v="130"/>
    <x v="125"/>
    <x v="1"/>
    <x v="256"/>
    <x v="258"/>
    <x v="1360"/>
    <x v="1383"/>
    <x v="749"/>
    <x v="936"/>
    <x v="2"/>
    <x v="5"/>
    <x v="2"/>
    <x v="2"/>
    <x v="5"/>
    <x v="125"/>
  </r>
  <r>
    <x v="206"/>
    <x v="32"/>
    <x v="12"/>
    <x v="54"/>
    <x v="47"/>
    <x v="43"/>
    <x v="3"/>
    <x v="676"/>
    <x v="1032"/>
    <x v="1216"/>
    <x v="1050"/>
    <x v="643"/>
    <x v="566"/>
    <x v="2"/>
    <x v="5"/>
    <x v="3"/>
    <x v="2"/>
    <x v="0"/>
    <x v="44"/>
  </r>
  <r>
    <x v="207"/>
    <x v="86"/>
    <x v="21"/>
    <x v="8"/>
    <x v="179"/>
    <x v="175"/>
    <x v="1"/>
    <x v="229"/>
    <x v="364"/>
    <x v="446"/>
    <x v="539"/>
    <x v="278"/>
    <x v="593"/>
    <x v="2"/>
    <x v="5"/>
    <x v="0"/>
    <x v="2"/>
    <x v="6"/>
    <x v="172"/>
  </r>
  <r>
    <x v="208"/>
    <x v="188"/>
    <x v="49"/>
    <x v="20"/>
    <x v="180"/>
    <x v="178"/>
    <x v="1"/>
    <x v="400"/>
    <x v="220"/>
    <x v="620"/>
    <x v="747"/>
    <x v="359"/>
    <x v="794"/>
    <x v="2"/>
    <x v="5"/>
    <x v="1"/>
    <x v="0"/>
    <x v="0"/>
    <x v="174"/>
  </r>
  <r>
    <x v="209"/>
    <x v="239"/>
    <x v="44"/>
    <x v="16"/>
    <x v="45"/>
    <x v="45"/>
    <x v="0"/>
    <x v="115"/>
    <x v="712"/>
    <x v="865"/>
    <x v="804"/>
    <x v="0"/>
    <x v="1211"/>
    <x v="3"/>
    <x v="5"/>
    <x v="14"/>
    <x v="1"/>
    <x v="2"/>
    <x v="213"/>
  </r>
  <r>
    <x v="210"/>
    <x v="44"/>
    <x v="40"/>
    <x v="38"/>
    <x v="106"/>
    <x v="105"/>
    <x v="3"/>
    <x v="346"/>
    <x v="14"/>
    <x v="899"/>
    <x v="733"/>
    <x v="0"/>
    <x v="1184"/>
    <x v="1"/>
    <x v="0"/>
    <x v="2"/>
    <x v="1"/>
    <x v="6"/>
    <x v="213"/>
  </r>
  <r>
    <x v="211"/>
    <x v="233"/>
    <x v="49"/>
    <x v="80"/>
    <x v="49"/>
    <x v="49"/>
    <x v="0"/>
    <x v="232"/>
    <x v="152"/>
    <x v="1464"/>
    <x v="1445"/>
    <x v="0"/>
    <x v="1479"/>
    <x v="0"/>
    <x v="5"/>
    <x v="3"/>
    <x v="0"/>
    <x v="0"/>
    <x v="213"/>
  </r>
  <r>
    <x v="212"/>
    <x v="79"/>
    <x v="42"/>
    <x v="5"/>
    <x v="204"/>
    <x v="203"/>
    <x v="1"/>
    <x v="535"/>
    <x v="949"/>
    <x v="1454"/>
    <x v="1392"/>
    <x v="0"/>
    <x v="1458"/>
    <x v="3"/>
    <x v="5"/>
    <x v="5"/>
    <x v="2"/>
    <x v="6"/>
    <x v="213"/>
  </r>
  <r>
    <x v="213"/>
    <x v="271"/>
    <x v="11"/>
    <x v="20"/>
    <x v="113"/>
    <x v="111"/>
    <x v="1"/>
    <x v="399"/>
    <x v="1311"/>
    <x v="1198"/>
    <x v="1327"/>
    <x v="684"/>
    <x v="987"/>
    <x v="2"/>
    <x v="5"/>
    <x v="0"/>
    <x v="0"/>
    <x v="0"/>
    <x v="106"/>
  </r>
  <r>
    <x v="214"/>
    <x v="115"/>
    <x v="49"/>
    <x v="14"/>
    <x v="65"/>
    <x v="60"/>
    <x v="3"/>
    <x v="187"/>
    <x v="261"/>
    <x v="843"/>
    <x v="832"/>
    <x v="527"/>
    <x v="325"/>
    <x v="2"/>
    <x v="5"/>
    <x v="5"/>
    <x v="0"/>
    <x v="4"/>
    <x v="64"/>
  </r>
  <r>
    <x v="215"/>
    <x v="72"/>
    <x v="13"/>
    <x v="78"/>
    <x v="106"/>
    <x v="105"/>
    <x v="2"/>
    <x v="149"/>
    <x v="1000"/>
    <x v="315"/>
    <x v="319"/>
    <x v="176"/>
    <x v="283"/>
    <x v="2"/>
    <x v="5"/>
    <x v="6"/>
    <x v="2"/>
    <x v="6"/>
    <x v="105"/>
  </r>
  <r>
    <x v="216"/>
    <x v="287"/>
    <x v="3"/>
    <x v="35"/>
    <x v="122"/>
    <x v="117"/>
    <x v="0"/>
    <x v="88"/>
    <x v="1191"/>
    <x v="497"/>
    <x v="468"/>
    <x v="242"/>
    <x v="474"/>
    <x v="2"/>
    <x v="5"/>
    <x v="0"/>
    <x v="2"/>
    <x v="2"/>
    <x v="115"/>
  </r>
  <r>
    <x v="217"/>
    <x v="291"/>
    <x v="35"/>
    <x v="29"/>
    <x v="45"/>
    <x v="43"/>
    <x v="1"/>
    <x v="340"/>
    <x v="1323"/>
    <x v="416"/>
    <x v="373"/>
    <x v="218"/>
    <x v="156"/>
    <x v="2"/>
    <x v="5"/>
    <x v="2"/>
    <x v="2"/>
    <x v="1"/>
    <x v="41"/>
  </r>
  <r>
    <x v="218"/>
    <x v="124"/>
    <x v="20"/>
    <x v="55"/>
    <x v="59"/>
    <x v="55"/>
    <x v="0"/>
    <x v="490"/>
    <x v="388"/>
    <x v="647"/>
    <x v="535"/>
    <x v="297"/>
    <x v="471"/>
    <x v="2"/>
    <x v="5"/>
    <x v="3"/>
    <x v="1"/>
    <x v="0"/>
    <x v="56"/>
  </r>
  <r>
    <x v="219"/>
    <x v="241"/>
    <x v="44"/>
    <x v="12"/>
    <x v="106"/>
    <x v="106"/>
    <x v="2"/>
    <x v="407"/>
    <x v="622"/>
    <x v="664"/>
    <x v="763"/>
    <x v="370"/>
    <x v="804"/>
    <x v="2"/>
    <x v="5"/>
    <x v="6"/>
    <x v="0"/>
    <x v="5"/>
    <x v="105"/>
  </r>
  <r>
    <x v="220"/>
    <x v="148"/>
    <x v="15"/>
    <x v="82"/>
    <x v="192"/>
    <x v="192"/>
    <x v="1"/>
    <x v="12"/>
    <x v="1235"/>
    <x v="575"/>
    <x v="516"/>
    <x v="0"/>
    <x v="1097"/>
    <x v="3"/>
    <x v="5"/>
    <x v="8"/>
    <x v="1"/>
    <x v="3"/>
    <x v="213"/>
  </r>
  <r>
    <x v="221"/>
    <x v="68"/>
    <x v="45"/>
    <x v="51"/>
    <x v="46"/>
    <x v="41"/>
    <x v="0"/>
    <x v="658"/>
    <x v="965"/>
    <x v="831"/>
    <x v="879"/>
    <x v="606"/>
    <x v="42"/>
    <x v="2"/>
    <x v="5"/>
    <x v="7"/>
    <x v="1"/>
    <x v="2"/>
    <x v="47"/>
  </r>
  <r>
    <x v="222"/>
    <x v="148"/>
    <x v="27"/>
    <x v="96"/>
    <x v="185"/>
    <x v="180"/>
    <x v="3"/>
    <x v="577"/>
    <x v="1370"/>
    <x v="925"/>
    <x v="896"/>
    <x v="556"/>
    <x v="418"/>
    <x v="2"/>
    <x v="5"/>
    <x v="0"/>
    <x v="1"/>
    <x v="1"/>
    <x v="178"/>
  </r>
  <r>
    <x v="223"/>
    <x v="26"/>
    <x v="7"/>
    <x v="49"/>
    <x v="58"/>
    <x v="53"/>
    <x v="3"/>
    <x v="386"/>
    <x v="122"/>
    <x v="1323"/>
    <x v="1394"/>
    <x v="727"/>
    <x v="1001"/>
    <x v="2"/>
    <x v="5"/>
    <x v="5"/>
    <x v="2"/>
    <x v="3"/>
    <x v="57"/>
  </r>
  <r>
    <x v="224"/>
    <x v="120"/>
    <x v="34"/>
    <x v="14"/>
    <x v="49"/>
    <x v="44"/>
    <x v="2"/>
    <x v="615"/>
    <x v="548"/>
    <x v="90"/>
    <x v="98"/>
    <x v="49"/>
    <x v="183"/>
    <x v="2"/>
    <x v="5"/>
    <x v="5"/>
    <x v="1"/>
    <x v="1"/>
    <x v="48"/>
  </r>
  <r>
    <x v="225"/>
    <x v="186"/>
    <x v="22"/>
    <x v="57"/>
    <x v="59"/>
    <x v="57"/>
    <x v="2"/>
    <x v="412"/>
    <x v="1330"/>
    <x v="380"/>
    <x v="404"/>
    <x v="213"/>
    <x v="462"/>
    <x v="2"/>
    <x v="5"/>
    <x v="1"/>
    <x v="0"/>
    <x v="2"/>
    <x v="54"/>
  </r>
  <r>
    <x v="226"/>
    <x v="184"/>
    <x v="43"/>
    <x v="88"/>
    <x v="185"/>
    <x v="181"/>
    <x v="1"/>
    <x v="158"/>
    <x v="1174"/>
    <x v="777"/>
    <x v="706"/>
    <x v="0"/>
    <x v="1169"/>
    <x v="3"/>
    <x v="5"/>
    <x v="12"/>
    <x v="0"/>
    <x v="0"/>
    <x v="213"/>
  </r>
  <r>
    <x v="227"/>
    <x v="250"/>
    <x v="9"/>
    <x v="26"/>
    <x v="101"/>
    <x v="100"/>
    <x v="1"/>
    <x v="243"/>
    <x v="1071"/>
    <x v="1431"/>
    <x v="1225"/>
    <x v="681"/>
    <x v="866"/>
    <x v="2"/>
    <x v="5"/>
    <x v="2"/>
    <x v="1"/>
    <x v="5"/>
    <x v="96"/>
  </r>
  <r>
    <x v="228"/>
    <x v="11"/>
    <x v="14"/>
    <x v="66"/>
    <x v="36"/>
    <x v="33"/>
    <x v="3"/>
    <x v="340"/>
    <x v="897"/>
    <x v="630"/>
    <x v="676"/>
    <x v="356"/>
    <x v="637"/>
    <x v="2"/>
    <x v="5"/>
    <x v="1"/>
    <x v="1"/>
    <x v="4"/>
    <x v="31"/>
  </r>
  <r>
    <x v="229"/>
    <x v="152"/>
    <x v="36"/>
    <x v="16"/>
    <x v="203"/>
    <x v="201"/>
    <x v="3"/>
    <x v="142"/>
    <x v="680"/>
    <x v="987"/>
    <x v="1015"/>
    <x v="621"/>
    <x v="597"/>
    <x v="2"/>
    <x v="5"/>
    <x v="7"/>
    <x v="0"/>
    <x v="2"/>
    <x v="202"/>
  </r>
  <r>
    <x v="230"/>
    <x v="80"/>
    <x v="45"/>
    <x v="68"/>
    <x v="97"/>
    <x v="95"/>
    <x v="3"/>
    <x v="152"/>
    <x v="464"/>
    <x v="57"/>
    <x v="53"/>
    <x v="0"/>
    <x v="466"/>
    <x v="1"/>
    <x v="3"/>
    <x v="7"/>
    <x v="1"/>
    <x v="4"/>
    <x v="213"/>
  </r>
  <r>
    <x v="231"/>
    <x v="131"/>
    <x v="23"/>
    <x v="23"/>
    <x v="171"/>
    <x v="170"/>
    <x v="0"/>
    <x v="463"/>
    <x v="97"/>
    <x v="162"/>
    <x v="200"/>
    <x v="111"/>
    <x v="174"/>
    <x v="2"/>
    <x v="5"/>
    <x v="7"/>
    <x v="1"/>
    <x v="3"/>
    <x v="171"/>
  </r>
  <r>
    <x v="232"/>
    <x v="203"/>
    <x v="31"/>
    <x v="98"/>
    <x v="89"/>
    <x v="88"/>
    <x v="0"/>
    <x v="381"/>
    <x v="840"/>
    <x v="792"/>
    <x v="680"/>
    <x v="361"/>
    <x v="631"/>
    <x v="2"/>
    <x v="5"/>
    <x v="0"/>
    <x v="0"/>
    <x v="0"/>
    <x v="83"/>
  </r>
  <r>
    <x v="233"/>
    <x v="146"/>
    <x v="48"/>
    <x v="73"/>
    <x v="193"/>
    <x v="189"/>
    <x v="0"/>
    <x v="665"/>
    <x v="1130"/>
    <x v="461"/>
    <x v="506"/>
    <x v="0"/>
    <x v="1093"/>
    <x v="0"/>
    <x v="5"/>
    <x v="7"/>
    <x v="2"/>
    <x v="4"/>
    <x v="213"/>
  </r>
  <r>
    <x v="234"/>
    <x v="201"/>
    <x v="39"/>
    <x v="28"/>
    <x v="33"/>
    <x v="28"/>
    <x v="2"/>
    <x v="295"/>
    <x v="246"/>
    <x v="46"/>
    <x v="50"/>
    <x v="24"/>
    <x v="137"/>
    <x v="2"/>
    <x v="5"/>
    <x v="0"/>
    <x v="2"/>
    <x v="0"/>
    <x v="28"/>
  </r>
  <r>
    <x v="235"/>
    <x v="11"/>
    <x v="5"/>
    <x v="68"/>
    <x v="160"/>
    <x v="155"/>
    <x v="2"/>
    <x v="562"/>
    <x v="236"/>
    <x v="764"/>
    <x v="868"/>
    <x v="549"/>
    <x v="316"/>
    <x v="2"/>
    <x v="5"/>
    <x v="3"/>
    <x v="1"/>
    <x v="2"/>
    <x v="156"/>
  </r>
  <r>
    <x v="236"/>
    <x v="199"/>
    <x v="9"/>
    <x v="91"/>
    <x v="52"/>
    <x v="49"/>
    <x v="2"/>
    <x v="306"/>
    <x v="995"/>
    <x v="892"/>
    <x v="1064"/>
    <x v="699"/>
    <x v="180"/>
    <x v="2"/>
    <x v="5"/>
    <x v="5"/>
    <x v="2"/>
    <x v="0"/>
    <x v="51"/>
  </r>
  <r>
    <x v="237"/>
    <x v="208"/>
    <x v="28"/>
    <x v="36"/>
    <x v="74"/>
    <x v="72"/>
    <x v="0"/>
    <x v="671"/>
    <x v="1096"/>
    <x v="1466"/>
    <x v="1491"/>
    <x v="816"/>
    <x v="1024"/>
    <x v="2"/>
    <x v="5"/>
    <x v="7"/>
    <x v="1"/>
    <x v="2"/>
    <x v="75"/>
  </r>
  <r>
    <x v="238"/>
    <x v="168"/>
    <x v="4"/>
    <x v="75"/>
    <x v="39"/>
    <x v="35"/>
    <x v="2"/>
    <x v="70"/>
    <x v="21"/>
    <x v="208"/>
    <x v="183"/>
    <x v="0"/>
    <x v="845"/>
    <x v="3"/>
    <x v="5"/>
    <x v="11"/>
    <x v="2"/>
    <x v="4"/>
    <x v="213"/>
  </r>
  <r>
    <x v="239"/>
    <x v="93"/>
    <x v="24"/>
    <x v="37"/>
    <x v="72"/>
    <x v="69"/>
    <x v="2"/>
    <x v="32"/>
    <x v="792"/>
    <x v="646"/>
    <x v="687"/>
    <x v="452"/>
    <x v="118"/>
    <x v="2"/>
    <x v="5"/>
    <x v="3"/>
    <x v="1"/>
    <x v="3"/>
    <x v="69"/>
  </r>
  <r>
    <x v="240"/>
    <x v="132"/>
    <x v="19"/>
    <x v="81"/>
    <x v="130"/>
    <x v="126"/>
    <x v="2"/>
    <x v="99"/>
    <x v="757"/>
    <x v="327"/>
    <x v="363"/>
    <x v="0"/>
    <x v="1030"/>
    <x v="3"/>
    <x v="5"/>
    <x v="5"/>
    <x v="2"/>
    <x v="6"/>
    <x v="213"/>
  </r>
  <r>
    <x v="241"/>
    <x v="34"/>
    <x v="38"/>
    <x v="95"/>
    <x v="130"/>
    <x v="125"/>
    <x v="3"/>
    <x v="482"/>
    <x v="1238"/>
    <x v="39"/>
    <x v="39"/>
    <x v="0"/>
    <x v="378"/>
    <x v="3"/>
    <x v="5"/>
    <x v="10"/>
    <x v="1"/>
    <x v="2"/>
    <x v="213"/>
  </r>
  <r>
    <x v="242"/>
    <x v="258"/>
    <x v="46"/>
    <x v="73"/>
    <x v="71"/>
    <x v="66"/>
    <x v="1"/>
    <x v="703"/>
    <x v="679"/>
    <x v="1460"/>
    <x v="1482"/>
    <x v="0"/>
    <x v="1493"/>
    <x v="3"/>
    <x v="5"/>
    <x v="8"/>
    <x v="0"/>
    <x v="5"/>
    <x v="213"/>
  </r>
  <r>
    <x v="243"/>
    <x v="180"/>
    <x v="26"/>
    <x v="81"/>
    <x v="15"/>
    <x v="14"/>
    <x v="3"/>
    <x v="38"/>
    <x v="764"/>
    <x v="1316"/>
    <x v="1152"/>
    <x v="622"/>
    <x v="897"/>
    <x v="2"/>
    <x v="5"/>
    <x v="4"/>
    <x v="2"/>
    <x v="5"/>
    <x v="14"/>
  </r>
  <r>
    <x v="244"/>
    <x v="274"/>
    <x v="20"/>
    <x v="40"/>
    <x v="163"/>
    <x v="163"/>
    <x v="3"/>
    <x v="226"/>
    <x v="945"/>
    <x v="1139"/>
    <x v="1019"/>
    <x v="516"/>
    <x v="880"/>
    <x v="2"/>
    <x v="5"/>
    <x v="2"/>
    <x v="0"/>
    <x v="5"/>
    <x v="158"/>
  </r>
  <r>
    <x v="245"/>
    <x v="206"/>
    <x v="21"/>
    <x v="20"/>
    <x v="150"/>
    <x v="148"/>
    <x v="1"/>
    <x v="181"/>
    <x v="402"/>
    <x v="12"/>
    <x v="14"/>
    <x v="0"/>
    <x v="237"/>
    <x v="1"/>
    <x v="0"/>
    <x v="5"/>
    <x v="1"/>
    <x v="6"/>
    <x v="213"/>
  </r>
  <r>
    <x v="246"/>
    <x v="278"/>
    <x v="44"/>
    <x v="96"/>
    <x v="52"/>
    <x v="48"/>
    <x v="1"/>
    <x v="345"/>
    <x v="1180"/>
    <x v="1238"/>
    <x v="1266"/>
    <x v="0"/>
    <x v="1404"/>
    <x v="3"/>
    <x v="5"/>
    <x v="11"/>
    <x v="0"/>
    <x v="0"/>
    <x v="213"/>
  </r>
  <r>
    <x v="247"/>
    <x v="222"/>
    <x v="38"/>
    <x v="66"/>
    <x v="210"/>
    <x v="209"/>
    <x v="3"/>
    <x v="143"/>
    <x v="800"/>
    <x v="691"/>
    <x v="637"/>
    <x v="0"/>
    <x v="1149"/>
    <x v="1"/>
    <x v="3"/>
    <x v="5"/>
    <x v="0"/>
    <x v="4"/>
    <x v="213"/>
  </r>
  <r>
    <x v="248"/>
    <x v="105"/>
    <x v="8"/>
    <x v="10"/>
    <x v="208"/>
    <x v="208"/>
    <x v="2"/>
    <x v="571"/>
    <x v="294"/>
    <x v="1271"/>
    <x v="1131"/>
    <x v="617"/>
    <x v="856"/>
    <x v="2"/>
    <x v="5"/>
    <x v="2"/>
    <x v="0"/>
    <x v="0"/>
    <x v="202"/>
  </r>
  <r>
    <x v="249"/>
    <x v="58"/>
    <x v="16"/>
    <x v="5"/>
    <x v="201"/>
    <x v="198"/>
    <x v="1"/>
    <x v="251"/>
    <x v="31"/>
    <x v="49"/>
    <x v="44"/>
    <x v="0"/>
    <x v="403"/>
    <x v="1"/>
    <x v="0"/>
    <x v="0"/>
    <x v="0"/>
    <x v="1"/>
    <x v="213"/>
  </r>
  <r>
    <x v="250"/>
    <x v="72"/>
    <x v="47"/>
    <x v="35"/>
    <x v="35"/>
    <x v="31"/>
    <x v="3"/>
    <x v="290"/>
    <x v="429"/>
    <x v="1352"/>
    <x v="1202"/>
    <x v="676"/>
    <x v="811"/>
    <x v="2"/>
    <x v="5"/>
    <x v="1"/>
    <x v="1"/>
    <x v="1"/>
    <x v="30"/>
  </r>
  <r>
    <x v="251"/>
    <x v="266"/>
    <x v="13"/>
    <x v="91"/>
    <x v="190"/>
    <x v="186"/>
    <x v="0"/>
    <x v="235"/>
    <x v="455"/>
    <x v="830"/>
    <x v="700"/>
    <x v="419"/>
    <x v="449"/>
    <x v="2"/>
    <x v="5"/>
    <x v="0"/>
    <x v="1"/>
    <x v="0"/>
    <x v="183"/>
  </r>
  <r>
    <x v="252"/>
    <x v="92"/>
    <x v="28"/>
    <x v="86"/>
    <x v="185"/>
    <x v="185"/>
    <x v="1"/>
    <x v="151"/>
    <x v="921"/>
    <x v="1383"/>
    <x v="1456"/>
    <x v="0"/>
    <x v="1483"/>
    <x v="1"/>
    <x v="1"/>
    <x v="7"/>
    <x v="2"/>
    <x v="2"/>
    <x v="213"/>
  </r>
  <r>
    <x v="253"/>
    <x v="262"/>
    <x v="8"/>
    <x v="63"/>
    <x v="58"/>
    <x v="54"/>
    <x v="3"/>
    <x v="583"/>
    <x v="760"/>
    <x v="156"/>
    <x v="189"/>
    <x v="92"/>
    <x v="296"/>
    <x v="2"/>
    <x v="5"/>
    <x v="1"/>
    <x v="1"/>
    <x v="4"/>
    <x v="53"/>
  </r>
  <r>
    <x v="254"/>
    <x v="223"/>
    <x v="14"/>
    <x v="70"/>
    <x v="10"/>
    <x v="10"/>
    <x v="2"/>
    <x v="242"/>
    <x v="1101"/>
    <x v="161"/>
    <x v="142"/>
    <x v="87"/>
    <x v="132"/>
    <x v="2"/>
    <x v="5"/>
    <x v="4"/>
    <x v="0"/>
    <x v="1"/>
    <x v="10"/>
  </r>
  <r>
    <x v="255"/>
    <x v="198"/>
    <x v="28"/>
    <x v="66"/>
    <x v="20"/>
    <x v="17"/>
    <x v="1"/>
    <x v="94"/>
    <x v="371"/>
    <x v="509"/>
    <x v="422"/>
    <x v="0"/>
    <x v="1056"/>
    <x v="1"/>
    <x v="2"/>
    <x v="7"/>
    <x v="2"/>
    <x v="2"/>
    <x v="213"/>
  </r>
  <r>
    <x v="256"/>
    <x v="33"/>
    <x v="23"/>
    <x v="25"/>
    <x v="181"/>
    <x v="177"/>
    <x v="3"/>
    <x v="168"/>
    <x v="1039"/>
    <x v="1097"/>
    <x v="1287"/>
    <x v="0"/>
    <x v="1412"/>
    <x v="0"/>
    <x v="5"/>
    <x v="2"/>
    <x v="0"/>
    <x v="6"/>
    <x v="213"/>
  </r>
  <r>
    <x v="257"/>
    <x v="178"/>
    <x v="30"/>
    <x v="85"/>
    <x v="113"/>
    <x v="108"/>
    <x v="2"/>
    <x v="399"/>
    <x v="1305"/>
    <x v="1137"/>
    <x v="1269"/>
    <x v="739"/>
    <x v="647"/>
    <x v="2"/>
    <x v="5"/>
    <x v="6"/>
    <x v="2"/>
    <x v="6"/>
    <x v="112"/>
  </r>
  <r>
    <x v="258"/>
    <x v="15"/>
    <x v="6"/>
    <x v="94"/>
    <x v="199"/>
    <x v="196"/>
    <x v="1"/>
    <x v="690"/>
    <x v="188"/>
    <x v="358"/>
    <x v="365"/>
    <x v="212"/>
    <x v="244"/>
    <x v="2"/>
    <x v="5"/>
    <x v="2"/>
    <x v="2"/>
    <x v="4"/>
    <x v="194"/>
  </r>
  <r>
    <x v="259"/>
    <x v="38"/>
    <x v="42"/>
    <x v="96"/>
    <x v="7"/>
    <x v="6"/>
    <x v="2"/>
    <x v="660"/>
    <x v="1193"/>
    <x v="1003"/>
    <x v="880"/>
    <x v="532"/>
    <x v="481"/>
    <x v="2"/>
    <x v="5"/>
    <x v="1"/>
    <x v="0"/>
    <x v="3"/>
    <x v="4"/>
  </r>
  <r>
    <x v="260"/>
    <x v="16"/>
    <x v="27"/>
    <x v="15"/>
    <x v="172"/>
    <x v="169"/>
    <x v="2"/>
    <x v="373"/>
    <x v="831"/>
    <x v="372"/>
    <x v="354"/>
    <x v="215"/>
    <x v="101"/>
    <x v="2"/>
    <x v="5"/>
    <x v="0"/>
    <x v="2"/>
    <x v="2"/>
    <x v="165"/>
  </r>
  <r>
    <x v="261"/>
    <x v="247"/>
    <x v="27"/>
    <x v="17"/>
    <x v="117"/>
    <x v="117"/>
    <x v="3"/>
    <x v="594"/>
    <x v="1005"/>
    <x v="815"/>
    <x v="955"/>
    <x v="518"/>
    <x v="736"/>
    <x v="2"/>
    <x v="5"/>
    <x v="2"/>
    <x v="2"/>
    <x v="1"/>
    <x v="112"/>
  </r>
  <r>
    <x v="262"/>
    <x v="236"/>
    <x v="30"/>
    <x v="71"/>
    <x v="32"/>
    <x v="28"/>
    <x v="0"/>
    <x v="417"/>
    <x v="156"/>
    <x v="976"/>
    <x v="1063"/>
    <x v="0"/>
    <x v="1306"/>
    <x v="3"/>
    <x v="5"/>
    <x v="12"/>
    <x v="2"/>
    <x v="3"/>
    <x v="213"/>
  </r>
  <r>
    <x v="263"/>
    <x v="161"/>
    <x v="3"/>
    <x v="3"/>
    <x v="130"/>
    <x v="126"/>
    <x v="1"/>
    <x v="102"/>
    <x v="957"/>
    <x v="910"/>
    <x v="867"/>
    <x v="0"/>
    <x v="1233"/>
    <x v="0"/>
    <x v="5"/>
    <x v="4"/>
    <x v="2"/>
    <x v="1"/>
    <x v="213"/>
  </r>
  <r>
    <x v="264"/>
    <x v="178"/>
    <x v="26"/>
    <x v="44"/>
    <x v="193"/>
    <x v="189"/>
    <x v="1"/>
    <x v="549"/>
    <x v="631"/>
    <x v="1342"/>
    <x v="1262"/>
    <x v="661"/>
    <x v="961"/>
    <x v="2"/>
    <x v="5"/>
    <x v="5"/>
    <x v="0"/>
    <x v="6"/>
    <x v="191"/>
  </r>
  <r>
    <x v="265"/>
    <x v="56"/>
    <x v="21"/>
    <x v="21"/>
    <x v="167"/>
    <x v="165"/>
    <x v="1"/>
    <x v="442"/>
    <x v="854"/>
    <x v="1367"/>
    <x v="1162"/>
    <x v="0"/>
    <x v="1354"/>
    <x v="3"/>
    <x v="5"/>
    <x v="7"/>
    <x v="0"/>
    <x v="2"/>
    <x v="213"/>
  </r>
  <r>
    <x v="266"/>
    <x v="159"/>
    <x v="24"/>
    <x v="73"/>
    <x v="171"/>
    <x v="168"/>
    <x v="2"/>
    <x v="268"/>
    <x v="260"/>
    <x v="1353"/>
    <x v="1234"/>
    <x v="744"/>
    <x v="514"/>
    <x v="2"/>
    <x v="5"/>
    <x v="0"/>
    <x v="2"/>
    <x v="0"/>
    <x v="164"/>
  </r>
  <r>
    <x v="267"/>
    <x v="150"/>
    <x v="23"/>
    <x v="55"/>
    <x v="181"/>
    <x v="176"/>
    <x v="0"/>
    <x v="408"/>
    <x v="206"/>
    <x v="720"/>
    <x v="820"/>
    <x v="508"/>
    <x v="417"/>
    <x v="2"/>
    <x v="5"/>
    <x v="2"/>
    <x v="1"/>
    <x v="6"/>
    <x v="176"/>
  </r>
  <r>
    <x v="268"/>
    <x v="292"/>
    <x v="6"/>
    <x v="75"/>
    <x v="75"/>
    <x v="73"/>
    <x v="3"/>
    <x v="228"/>
    <x v="182"/>
    <x v="1493"/>
    <x v="1393"/>
    <x v="754"/>
    <x v="948"/>
    <x v="2"/>
    <x v="5"/>
    <x v="1"/>
    <x v="1"/>
    <x v="1"/>
    <x v="70"/>
  </r>
  <r>
    <x v="269"/>
    <x v="217"/>
    <x v="42"/>
    <x v="69"/>
    <x v="138"/>
    <x v="135"/>
    <x v="3"/>
    <x v="167"/>
    <x v="1067"/>
    <x v="486"/>
    <x v="411"/>
    <x v="249"/>
    <x v="151"/>
    <x v="2"/>
    <x v="5"/>
    <x v="4"/>
    <x v="2"/>
    <x v="3"/>
    <x v="135"/>
  </r>
  <r>
    <x v="270"/>
    <x v="291"/>
    <x v="31"/>
    <x v="27"/>
    <x v="163"/>
    <x v="159"/>
    <x v="2"/>
    <x v="223"/>
    <x v="1346"/>
    <x v="1134"/>
    <x v="1010"/>
    <x v="503"/>
    <x v="908"/>
    <x v="2"/>
    <x v="5"/>
    <x v="2"/>
    <x v="1"/>
    <x v="1"/>
    <x v="158"/>
  </r>
  <r>
    <x v="271"/>
    <x v="232"/>
    <x v="9"/>
    <x v="30"/>
    <x v="199"/>
    <x v="196"/>
    <x v="0"/>
    <x v="621"/>
    <x v="788"/>
    <x v="1072"/>
    <x v="910"/>
    <x v="0"/>
    <x v="1249"/>
    <x v="1"/>
    <x v="1"/>
    <x v="3"/>
    <x v="2"/>
    <x v="2"/>
    <x v="213"/>
  </r>
  <r>
    <x v="272"/>
    <x v="80"/>
    <x v="16"/>
    <x v="87"/>
    <x v="81"/>
    <x v="81"/>
    <x v="0"/>
    <x v="334"/>
    <x v="616"/>
    <x v="1259"/>
    <x v="1172"/>
    <x v="0"/>
    <x v="1361"/>
    <x v="3"/>
    <x v="5"/>
    <x v="7"/>
    <x v="0"/>
    <x v="6"/>
    <x v="213"/>
  </r>
  <r>
    <x v="273"/>
    <x v="212"/>
    <x v="41"/>
    <x v="4"/>
    <x v="49"/>
    <x v="49"/>
    <x v="0"/>
    <x v="131"/>
    <x v="716"/>
    <x v="1230"/>
    <x v="1227"/>
    <x v="723"/>
    <x v="660"/>
    <x v="2"/>
    <x v="5"/>
    <x v="6"/>
    <x v="0"/>
    <x v="0"/>
    <x v="49"/>
  </r>
  <r>
    <x v="274"/>
    <x v="244"/>
    <x v="1"/>
    <x v="7"/>
    <x v="68"/>
    <x v="66"/>
    <x v="1"/>
    <x v="262"/>
    <x v="781"/>
    <x v="252"/>
    <x v="292"/>
    <x v="0"/>
    <x v="981"/>
    <x v="3"/>
    <x v="5"/>
    <x v="14"/>
    <x v="0"/>
    <x v="2"/>
    <x v="213"/>
  </r>
  <r>
    <x v="275"/>
    <x v="69"/>
    <x v="15"/>
    <x v="14"/>
    <x v="98"/>
    <x v="93"/>
    <x v="1"/>
    <x v="429"/>
    <x v="1328"/>
    <x v="123"/>
    <x v="145"/>
    <x v="0"/>
    <x v="760"/>
    <x v="3"/>
    <x v="5"/>
    <x v="14"/>
    <x v="2"/>
    <x v="2"/>
    <x v="213"/>
  </r>
  <r>
    <x v="276"/>
    <x v="195"/>
    <x v="47"/>
    <x v="95"/>
    <x v="24"/>
    <x v="23"/>
    <x v="0"/>
    <x v="351"/>
    <x v="573"/>
    <x v="1154"/>
    <x v="1089"/>
    <x v="0"/>
    <x v="1318"/>
    <x v="3"/>
    <x v="5"/>
    <x v="12"/>
    <x v="0"/>
    <x v="0"/>
    <x v="213"/>
  </r>
  <r>
    <x v="277"/>
    <x v="247"/>
    <x v="34"/>
    <x v="47"/>
    <x v="45"/>
    <x v="44"/>
    <x v="1"/>
    <x v="265"/>
    <x v="1382"/>
    <x v="623"/>
    <x v="560"/>
    <x v="0"/>
    <x v="1119"/>
    <x v="0"/>
    <x v="5"/>
    <x v="0"/>
    <x v="2"/>
    <x v="2"/>
    <x v="213"/>
  </r>
  <r>
    <x v="278"/>
    <x v="239"/>
    <x v="45"/>
    <x v="47"/>
    <x v="175"/>
    <x v="174"/>
    <x v="3"/>
    <x v="14"/>
    <x v="98"/>
    <x v="1318"/>
    <x v="1448"/>
    <x v="0"/>
    <x v="1481"/>
    <x v="0"/>
    <x v="5"/>
    <x v="5"/>
    <x v="1"/>
    <x v="4"/>
    <x v="213"/>
  </r>
  <r>
    <x v="279"/>
    <x v="192"/>
    <x v="19"/>
    <x v="81"/>
    <x v="204"/>
    <x v="204"/>
    <x v="3"/>
    <x v="677"/>
    <x v="321"/>
    <x v="1167"/>
    <x v="1074"/>
    <x v="0"/>
    <x v="1312"/>
    <x v="3"/>
    <x v="5"/>
    <x v="11"/>
    <x v="1"/>
    <x v="1"/>
    <x v="213"/>
  </r>
  <r>
    <x v="280"/>
    <x v="151"/>
    <x v="5"/>
    <x v="96"/>
    <x v="63"/>
    <x v="60"/>
    <x v="0"/>
    <x v="247"/>
    <x v="550"/>
    <x v="1365"/>
    <x v="1317"/>
    <x v="821"/>
    <x v="55"/>
    <x v="2"/>
    <x v="5"/>
    <x v="4"/>
    <x v="0"/>
    <x v="2"/>
    <x v="61"/>
  </r>
  <r>
    <x v="281"/>
    <x v="40"/>
    <x v="49"/>
    <x v="62"/>
    <x v="163"/>
    <x v="161"/>
    <x v="2"/>
    <x v="614"/>
    <x v="1063"/>
    <x v="1140"/>
    <x v="1129"/>
    <x v="0"/>
    <x v="1339"/>
    <x v="1"/>
    <x v="1"/>
    <x v="0"/>
    <x v="2"/>
    <x v="4"/>
    <x v="213"/>
  </r>
  <r>
    <x v="282"/>
    <x v="276"/>
    <x v="47"/>
    <x v="41"/>
    <x v="108"/>
    <x v="108"/>
    <x v="2"/>
    <x v="574"/>
    <x v="77"/>
    <x v="1036"/>
    <x v="1052"/>
    <x v="0"/>
    <x v="1302"/>
    <x v="1"/>
    <x v="0"/>
    <x v="5"/>
    <x v="0"/>
    <x v="4"/>
    <x v="213"/>
  </r>
  <r>
    <x v="283"/>
    <x v="100"/>
    <x v="40"/>
    <x v="39"/>
    <x v="165"/>
    <x v="164"/>
    <x v="3"/>
    <x v="476"/>
    <x v="225"/>
    <x v="1173"/>
    <x v="1031"/>
    <x v="0"/>
    <x v="1297"/>
    <x v="3"/>
    <x v="5"/>
    <x v="9"/>
    <x v="0"/>
    <x v="6"/>
    <x v="213"/>
  </r>
  <r>
    <x v="284"/>
    <x v="206"/>
    <x v="20"/>
    <x v="57"/>
    <x v="67"/>
    <x v="63"/>
    <x v="2"/>
    <x v="730"/>
    <x v="345"/>
    <x v="1143"/>
    <x v="1219"/>
    <x v="0"/>
    <x v="1383"/>
    <x v="3"/>
    <x v="5"/>
    <x v="5"/>
    <x v="2"/>
    <x v="6"/>
    <x v="213"/>
  </r>
  <r>
    <x v="285"/>
    <x v="91"/>
    <x v="25"/>
    <x v="48"/>
    <x v="179"/>
    <x v="175"/>
    <x v="0"/>
    <x v="14"/>
    <x v="68"/>
    <x v="1192"/>
    <x v="1066"/>
    <x v="0"/>
    <x v="1308"/>
    <x v="1"/>
    <x v="1"/>
    <x v="6"/>
    <x v="1"/>
    <x v="4"/>
    <x v="213"/>
  </r>
  <r>
    <x v="286"/>
    <x v="25"/>
    <x v="25"/>
    <x v="79"/>
    <x v="161"/>
    <x v="156"/>
    <x v="2"/>
    <x v="497"/>
    <x v="681"/>
    <x v="118"/>
    <x v="123"/>
    <x v="64"/>
    <x v="198"/>
    <x v="2"/>
    <x v="5"/>
    <x v="2"/>
    <x v="0"/>
    <x v="0"/>
    <x v="156"/>
  </r>
  <r>
    <x v="287"/>
    <x v="249"/>
    <x v="7"/>
    <x v="28"/>
    <x v="95"/>
    <x v="94"/>
    <x v="0"/>
    <x v="161"/>
    <x v="700"/>
    <x v="163"/>
    <x v="176"/>
    <x v="0"/>
    <x v="832"/>
    <x v="1"/>
    <x v="0"/>
    <x v="6"/>
    <x v="2"/>
    <x v="4"/>
    <x v="213"/>
  </r>
  <r>
    <x v="288"/>
    <x v="94"/>
    <x v="26"/>
    <x v="23"/>
    <x v="129"/>
    <x v="126"/>
    <x v="2"/>
    <x v="660"/>
    <x v="381"/>
    <x v="1269"/>
    <x v="1332"/>
    <x v="829"/>
    <x v="12"/>
    <x v="2"/>
    <x v="5"/>
    <x v="4"/>
    <x v="0"/>
    <x v="3"/>
    <x v="126"/>
  </r>
  <r>
    <x v="289"/>
    <x v="230"/>
    <x v="5"/>
    <x v="1"/>
    <x v="68"/>
    <x v="67"/>
    <x v="2"/>
    <x v="106"/>
    <x v="847"/>
    <x v="1361"/>
    <x v="1302"/>
    <x v="0"/>
    <x v="1419"/>
    <x v="3"/>
    <x v="5"/>
    <x v="13"/>
    <x v="1"/>
    <x v="2"/>
    <x v="213"/>
  </r>
  <r>
    <x v="290"/>
    <x v="36"/>
    <x v="6"/>
    <x v="71"/>
    <x v="176"/>
    <x v="175"/>
    <x v="1"/>
    <x v="39"/>
    <x v="873"/>
    <x v="1048"/>
    <x v="1173"/>
    <x v="0"/>
    <x v="1362"/>
    <x v="3"/>
    <x v="5"/>
    <x v="7"/>
    <x v="0"/>
    <x v="2"/>
    <x v="213"/>
  </r>
  <r>
    <x v="291"/>
    <x v="127"/>
    <x v="32"/>
    <x v="79"/>
    <x v="94"/>
    <x v="90"/>
    <x v="2"/>
    <x v="252"/>
    <x v="1013"/>
    <x v="1449"/>
    <x v="1433"/>
    <x v="0"/>
    <x v="1475"/>
    <x v="1"/>
    <x v="2"/>
    <x v="0"/>
    <x v="1"/>
    <x v="3"/>
    <x v="213"/>
  </r>
  <r>
    <x v="292"/>
    <x v="235"/>
    <x v="8"/>
    <x v="11"/>
    <x v="37"/>
    <x v="33"/>
    <x v="3"/>
    <x v="589"/>
    <x v="1340"/>
    <x v="259"/>
    <x v="230"/>
    <x v="123"/>
    <x v="222"/>
    <x v="2"/>
    <x v="5"/>
    <x v="5"/>
    <x v="2"/>
    <x v="6"/>
    <x v="36"/>
  </r>
  <r>
    <x v="293"/>
    <x v="180"/>
    <x v="27"/>
    <x v="36"/>
    <x v="66"/>
    <x v="66"/>
    <x v="3"/>
    <x v="507"/>
    <x v="693"/>
    <x v="1468"/>
    <x v="1414"/>
    <x v="853"/>
    <x v="76"/>
    <x v="2"/>
    <x v="5"/>
    <x v="4"/>
    <x v="1"/>
    <x v="3"/>
    <x v="64"/>
  </r>
  <r>
    <x v="294"/>
    <x v="27"/>
    <x v="12"/>
    <x v="19"/>
    <x v="112"/>
    <x v="111"/>
    <x v="1"/>
    <x v="189"/>
    <x v="485"/>
    <x v="1487"/>
    <x v="1483"/>
    <x v="817"/>
    <x v="1009"/>
    <x v="2"/>
    <x v="5"/>
    <x v="7"/>
    <x v="0"/>
    <x v="2"/>
    <x v="112"/>
  </r>
  <r>
    <x v="295"/>
    <x v="20"/>
    <x v="28"/>
    <x v="45"/>
    <x v="67"/>
    <x v="66"/>
    <x v="2"/>
    <x v="380"/>
    <x v="1264"/>
    <x v="615"/>
    <x v="764"/>
    <x v="0"/>
    <x v="1195"/>
    <x v="3"/>
    <x v="5"/>
    <x v="10"/>
    <x v="0"/>
    <x v="1"/>
    <x v="213"/>
  </r>
  <r>
    <x v="296"/>
    <x v="256"/>
    <x v="17"/>
    <x v="72"/>
    <x v="185"/>
    <x v="184"/>
    <x v="0"/>
    <x v="484"/>
    <x v="13"/>
    <x v="128"/>
    <x v="146"/>
    <x v="78"/>
    <x v="243"/>
    <x v="2"/>
    <x v="5"/>
    <x v="2"/>
    <x v="1"/>
    <x v="1"/>
    <x v="180"/>
  </r>
  <r>
    <x v="297"/>
    <x v="13"/>
    <x v="18"/>
    <x v="87"/>
    <x v="147"/>
    <x v="146"/>
    <x v="1"/>
    <x v="326"/>
    <x v="970"/>
    <x v="102"/>
    <x v="119"/>
    <x v="72"/>
    <x v="90"/>
    <x v="2"/>
    <x v="5"/>
    <x v="5"/>
    <x v="1"/>
    <x v="0"/>
    <x v="145"/>
  </r>
  <r>
    <x v="298"/>
    <x v="2"/>
    <x v="21"/>
    <x v="5"/>
    <x v="83"/>
    <x v="82"/>
    <x v="2"/>
    <x v="270"/>
    <x v="337"/>
    <x v="644"/>
    <x v="720"/>
    <x v="418"/>
    <x v="534"/>
    <x v="2"/>
    <x v="5"/>
    <x v="4"/>
    <x v="0"/>
    <x v="1"/>
    <x v="81"/>
  </r>
  <r>
    <x v="299"/>
    <x v="46"/>
    <x v="25"/>
    <x v="32"/>
    <x v="17"/>
    <x v="12"/>
    <x v="0"/>
    <x v="199"/>
    <x v="1020"/>
    <x v="1188"/>
    <x v="1315"/>
    <x v="755"/>
    <x v="696"/>
    <x v="2"/>
    <x v="5"/>
    <x v="6"/>
    <x v="0"/>
    <x v="0"/>
    <x v="18"/>
  </r>
  <r>
    <x v="300"/>
    <x v="59"/>
    <x v="19"/>
    <x v="62"/>
    <x v="54"/>
    <x v="53"/>
    <x v="2"/>
    <x v="613"/>
    <x v="816"/>
    <x v="569"/>
    <x v="606"/>
    <x v="405"/>
    <x v="58"/>
    <x v="2"/>
    <x v="5"/>
    <x v="2"/>
    <x v="1"/>
    <x v="5"/>
    <x v="50"/>
  </r>
  <r>
    <x v="301"/>
    <x v="224"/>
    <x v="24"/>
    <x v="60"/>
    <x v="35"/>
    <x v="33"/>
    <x v="3"/>
    <x v="464"/>
    <x v="1094"/>
    <x v="1239"/>
    <x v="1257"/>
    <x v="0"/>
    <x v="1400"/>
    <x v="3"/>
    <x v="5"/>
    <x v="10"/>
    <x v="0"/>
    <x v="1"/>
    <x v="213"/>
  </r>
  <r>
    <x v="302"/>
    <x v="258"/>
    <x v="21"/>
    <x v="59"/>
    <x v="110"/>
    <x v="108"/>
    <x v="0"/>
    <x v="538"/>
    <x v="403"/>
    <x v="610"/>
    <x v="602"/>
    <x v="0"/>
    <x v="1139"/>
    <x v="3"/>
    <x v="5"/>
    <x v="3"/>
    <x v="2"/>
    <x v="5"/>
    <x v="213"/>
  </r>
  <r>
    <x v="303"/>
    <x v="150"/>
    <x v="9"/>
    <x v="16"/>
    <x v="166"/>
    <x v="161"/>
    <x v="3"/>
    <x v="701"/>
    <x v="647"/>
    <x v="404"/>
    <x v="400"/>
    <x v="248"/>
    <x v="81"/>
    <x v="2"/>
    <x v="5"/>
    <x v="7"/>
    <x v="1"/>
    <x v="2"/>
    <x v="166"/>
  </r>
  <r>
    <x v="304"/>
    <x v="207"/>
    <x v="6"/>
    <x v="59"/>
    <x v="79"/>
    <x v="75"/>
    <x v="3"/>
    <x v="293"/>
    <x v="669"/>
    <x v="98"/>
    <x v="76"/>
    <x v="38"/>
    <x v="175"/>
    <x v="2"/>
    <x v="5"/>
    <x v="6"/>
    <x v="1"/>
    <x v="0"/>
    <x v="79"/>
  </r>
  <r>
    <x v="305"/>
    <x v="23"/>
    <x v="5"/>
    <x v="53"/>
    <x v="200"/>
    <x v="196"/>
    <x v="3"/>
    <x v="262"/>
    <x v="1170"/>
    <x v="1093"/>
    <x v="1109"/>
    <x v="698"/>
    <x v="356"/>
    <x v="2"/>
    <x v="5"/>
    <x v="6"/>
    <x v="1"/>
    <x v="2"/>
    <x v="199"/>
  </r>
  <r>
    <x v="306"/>
    <x v="130"/>
    <x v="43"/>
    <x v="13"/>
    <x v="161"/>
    <x v="159"/>
    <x v="2"/>
    <x v="438"/>
    <x v="59"/>
    <x v="1379"/>
    <x v="1449"/>
    <x v="799"/>
    <x v="973"/>
    <x v="2"/>
    <x v="5"/>
    <x v="1"/>
    <x v="0"/>
    <x v="2"/>
    <x v="155"/>
  </r>
  <r>
    <x v="307"/>
    <x v="152"/>
    <x v="39"/>
    <x v="78"/>
    <x v="29"/>
    <x v="29"/>
    <x v="3"/>
    <x v="571"/>
    <x v="1014"/>
    <x v="683"/>
    <x v="749"/>
    <x v="490"/>
    <x v="188"/>
    <x v="2"/>
    <x v="5"/>
    <x v="7"/>
    <x v="2"/>
    <x v="0"/>
    <x v="30"/>
  </r>
  <r>
    <x v="308"/>
    <x v="105"/>
    <x v="30"/>
    <x v="83"/>
    <x v="33"/>
    <x v="32"/>
    <x v="0"/>
    <x v="540"/>
    <x v="624"/>
    <x v="153"/>
    <x v="127"/>
    <x v="82"/>
    <x v="8"/>
    <x v="2"/>
    <x v="5"/>
    <x v="0"/>
    <x v="2"/>
    <x v="1"/>
    <x v="28"/>
  </r>
  <r>
    <x v="309"/>
    <x v="57"/>
    <x v="10"/>
    <x v="19"/>
    <x v="164"/>
    <x v="160"/>
    <x v="2"/>
    <x v="399"/>
    <x v="1210"/>
    <x v="426"/>
    <x v="420"/>
    <x v="229"/>
    <x v="363"/>
    <x v="2"/>
    <x v="5"/>
    <x v="0"/>
    <x v="0"/>
    <x v="1"/>
    <x v="157"/>
  </r>
  <r>
    <x v="310"/>
    <x v="4"/>
    <x v="6"/>
    <x v="80"/>
    <x v="119"/>
    <x v="115"/>
    <x v="2"/>
    <x v="343"/>
    <x v="1269"/>
    <x v="415"/>
    <x v="473"/>
    <x v="253"/>
    <x v="451"/>
    <x v="2"/>
    <x v="5"/>
    <x v="5"/>
    <x v="1"/>
    <x v="5"/>
    <x v="117"/>
  </r>
  <r>
    <x v="311"/>
    <x v="116"/>
    <x v="45"/>
    <x v="7"/>
    <x v="157"/>
    <x v="152"/>
    <x v="1"/>
    <x v="350"/>
    <x v="833"/>
    <x v="405"/>
    <x v="410"/>
    <x v="222"/>
    <x v="348"/>
    <x v="2"/>
    <x v="5"/>
    <x v="7"/>
    <x v="1"/>
    <x v="0"/>
    <x v="157"/>
  </r>
  <r>
    <x v="312"/>
    <x v="225"/>
    <x v="44"/>
    <x v="55"/>
    <x v="73"/>
    <x v="68"/>
    <x v="1"/>
    <x v="133"/>
    <x v="759"/>
    <x v="670"/>
    <x v="685"/>
    <x v="454"/>
    <x v="85"/>
    <x v="2"/>
    <x v="5"/>
    <x v="5"/>
    <x v="1"/>
    <x v="6"/>
    <x v="72"/>
  </r>
  <r>
    <x v="313"/>
    <x v="65"/>
    <x v="18"/>
    <x v="92"/>
    <x v="122"/>
    <x v="120"/>
    <x v="2"/>
    <x v="344"/>
    <x v="938"/>
    <x v="737"/>
    <x v="773"/>
    <x v="471"/>
    <x v="375"/>
    <x v="2"/>
    <x v="5"/>
    <x v="7"/>
    <x v="2"/>
    <x v="1"/>
    <x v="122"/>
  </r>
  <r>
    <x v="314"/>
    <x v="100"/>
    <x v="10"/>
    <x v="77"/>
    <x v="45"/>
    <x v="41"/>
    <x v="2"/>
    <x v="81"/>
    <x v="1070"/>
    <x v="1024"/>
    <x v="866"/>
    <x v="504"/>
    <x v="592"/>
    <x v="2"/>
    <x v="5"/>
    <x v="2"/>
    <x v="2"/>
    <x v="3"/>
    <x v="41"/>
  </r>
  <r>
    <x v="315"/>
    <x v="87"/>
    <x v="32"/>
    <x v="4"/>
    <x v="61"/>
    <x v="60"/>
    <x v="1"/>
    <x v="280"/>
    <x v="1106"/>
    <x v="1499"/>
    <x v="1378"/>
    <x v="751"/>
    <x v="930"/>
    <x v="2"/>
    <x v="5"/>
    <x v="2"/>
    <x v="0"/>
    <x v="5"/>
    <x v="57"/>
  </r>
  <r>
    <x v="316"/>
    <x v="281"/>
    <x v="17"/>
    <x v="19"/>
    <x v="58"/>
    <x v="58"/>
    <x v="1"/>
    <x v="585"/>
    <x v="146"/>
    <x v="704"/>
    <x v="862"/>
    <x v="545"/>
    <x v="293"/>
    <x v="2"/>
    <x v="5"/>
    <x v="0"/>
    <x v="2"/>
    <x v="1"/>
    <x v="52"/>
  </r>
  <r>
    <x v="317"/>
    <x v="283"/>
    <x v="2"/>
    <x v="64"/>
    <x v="117"/>
    <x v="117"/>
    <x v="1"/>
    <x v="139"/>
    <x v="309"/>
    <x v="1158"/>
    <x v="1224"/>
    <x v="0"/>
    <x v="1386"/>
    <x v="0"/>
    <x v="5"/>
    <x v="1"/>
    <x v="0"/>
    <x v="3"/>
    <x v="213"/>
  </r>
  <r>
    <x v="318"/>
    <x v="76"/>
    <x v="41"/>
    <x v="46"/>
    <x v="45"/>
    <x v="40"/>
    <x v="3"/>
    <x v="683"/>
    <x v="355"/>
    <x v="626"/>
    <x v="634"/>
    <x v="397"/>
    <x v="286"/>
    <x v="2"/>
    <x v="5"/>
    <x v="1"/>
    <x v="0"/>
    <x v="1"/>
    <x v="40"/>
  </r>
  <r>
    <x v="319"/>
    <x v="170"/>
    <x v="18"/>
    <x v="64"/>
    <x v="54"/>
    <x v="51"/>
    <x v="0"/>
    <x v="67"/>
    <x v="699"/>
    <x v="1146"/>
    <x v="941"/>
    <x v="0"/>
    <x v="1264"/>
    <x v="0"/>
    <x v="5"/>
    <x v="7"/>
    <x v="2"/>
    <x v="4"/>
    <x v="213"/>
  </r>
  <r>
    <x v="320"/>
    <x v="114"/>
    <x v="8"/>
    <x v="54"/>
    <x v="196"/>
    <x v="193"/>
    <x v="2"/>
    <x v="338"/>
    <x v="1175"/>
    <x v="984"/>
    <x v="859"/>
    <x v="538"/>
    <x v="327"/>
    <x v="2"/>
    <x v="5"/>
    <x v="6"/>
    <x v="1"/>
    <x v="1"/>
    <x v="195"/>
  </r>
  <r>
    <x v="321"/>
    <x v="169"/>
    <x v="20"/>
    <x v="51"/>
    <x v="176"/>
    <x v="174"/>
    <x v="0"/>
    <x v="358"/>
    <x v="165"/>
    <x v="628"/>
    <x v="705"/>
    <x v="0"/>
    <x v="1168"/>
    <x v="1"/>
    <x v="2"/>
    <x v="1"/>
    <x v="2"/>
    <x v="1"/>
    <x v="213"/>
  </r>
  <r>
    <x v="322"/>
    <x v="201"/>
    <x v="43"/>
    <x v="89"/>
    <x v="14"/>
    <x v="9"/>
    <x v="3"/>
    <x v="598"/>
    <x v="826"/>
    <x v="215"/>
    <x v="227"/>
    <x v="0"/>
    <x v="906"/>
    <x v="1"/>
    <x v="0"/>
    <x v="4"/>
    <x v="2"/>
    <x v="0"/>
    <x v="213"/>
  </r>
  <r>
    <x v="323"/>
    <x v="103"/>
    <x v="34"/>
    <x v="79"/>
    <x v="75"/>
    <x v="71"/>
    <x v="2"/>
    <x v="577"/>
    <x v="903"/>
    <x v="210"/>
    <x v="201"/>
    <x v="0"/>
    <x v="868"/>
    <x v="3"/>
    <x v="5"/>
    <x v="13"/>
    <x v="1"/>
    <x v="2"/>
    <x v="213"/>
  </r>
  <r>
    <x v="324"/>
    <x v="262"/>
    <x v="34"/>
    <x v="36"/>
    <x v="199"/>
    <x v="198"/>
    <x v="0"/>
    <x v="75"/>
    <x v="1306"/>
    <x v="115"/>
    <x v="120"/>
    <x v="0"/>
    <x v="680"/>
    <x v="1"/>
    <x v="3"/>
    <x v="6"/>
    <x v="1"/>
    <x v="3"/>
    <x v="213"/>
  </r>
  <r>
    <x v="325"/>
    <x v="152"/>
    <x v="46"/>
    <x v="54"/>
    <x v="135"/>
    <x v="133"/>
    <x v="1"/>
    <x v="609"/>
    <x v="162"/>
    <x v="231"/>
    <x v="180"/>
    <x v="0"/>
    <x v="838"/>
    <x v="1"/>
    <x v="3"/>
    <x v="4"/>
    <x v="2"/>
    <x v="3"/>
    <x v="213"/>
  </r>
  <r>
    <x v="326"/>
    <x v="289"/>
    <x v="47"/>
    <x v="0"/>
    <x v="164"/>
    <x v="160"/>
    <x v="2"/>
    <x v="282"/>
    <x v="614"/>
    <x v="58"/>
    <x v="63"/>
    <x v="32"/>
    <x v="152"/>
    <x v="2"/>
    <x v="5"/>
    <x v="4"/>
    <x v="1"/>
    <x v="5"/>
    <x v="161"/>
  </r>
  <r>
    <x v="327"/>
    <x v="150"/>
    <x v="18"/>
    <x v="85"/>
    <x v="149"/>
    <x v="144"/>
    <x v="0"/>
    <x v="593"/>
    <x v="984"/>
    <x v="927"/>
    <x v="959"/>
    <x v="0"/>
    <x v="1274"/>
    <x v="1"/>
    <x v="1"/>
    <x v="3"/>
    <x v="1"/>
    <x v="4"/>
    <x v="213"/>
  </r>
  <r>
    <x v="328"/>
    <x v="73"/>
    <x v="45"/>
    <x v="54"/>
    <x v="63"/>
    <x v="63"/>
    <x v="2"/>
    <x v="64"/>
    <x v="244"/>
    <x v="849"/>
    <x v="989"/>
    <x v="546"/>
    <x v="718"/>
    <x v="2"/>
    <x v="5"/>
    <x v="1"/>
    <x v="0"/>
    <x v="2"/>
    <x v="58"/>
  </r>
  <r>
    <x v="329"/>
    <x v="133"/>
    <x v="37"/>
    <x v="63"/>
    <x v="36"/>
    <x v="33"/>
    <x v="2"/>
    <x v="364"/>
    <x v="1255"/>
    <x v="104"/>
    <x v="116"/>
    <x v="66"/>
    <x v="159"/>
    <x v="2"/>
    <x v="5"/>
    <x v="6"/>
    <x v="1"/>
    <x v="2"/>
    <x v="36"/>
  </r>
  <r>
    <x v="330"/>
    <x v="106"/>
    <x v="29"/>
    <x v="60"/>
    <x v="211"/>
    <x v="210"/>
    <x v="1"/>
    <x v="621"/>
    <x v="410"/>
    <x v="181"/>
    <x v="192"/>
    <x v="93"/>
    <x v="300"/>
    <x v="2"/>
    <x v="5"/>
    <x v="1"/>
    <x v="1"/>
    <x v="3"/>
    <x v="204"/>
  </r>
  <r>
    <x v="331"/>
    <x v="263"/>
    <x v="9"/>
    <x v="15"/>
    <x v="34"/>
    <x v="30"/>
    <x v="3"/>
    <x v="255"/>
    <x v="972"/>
    <x v="148"/>
    <x v="141"/>
    <x v="0"/>
    <x v="752"/>
    <x v="1"/>
    <x v="2"/>
    <x v="4"/>
    <x v="2"/>
    <x v="3"/>
    <x v="213"/>
  </r>
  <r>
    <x v="332"/>
    <x v="143"/>
    <x v="13"/>
    <x v="23"/>
    <x v="124"/>
    <x v="124"/>
    <x v="2"/>
    <x v="2"/>
    <x v="324"/>
    <x v="205"/>
    <x v="213"/>
    <x v="0"/>
    <x v="891"/>
    <x v="1"/>
    <x v="1"/>
    <x v="0"/>
    <x v="1"/>
    <x v="3"/>
    <x v="213"/>
  </r>
  <r>
    <x v="333"/>
    <x v="239"/>
    <x v="46"/>
    <x v="77"/>
    <x v="17"/>
    <x v="17"/>
    <x v="0"/>
    <x v="634"/>
    <x v="359"/>
    <x v="834"/>
    <x v="878"/>
    <x v="586"/>
    <x v="164"/>
    <x v="2"/>
    <x v="5"/>
    <x v="6"/>
    <x v="1"/>
    <x v="4"/>
    <x v="18"/>
  </r>
  <r>
    <x v="334"/>
    <x v="205"/>
    <x v="24"/>
    <x v="29"/>
    <x v="120"/>
    <x v="117"/>
    <x v="2"/>
    <x v="282"/>
    <x v="1365"/>
    <x v="214"/>
    <x v="239"/>
    <x v="0"/>
    <x v="918"/>
    <x v="3"/>
    <x v="5"/>
    <x v="4"/>
    <x v="0"/>
    <x v="4"/>
    <x v="213"/>
  </r>
  <r>
    <x v="335"/>
    <x v="283"/>
    <x v="41"/>
    <x v="15"/>
    <x v="118"/>
    <x v="113"/>
    <x v="1"/>
    <x v="162"/>
    <x v="1367"/>
    <x v="117"/>
    <x v="102"/>
    <x v="46"/>
    <x v="220"/>
    <x v="2"/>
    <x v="5"/>
    <x v="4"/>
    <x v="1"/>
    <x v="1"/>
    <x v="115"/>
  </r>
  <r>
    <x v="336"/>
    <x v="9"/>
    <x v="17"/>
    <x v="26"/>
    <x v="17"/>
    <x v="13"/>
    <x v="0"/>
    <x v="689"/>
    <x v="1137"/>
    <x v="1117"/>
    <x v="1144"/>
    <x v="571"/>
    <x v="944"/>
    <x v="2"/>
    <x v="5"/>
    <x v="2"/>
    <x v="0"/>
    <x v="1"/>
    <x v="14"/>
  </r>
  <r>
    <x v="337"/>
    <x v="219"/>
    <x v="11"/>
    <x v="53"/>
    <x v="140"/>
    <x v="136"/>
    <x v="1"/>
    <x v="717"/>
    <x v="1333"/>
    <x v="858"/>
    <x v="876"/>
    <x v="593"/>
    <x v="110"/>
    <x v="2"/>
    <x v="5"/>
    <x v="5"/>
    <x v="2"/>
    <x v="2"/>
    <x v="138"/>
  </r>
  <r>
    <x v="338"/>
    <x v="44"/>
    <x v="9"/>
    <x v="39"/>
    <x v="65"/>
    <x v="65"/>
    <x v="2"/>
    <x v="563"/>
    <x v="447"/>
    <x v="133"/>
    <x v="121"/>
    <x v="59"/>
    <x v="215"/>
    <x v="2"/>
    <x v="5"/>
    <x v="4"/>
    <x v="0"/>
    <x v="5"/>
    <x v="63"/>
  </r>
  <r>
    <x v="339"/>
    <x v="162"/>
    <x v="16"/>
    <x v="48"/>
    <x v="84"/>
    <x v="83"/>
    <x v="1"/>
    <x v="39"/>
    <x v="537"/>
    <x v="74"/>
    <x v="67"/>
    <x v="37"/>
    <x v="127"/>
    <x v="2"/>
    <x v="5"/>
    <x v="6"/>
    <x v="0"/>
    <x v="1"/>
    <x v="84"/>
  </r>
  <r>
    <x v="340"/>
    <x v="31"/>
    <x v="20"/>
    <x v="59"/>
    <x v="156"/>
    <x v="152"/>
    <x v="2"/>
    <x v="51"/>
    <x v="1243"/>
    <x v="738"/>
    <x v="744"/>
    <x v="501"/>
    <x v="75"/>
    <x v="2"/>
    <x v="5"/>
    <x v="4"/>
    <x v="0"/>
    <x v="2"/>
    <x v="153"/>
  </r>
  <r>
    <x v="341"/>
    <x v="280"/>
    <x v="41"/>
    <x v="16"/>
    <x v="163"/>
    <x v="162"/>
    <x v="3"/>
    <x v="468"/>
    <x v="1046"/>
    <x v="24"/>
    <x v="22"/>
    <x v="0"/>
    <x v="279"/>
    <x v="1"/>
    <x v="3"/>
    <x v="1"/>
    <x v="2"/>
    <x v="0"/>
    <x v="213"/>
  </r>
  <r>
    <x v="342"/>
    <x v="271"/>
    <x v="27"/>
    <x v="71"/>
    <x v="166"/>
    <x v="162"/>
    <x v="2"/>
    <x v="31"/>
    <x v="2"/>
    <x v="1453"/>
    <x v="1358"/>
    <x v="843"/>
    <x v="38"/>
    <x v="2"/>
    <x v="5"/>
    <x v="3"/>
    <x v="2"/>
    <x v="1"/>
    <x v="162"/>
  </r>
  <r>
    <x v="343"/>
    <x v="137"/>
    <x v="38"/>
    <x v="32"/>
    <x v="160"/>
    <x v="158"/>
    <x v="2"/>
    <x v="289"/>
    <x v="559"/>
    <x v="243"/>
    <x v="193"/>
    <x v="0"/>
    <x v="861"/>
    <x v="3"/>
    <x v="5"/>
    <x v="10"/>
    <x v="1"/>
    <x v="1"/>
    <x v="213"/>
  </r>
  <r>
    <x v="344"/>
    <x v="60"/>
    <x v="8"/>
    <x v="92"/>
    <x v="132"/>
    <x v="130"/>
    <x v="3"/>
    <x v="734"/>
    <x v="1110"/>
    <x v="1091"/>
    <x v="1153"/>
    <x v="641"/>
    <x v="819"/>
    <x v="2"/>
    <x v="5"/>
    <x v="6"/>
    <x v="0"/>
    <x v="5"/>
    <x v="131"/>
  </r>
  <r>
    <x v="345"/>
    <x v="123"/>
    <x v="42"/>
    <x v="41"/>
    <x v="131"/>
    <x v="129"/>
    <x v="3"/>
    <x v="176"/>
    <x v="1178"/>
    <x v="1419"/>
    <x v="1426"/>
    <x v="0"/>
    <x v="1471"/>
    <x v="1"/>
    <x v="1"/>
    <x v="7"/>
    <x v="1"/>
    <x v="3"/>
    <x v="213"/>
  </r>
  <r>
    <x v="346"/>
    <x v="86"/>
    <x v="26"/>
    <x v="71"/>
    <x v="9"/>
    <x v="4"/>
    <x v="2"/>
    <x v="634"/>
    <x v="1011"/>
    <x v="1386"/>
    <x v="1396"/>
    <x v="719"/>
    <x v="1014"/>
    <x v="2"/>
    <x v="5"/>
    <x v="0"/>
    <x v="1"/>
    <x v="0"/>
    <x v="5"/>
  </r>
  <r>
    <x v="347"/>
    <x v="223"/>
    <x v="43"/>
    <x v="15"/>
    <x v="206"/>
    <x v="201"/>
    <x v="3"/>
    <x v="678"/>
    <x v="980"/>
    <x v="790"/>
    <x v="932"/>
    <x v="0"/>
    <x v="1256"/>
    <x v="3"/>
    <x v="5"/>
    <x v="13"/>
    <x v="1"/>
    <x v="3"/>
    <x v="213"/>
  </r>
  <r>
    <x v="348"/>
    <x v="185"/>
    <x v="12"/>
    <x v="56"/>
    <x v="100"/>
    <x v="99"/>
    <x v="1"/>
    <x v="184"/>
    <x v="62"/>
    <x v="1207"/>
    <x v="1398"/>
    <x v="0"/>
    <x v="1459"/>
    <x v="1"/>
    <x v="0"/>
    <x v="1"/>
    <x v="2"/>
    <x v="4"/>
    <x v="213"/>
  </r>
  <r>
    <x v="349"/>
    <x v="117"/>
    <x v="31"/>
    <x v="46"/>
    <x v="183"/>
    <x v="181"/>
    <x v="1"/>
    <x v="234"/>
    <x v="1263"/>
    <x v="1214"/>
    <x v="1293"/>
    <x v="793"/>
    <x v="367"/>
    <x v="2"/>
    <x v="5"/>
    <x v="3"/>
    <x v="1"/>
    <x v="4"/>
    <x v="179"/>
  </r>
  <r>
    <x v="350"/>
    <x v="287"/>
    <x v="32"/>
    <x v="63"/>
    <x v="156"/>
    <x v="155"/>
    <x v="0"/>
    <x v="453"/>
    <x v="515"/>
    <x v="1476"/>
    <x v="1451"/>
    <x v="779"/>
    <x v="1006"/>
    <x v="2"/>
    <x v="5"/>
    <x v="4"/>
    <x v="1"/>
    <x v="4"/>
    <x v="153"/>
  </r>
  <r>
    <x v="351"/>
    <x v="33"/>
    <x v="8"/>
    <x v="33"/>
    <x v="149"/>
    <x v="144"/>
    <x v="0"/>
    <x v="430"/>
    <x v="719"/>
    <x v="823"/>
    <x v="681"/>
    <x v="0"/>
    <x v="1162"/>
    <x v="3"/>
    <x v="5"/>
    <x v="5"/>
    <x v="0"/>
    <x v="1"/>
    <x v="213"/>
  </r>
  <r>
    <x v="352"/>
    <x v="282"/>
    <x v="29"/>
    <x v="0"/>
    <x v="173"/>
    <x v="173"/>
    <x v="2"/>
    <x v="531"/>
    <x v="149"/>
    <x v="1025"/>
    <x v="1054"/>
    <x v="0"/>
    <x v="1303"/>
    <x v="0"/>
    <x v="5"/>
    <x v="4"/>
    <x v="2"/>
    <x v="2"/>
    <x v="213"/>
  </r>
  <r>
    <x v="353"/>
    <x v="112"/>
    <x v="3"/>
    <x v="35"/>
    <x v="106"/>
    <x v="104"/>
    <x v="2"/>
    <x v="436"/>
    <x v="1150"/>
    <x v="751"/>
    <x v="760"/>
    <x v="441"/>
    <x v="518"/>
    <x v="2"/>
    <x v="5"/>
    <x v="0"/>
    <x v="2"/>
    <x v="0"/>
    <x v="99"/>
  </r>
  <r>
    <x v="354"/>
    <x v="212"/>
    <x v="4"/>
    <x v="31"/>
    <x v="101"/>
    <x v="100"/>
    <x v="0"/>
    <x v="136"/>
    <x v="865"/>
    <x v="1319"/>
    <x v="1416"/>
    <x v="854"/>
    <x v="26"/>
    <x v="2"/>
    <x v="5"/>
    <x v="3"/>
    <x v="2"/>
    <x v="0"/>
    <x v="97"/>
  </r>
  <r>
    <x v="355"/>
    <x v="126"/>
    <x v="15"/>
    <x v="13"/>
    <x v="165"/>
    <x v="160"/>
    <x v="2"/>
    <x v="198"/>
    <x v="893"/>
    <x v="693"/>
    <x v="791"/>
    <x v="468"/>
    <x v="472"/>
    <x v="2"/>
    <x v="5"/>
    <x v="5"/>
    <x v="0"/>
    <x v="1"/>
    <x v="163"/>
  </r>
  <r>
    <x v="356"/>
    <x v="224"/>
    <x v="37"/>
    <x v="15"/>
    <x v="89"/>
    <x v="85"/>
    <x v="1"/>
    <x v="47"/>
    <x v="93"/>
    <x v="1417"/>
    <x v="1455"/>
    <x v="0"/>
    <x v="1482"/>
    <x v="1"/>
    <x v="2"/>
    <x v="7"/>
    <x v="2"/>
    <x v="3"/>
    <x v="213"/>
  </r>
  <r>
    <x v="357"/>
    <x v="217"/>
    <x v="4"/>
    <x v="13"/>
    <x v="177"/>
    <x v="177"/>
    <x v="1"/>
    <x v="460"/>
    <x v="150"/>
    <x v="81"/>
    <x v="92"/>
    <x v="0"/>
    <x v="615"/>
    <x v="1"/>
    <x v="1"/>
    <x v="0"/>
    <x v="2"/>
    <x v="1"/>
    <x v="213"/>
  </r>
  <r>
    <x v="358"/>
    <x v="228"/>
    <x v="24"/>
    <x v="59"/>
    <x v="100"/>
    <x v="97"/>
    <x v="2"/>
    <x v="514"/>
    <x v="268"/>
    <x v="1121"/>
    <x v="1021"/>
    <x v="630"/>
    <x v="548"/>
    <x v="2"/>
    <x v="5"/>
    <x v="0"/>
    <x v="2"/>
    <x v="4"/>
    <x v="93"/>
  </r>
  <r>
    <x v="359"/>
    <x v="97"/>
    <x v="36"/>
    <x v="16"/>
    <x v="172"/>
    <x v="172"/>
    <x v="3"/>
    <x v="293"/>
    <x v="1087"/>
    <x v="457"/>
    <x v="409"/>
    <x v="211"/>
    <x v="540"/>
    <x v="2"/>
    <x v="5"/>
    <x v="1"/>
    <x v="2"/>
    <x v="4"/>
    <x v="166"/>
  </r>
  <r>
    <x v="360"/>
    <x v="258"/>
    <x v="41"/>
    <x v="96"/>
    <x v="161"/>
    <x v="158"/>
    <x v="3"/>
    <x v="259"/>
    <x v="1366"/>
    <x v="200"/>
    <x v="158"/>
    <x v="80"/>
    <x v="261"/>
    <x v="2"/>
    <x v="5"/>
    <x v="6"/>
    <x v="0"/>
    <x v="6"/>
    <x v="160"/>
  </r>
  <r>
    <x v="361"/>
    <x v="72"/>
    <x v="3"/>
    <x v="30"/>
    <x v="122"/>
    <x v="120"/>
    <x v="1"/>
    <x v="350"/>
    <x v="899"/>
    <x v="408"/>
    <x v="486"/>
    <x v="0"/>
    <x v="1083"/>
    <x v="3"/>
    <x v="5"/>
    <x v="11"/>
    <x v="0"/>
    <x v="6"/>
    <x v="213"/>
  </r>
  <r>
    <x v="362"/>
    <x v="166"/>
    <x v="37"/>
    <x v="72"/>
    <x v="164"/>
    <x v="163"/>
    <x v="3"/>
    <x v="510"/>
    <x v="785"/>
    <x v="476"/>
    <x v="520"/>
    <x v="0"/>
    <x v="1099"/>
    <x v="1"/>
    <x v="4"/>
    <x v="7"/>
    <x v="2"/>
    <x v="3"/>
    <x v="213"/>
  </r>
  <r>
    <x v="363"/>
    <x v="112"/>
    <x v="44"/>
    <x v="29"/>
    <x v="41"/>
    <x v="41"/>
    <x v="2"/>
    <x v="517"/>
    <x v="560"/>
    <x v="1169"/>
    <x v="985"/>
    <x v="522"/>
    <x v="808"/>
    <x v="2"/>
    <x v="5"/>
    <x v="0"/>
    <x v="0"/>
    <x v="2"/>
    <x v="35"/>
  </r>
  <r>
    <x v="364"/>
    <x v="5"/>
    <x v="4"/>
    <x v="45"/>
    <x v="190"/>
    <x v="188"/>
    <x v="1"/>
    <x v="456"/>
    <x v="300"/>
    <x v="526"/>
    <x v="514"/>
    <x v="0"/>
    <x v="1096"/>
    <x v="1"/>
    <x v="1"/>
    <x v="0"/>
    <x v="0"/>
    <x v="3"/>
    <x v="213"/>
  </r>
  <r>
    <x v="365"/>
    <x v="99"/>
    <x v="12"/>
    <x v="36"/>
    <x v="113"/>
    <x v="112"/>
    <x v="0"/>
    <x v="182"/>
    <x v="686"/>
    <x v="1370"/>
    <x v="1305"/>
    <x v="0"/>
    <x v="1420"/>
    <x v="3"/>
    <x v="5"/>
    <x v="3"/>
    <x v="1"/>
    <x v="6"/>
    <x v="213"/>
  </r>
  <r>
    <x v="366"/>
    <x v="10"/>
    <x v="43"/>
    <x v="17"/>
    <x v="90"/>
    <x v="86"/>
    <x v="2"/>
    <x v="544"/>
    <x v="292"/>
    <x v="285"/>
    <x v="251"/>
    <x v="126"/>
    <x v="308"/>
    <x v="2"/>
    <x v="5"/>
    <x v="1"/>
    <x v="2"/>
    <x v="6"/>
    <x v="85"/>
  </r>
  <r>
    <x v="367"/>
    <x v="33"/>
    <x v="7"/>
    <x v="18"/>
    <x v="81"/>
    <x v="78"/>
    <x v="0"/>
    <x v="661"/>
    <x v="504"/>
    <x v="1206"/>
    <x v="1297"/>
    <x v="813"/>
    <x v="146"/>
    <x v="2"/>
    <x v="5"/>
    <x v="6"/>
    <x v="0"/>
    <x v="5"/>
    <x v="81"/>
  </r>
  <r>
    <x v="368"/>
    <x v="94"/>
    <x v="34"/>
    <x v="37"/>
    <x v="101"/>
    <x v="96"/>
    <x v="0"/>
    <x v="272"/>
    <x v="642"/>
    <x v="876"/>
    <x v="1067"/>
    <x v="587"/>
    <x v="826"/>
    <x v="2"/>
    <x v="5"/>
    <x v="0"/>
    <x v="0"/>
    <x v="4"/>
    <x v="94"/>
  </r>
  <r>
    <x v="369"/>
    <x v="40"/>
    <x v="30"/>
    <x v="84"/>
    <x v="205"/>
    <x v="203"/>
    <x v="1"/>
    <x v="139"/>
    <x v="1301"/>
    <x v="1262"/>
    <x v="1432"/>
    <x v="0"/>
    <x v="1474"/>
    <x v="1"/>
    <x v="3"/>
    <x v="7"/>
    <x v="2"/>
    <x v="1"/>
    <x v="213"/>
  </r>
  <r>
    <x v="370"/>
    <x v="249"/>
    <x v="30"/>
    <x v="34"/>
    <x v="169"/>
    <x v="165"/>
    <x v="2"/>
    <x v="528"/>
    <x v="106"/>
    <x v="752"/>
    <x v="656"/>
    <x v="407"/>
    <x v="309"/>
    <x v="2"/>
    <x v="5"/>
    <x v="7"/>
    <x v="0"/>
    <x v="6"/>
    <x v="169"/>
  </r>
  <r>
    <x v="371"/>
    <x v="78"/>
    <x v="23"/>
    <x v="32"/>
    <x v="54"/>
    <x v="51"/>
    <x v="1"/>
    <x v="107"/>
    <x v="229"/>
    <x v="558"/>
    <x v="523"/>
    <x v="0"/>
    <x v="1101"/>
    <x v="1"/>
    <x v="4"/>
    <x v="6"/>
    <x v="2"/>
    <x v="2"/>
    <x v="213"/>
  </r>
  <r>
    <x v="372"/>
    <x v="235"/>
    <x v="27"/>
    <x v="52"/>
    <x v="134"/>
    <x v="132"/>
    <x v="3"/>
    <x v="669"/>
    <x v="1274"/>
    <x v="47"/>
    <x v="49"/>
    <x v="25"/>
    <x v="98"/>
    <x v="2"/>
    <x v="5"/>
    <x v="7"/>
    <x v="2"/>
    <x v="3"/>
    <x v="134"/>
  </r>
  <r>
    <x v="373"/>
    <x v="147"/>
    <x v="32"/>
    <x v="65"/>
    <x v="97"/>
    <x v="97"/>
    <x v="1"/>
    <x v="654"/>
    <x v="727"/>
    <x v="333"/>
    <x v="355"/>
    <x v="193"/>
    <x v="366"/>
    <x v="2"/>
    <x v="5"/>
    <x v="1"/>
    <x v="0"/>
    <x v="0"/>
    <x v="91"/>
  </r>
  <r>
    <x v="374"/>
    <x v="151"/>
    <x v="47"/>
    <x v="98"/>
    <x v="30"/>
    <x v="30"/>
    <x v="3"/>
    <x v="161"/>
    <x v="356"/>
    <x v="801"/>
    <x v="748"/>
    <x v="457"/>
    <x v="377"/>
    <x v="2"/>
    <x v="5"/>
    <x v="4"/>
    <x v="1"/>
    <x v="4"/>
    <x v="29"/>
  </r>
  <r>
    <x v="375"/>
    <x v="203"/>
    <x v="37"/>
    <x v="96"/>
    <x v="141"/>
    <x v="139"/>
    <x v="1"/>
    <x v="391"/>
    <x v="1309"/>
    <x v="423"/>
    <x v="478"/>
    <x v="294"/>
    <x v="204"/>
    <x v="2"/>
    <x v="5"/>
    <x v="6"/>
    <x v="0"/>
    <x v="1"/>
    <x v="140"/>
  </r>
  <r>
    <x v="376"/>
    <x v="232"/>
    <x v="21"/>
    <x v="10"/>
    <x v="102"/>
    <x v="101"/>
    <x v="3"/>
    <x v="704"/>
    <x v="499"/>
    <x v="1109"/>
    <x v="1135"/>
    <x v="666"/>
    <x v="661"/>
    <x v="2"/>
    <x v="5"/>
    <x v="7"/>
    <x v="2"/>
    <x v="1"/>
    <x v="102"/>
  </r>
  <r>
    <x v="377"/>
    <x v="153"/>
    <x v="47"/>
    <x v="1"/>
    <x v="181"/>
    <x v="178"/>
    <x v="2"/>
    <x v="675"/>
    <x v="919"/>
    <x v="635"/>
    <x v="666"/>
    <x v="363"/>
    <x v="572"/>
    <x v="2"/>
    <x v="5"/>
    <x v="2"/>
    <x v="2"/>
    <x v="6"/>
    <x v="176"/>
  </r>
  <r>
    <x v="378"/>
    <x v="150"/>
    <x v="20"/>
    <x v="75"/>
    <x v="110"/>
    <x v="107"/>
    <x v="1"/>
    <x v="468"/>
    <x v="89"/>
    <x v="571"/>
    <x v="643"/>
    <x v="0"/>
    <x v="1152"/>
    <x v="3"/>
    <x v="5"/>
    <x v="11"/>
    <x v="0"/>
    <x v="6"/>
    <x v="213"/>
  </r>
  <r>
    <x v="379"/>
    <x v="191"/>
    <x v="13"/>
    <x v="50"/>
    <x v="88"/>
    <x v="84"/>
    <x v="1"/>
    <x v="438"/>
    <x v="996"/>
    <x v="885"/>
    <x v="945"/>
    <x v="0"/>
    <x v="1267"/>
    <x v="3"/>
    <x v="5"/>
    <x v="9"/>
    <x v="0"/>
    <x v="2"/>
    <x v="213"/>
  </r>
  <r>
    <x v="380"/>
    <x v="279"/>
    <x v="11"/>
    <x v="4"/>
    <x v="29"/>
    <x v="27"/>
    <x v="2"/>
    <x v="18"/>
    <x v="492"/>
    <x v="637"/>
    <x v="765"/>
    <x v="381"/>
    <x v="769"/>
    <x v="2"/>
    <x v="5"/>
    <x v="1"/>
    <x v="0"/>
    <x v="0"/>
    <x v="25"/>
  </r>
  <r>
    <x v="381"/>
    <x v="261"/>
    <x v="0"/>
    <x v="21"/>
    <x v="100"/>
    <x v="98"/>
    <x v="3"/>
    <x v="717"/>
    <x v="1056"/>
    <x v="409"/>
    <x v="415"/>
    <x v="225"/>
    <x v="368"/>
    <x v="2"/>
    <x v="5"/>
    <x v="5"/>
    <x v="2"/>
    <x v="6"/>
    <x v="98"/>
  </r>
  <r>
    <x v="382"/>
    <x v="64"/>
    <x v="13"/>
    <x v="39"/>
    <x v="29"/>
    <x v="28"/>
    <x v="2"/>
    <x v="682"/>
    <x v="1221"/>
    <x v="688"/>
    <x v="565"/>
    <x v="374"/>
    <x v="52"/>
    <x v="2"/>
    <x v="5"/>
    <x v="3"/>
    <x v="0"/>
    <x v="5"/>
    <x v="27"/>
  </r>
  <r>
    <x v="383"/>
    <x v="101"/>
    <x v="0"/>
    <x v="18"/>
    <x v="149"/>
    <x v="147"/>
    <x v="2"/>
    <x v="49"/>
    <x v="1022"/>
    <x v="728"/>
    <x v="795"/>
    <x v="0"/>
    <x v="1207"/>
    <x v="3"/>
    <x v="5"/>
    <x v="7"/>
    <x v="1"/>
    <x v="1"/>
    <x v="213"/>
  </r>
  <r>
    <x v="384"/>
    <x v="45"/>
    <x v="18"/>
    <x v="82"/>
    <x v="67"/>
    <x v="63"/>
    <x v="2"/>
    <x v="287"/>
    <x v="780"/>
    <x v="829"/>
    <x v="843"/>
    <x v="483"/>
    <x v="600"/>
    <x v="2"/>
    <x v="5"/>
    <x v="0"/>
    <x v="2"/>
    <x v="5"/>
    <x v="61"/>
  </r>
  <r>
    <x v="385"/>
    <x v="91"/>
    <x v="44"/>
    <x v="72"/>
    <x v="211"/>
    <x v="210"/>
    <x v="1"/>
    <x v="325"/>
    <x v="128"/>
    <x v="260"/>
    <x v="280"/>
    <x v="153"/>
    <x v="273"/>
    <x v="2"/>
    <x v="5"/>
    <x v="6"/>
    <x v="0"/>
    <x v="1"/>
    <x v="209"/>
  </r>
  <r>
    <x v="386"/>
    <x v="248"/>
    <x v="26"/>
    <x v="97"/>
    <x v="42"/>
    <x v="40"/>
    <x v="1"/>
    <x v="305"/>
    <x v="209"/>
    <x v="788"/>
    <x v="852"/>
    <x v="0"/>
    <x v="1229"/>
    <x v="1"/>
    <x v="3"/>
    <x v="1"/>
    <x v="0"/>
    <x v="5"/>
    <x v="213"/>
  </r>
  <r>
    <x v="387"/>
    <x v="36"/>
    <x v="40"/>
    <x v="88"/>
    <x v="198"/>
    <x v="196"/>
    <x v="2"/>
    <x v="315"/>
    <x v="898"/>
    <x v="237"/>
    <x v="211"/>
    <x v="98"/>
    <x v="339"/>
    <x v="2"/>
    <x v="5"/>
    <x v="0"/>
    <x v="1"/>
    <x v="2"/>
    <x v="191"/>
  </r>
  <r>
    <x v="388"/>
    <x v="244"/>
    <x v="29"/>
    <x v="8"/>
    <x v="52"/>
    <x v="49"/>
    <x v="1"/>
    <x v="449"/>
    <x v="625"/>
    <x v="357"/>
    <x v="390"/>
    <x v="199"/>
    <x v="500"/>
    <x v="2"/>
    <x v="5"/>
    <x v="7"/>
    <x v="1"/>
    <x v="2"/>
    <x v="53"/>
  </r>
  <r>
    <x v="389"/>
    <x v="50"/>
    <x v="11"/>
    <x v="37"/>
    <x v="38"/>
    <x v="35"/>
    <x v="1"/>
    <x v="438"/>
    <x v="1007"/>
    <x v="1255"/>
    <x v="1121"/>
    <x v="0"/>
    <x v="1335"/>
    <x v="1"/>
    <x v="4"/>
    <x v="0"/>
    <x v="0"/>
    <x v="0"/>
    <x v="213"/>
  </r>
  <r>
    <x v="390"/>
    <x v="17"/>
    <x v="43"/>
    <x v="68"/>
    <x v="171"/>
    <x v="171"/>
    <x v="0"/>
    <x v="366"/>
    <x v="140"/>
    <x v="219"/>
    <x v="209"/>
    <x v="0"/>
    <x v="879"/>
    <x v="3"/>
    <x v="5"/>
    <x v="6"/>
    <x v="1"/>
    <x v="1"/>
    <x v="213"/>
  </r>
  <r>
    <x v="391"/>
    <x v="154"/>
    <x v="28"/>
    <x v="6"/>
    <x v="138"/>
    <x v="133"/>
    <x v="1"/>
    <x v="38"/>
    <x v="983"/>
    <x v="975"/>
    <x v="829"/>
    <x v="0"/>
    <x v="1219"/>
    <x v="3"/>
    <x v="5"/>
    <x v="14"/>
    <x v="0"/>
    <x v="6"/>
    <x v="213"/>
  </r>
  <r>
    <x v="392"/>
    <x v="32"/>
    <x v="14"/>
    <x v="12"/>
    <x v="96"/>
    <x v="95"/>
    <x v="0"/>
    <x v="601"/>
    <x v="445"/>
    <x v="17"/>
    <x v="13"/>
    <x v="7"/>
    <x v="62"/>
    <x v="2"/>
    <x v="5"/>
    <x v="3"/>
    <x v="0"/>
    <x v="2"/>
    <x v="92"/>
  </r>
  <r>
    <x v="393"/>
    <x v="198"/>
    <x v="27"/>
    <x v="15"/>
    <x v="131"/>
    <x v="131"/>
    <x v="0"/>
    <x v="178"/>
    <x v="277"/>
    <x v="447"/>
    <x v="482"/>
    <x v="0"/>
    <x v="1080"/>
    <x v="1"/>
    <x v="4"/>
    <x v="3"/>
    <x v="2"/>
    <x v="3"/>
    <x v="213"/>
  </r>
  <r>
    <x v="394"/>
    <x v="140"/>
    <x v="41"/>
    <x v="79"/>
    <x v="44"/>
    <x v="44"/>
    <x v="3"/>
    <x v="33"/>
    <x v="183"/>
    <x v="439"/>
    <x v="432"/>
    <x v="233"/>
    <x v="376"/>
    <x v="2"/>
    <x v="5"/>
    <x v="1"/>
    <x v="0"/>
    <x v="2"/>
    <x v="39"/>
  </r>
  <r>
    <x v="395"/>
    <x v="126"/>
    <x v="6"/>
    <x v="76"/>
    <x v="81"/>
    <x v="77"/>
    <x v="3"/>
    <x v="524"/>
    <x v="1003"/>
    <x v="1482"/>
    <x v="1470"/>
    <x v="860"/>
    <x v="478"/>
    <x v="2"/>
    <x v="5"/>
    <x v="2"/>
    <x v="1"/>
    <x v="1"/>
    <x v="77"/>
  </r>
  <r>
    <x v="396"/>
    <x v="34"/>
    <x v="21"/>
    <x v="2"/>
    <x v="178"/>
    <x v="177"/>
    <x v="2"/>
    <x v="316"/>
    <x v="1304"/>
    <x v="938"/>
    <x v="1106"/>
    <x v="628"/>
    <x v="798"/>
    <x v="2"/>
    <x v="5"/>
    <x v="7"/>
    <x v="1"/>
    <x v="4"/>
    <x v="178"/>
  </r>
  <r>
    <x v="397"/>
    <x v="61"/>
    <x v="19"/>
    <x v="30"/>
    <x v="63"/>
    <x v="59"/>
    <x v="2"/>
    <x v="630"/>
    <x v="627"/>
    <x v="1480"/>
    <x v="1331"/>
    <x v="0"/>
    <x v="1433"/>
    <x v="3"/>
    <x v="5"/>
    <x v="12"/>
    <x v="1"/>
    <x v="0"/>
    <x v="213"/>
  </r>
  <r>
    <x v="398"/>
    <x v="119"/>
    <x v="46"/>
    <x v="76"/>
    <x v="16"/>
    <x v="15"/>
    <x v="2"/>
    <x v="616"/>
    <x v="862"/>
    <x v="419"/>
    <x v="374"/>
    <x v="192"/>
    <x v="457"/>
    <x v="2"/>
    <x v="5"/>
    <x v="0"/>
    <x v="0"/>
    <x v="3"/>
    <x v="12"/>
  </r>
  <r>
    <x v="399"/>
    <x v="12"/>
    <x v="14"/>
    <x v="93"/>
    <x v="86"/>
    <x v="81"/>
    <x v="3"/>
    <x v="285"/>
    <x v="625"/>
    <x v="45"/>
    <x v="55"/>
    <x v="0"/>
    <x v="470"/>
    <x v="1"/>
    <x v="1"/>
    <x v="6"/>
    <x v="0"/>
    <x v="5"/>
    <x v="213"/>
  </r>
  <r>
    <x v="400"/>
    <x v="191"/>
    <x v="33"/>
    <x v="41"/>
    <x v="18"/>
    <x v="13"/>
    <x v="0"/>
    <x v="366"/>
    <x v="18"/>
    <x v="1196"/>
    <x v="1300"/>
    <x v="0"/>
    <x v="1418"/>
    <x v="0"/>
    <x v="5"/>
    <x v="3"/>
    <x v="0"/>
    <x v="1"/>
    <x v="213"/>
  </r>
  <r>
    <x v="401"/>
    <x v="62"/>
    <x v="5"/>
    <x v="22"/>
    <x v="125"/>
    <x v="125"/>
    <x v="0"/>
    <x v="195"/>
    <x v="1298"/>
    <x v="63"/>
    <x v="79"/>
    <x v="0"/>
    <x v="574"/>
    <x v="0"/>
    <x v="5"/>
    <x v="3"/>
    <x v="0"/>
    <x v="2"/>
    <x v="213"/>
  </r>
  <r>
    <x v="402"/>
    <x v="152"/>
    <x v="18"/>
    <x v="73"/>
    <x v="188"/>
    <x v="185"/>
    <x v="2"/>
    <x v="527"/>
    <x v="533"/>
    <x v="1063"/>
    <x v="983"/>
    <x v="512"/>
    <x v="828"/>
    <x v="2"/>
    <x v="5"/>
    <x v="3"/>
    <x v="2"/>
    <x v="1"/>
    <x v="184"/>
  </r>
  <r>
    <x v="403"/>
    <x v="212"/>
    <x v="32"/>
    <x v="78"/>
    <x v="203"/>
    <x v="200"/>
    <x v="2"/>
    <x v="632"/>
    <x v="405"/>
    <x v="1459"/>
    <x v="1368"/>
    <x v="731"/>
    <x v="969"/>
    <x v="2"/>
    <x v="5"/>
    <x v="7"/>
    <x v="2"/>
    <x v="0"/>
    <x v="202"/>
  </r>
  <r>
    <x v="404"/>
    <x v="279"/>
    <x v="46"/>
    <x v="22"/>
    <x v="198"/>
    <x v="195"/>
    <x v="3"/>
    <x v="314"/>
    <x v="1188"/>
    <x v="112"/>
    <x v="135"/>
    <x v="75"/>
    <x v="205"/>
    <x v="2"/>
    <x v="5"/>
    <x v="2"/>
    <x v="2"/>
    <x v="2"/>
    <x v="193"/>
  </r>
  <r>
    <x v="405"/>
    <x v="77"/>
    <x v="12"/>
    <x v="0"/>
    <x v="75"/>
    <x v="72"/>
    <x v="1"/>
    <x v="719"/>
    <x v="1282"/>
    <x v="695"/>
    <x v="649"/>
    <x v="402"/>
    <x v="305"/>
    <x v="2"/>
    <x v="5"/>
    <x v="3"/>
    <x v="1"/>
    <x v="4"/>
    <x v="72"/>
  </r>
  <r>
    <x v="406"/>
    <x v="246"/>
    <x v="19"/>
    <x v="82"/>
    <x v="98"/>
    <x v="95"/>
    <x v="1"/>
    <x v="337"/>
    <x v="112"/>
    <x v="588"/>
    <x v="563"/>
    <x v="341"/>
    <x v="257"/>
    <x v="2"/>
    <x v="5"/>
    <x v="6"/>
    <x v="0"/>
    <x v="2"/>
    <x v="97"/>
  </r>
  <r>
    <x v="407"/>
    <x v="256"/>
    <x v="45"/>
    <x v="62"/>
    <x v="145"/>
    <x v="144"/>
    <x v="3"/>
    <x v="576"/>
    <x v="159"/>
    <x v="614"/>
    <x v="557"/>
    <x v="362"/>
    <x v="99"/>
    <x v="2"/>
    <x v="5"/>
    <x v="5"/>
    <x v="1"/>
    <x v="2"/>
    <x v="143"/>
  </r>
  <r>
    <x v="408"/>
    <x v="73"/>
    <x v="16"/>
    <x v="77"/>
    <x v="113"/>
    <x v="108"/>
    <x v="2"/>
    <x v="564"/>
    <x v="385"/>
    <x v="686"/>
    <x v="818"/>
    <x v="453"/>
    <x v="658"/>
    <x v="2"/>
    <x v="5"/>
    <x v="0"/>
    <x v="2"/>
    <x v="6"/>
    <x v="106"/>
  </r>
  <r>
    <x v="409"/>
    <x v="192"/>
    <x v="25"/>
    <x v="90"/>
    <x v="158"/>
    <x v="154"/>
    <x v="1"/>
    <x v="425"/>
    <x v="502"/>
    <x v="1254"/>
    <x v="1038"/>
    <x v="0"/>
    <x v="1300"/>
    <x v="0"/>
    <x v="5"/>
    <x v="1"/>
    <x v="2"/>
    <x v="6"/>
    <x v="213"/>
  </r>
  <r>
    <x v="410"/>
    <x v="154"/>
    <x v="46"/>
    <x v="52"/>
    <x v="111"/>
    <x v="109"/>
    <x v="1"/>
    <x v="86"/>
    <x v="901"/>
    <x v="727"/>
    <x v="737"/>
    <x v="0"/>
    <x v="1187"/>
    <x v="3"/>
    <x v="5"/>
    <x v="9"/>
    <x v="0"/>
    <x v="3"/>
    <x v="213"/>
  </r>
  <r>
    <x v="411"/>
    <x v="0"/>
    <x v="6"/>
    <x v="8"/>
    <x v="192"/>
    <x v="191"/>
    <x v="2"/>
    <x v="432"/>
    <x v="1072"/>
    <x v="563"/>
    <x v="528"/>
    <x v="0"/>
    <x v="1103"/>
    <x v="1"/>
    <x v="0"/>
    <x v="2"/>
    <x v="1"/>
    <x v="3"/>
    <x v="213"/>
  </r>
  <r>
    <x v="412"/>
    <x v="253"/>
    <x v="7"/>
    <x v="57"/>
    <x v="190"/>
    <x v="187"/>
    <x v="0"/>
    <x v="156"/>
    <x v="532"/>
    <x v="522"/>
    <x v="577"/>
    <x v="296"/>
    <x v="628"/>
    <x v="2"/>
    <x v="5"/>
    <x v="2"/>
    <x v="0"/>
    <x v="4"/>
    <x v="185"/>
  </r>
  <r>
    <x v="413"/>
    <x v="83"/>
    <x v="5"/>
    <x v="37"/>
    <x v="47"/>
    <x v="46"/>
    <x v="1"/>
    <x v="312"/>
    <x v="328"/>
    <x v="1354"/>
    <x v="1313"/>
    <x v="768"/>
    <x v="626"/>
    <x v="2"/>
    <x v="5"/>
    <x v="1"/>
    <x v="2"/>
    <x v="0"/>
    <x v="42"/>
  </r>
  <r>
    <x v="414"/>
    <x v="4"/>
    <x v="3"/>
    <x v="34"/>
    <x v="87"/>
    <x v="87"/>
    <x v="1"/>
    <x v="552"/>
    <x v="123"/>
    <x v="687"/>
    <x v="745"/>
    <x v="0"/>
    <x v="1191"/>
    <x v="3"/>
    <x v="5"/>
    <x v="4"/>
    <x v="0"/>
    <x v="6"/>
    <x v="213"/>
  </r>
  <r>
    <x v="415"/>
    <x v="238"/>
    <x v="48"/>
    <x v="43"/>
    <x v="133"/>
    <x v="133"/>
    <x v="2"/>
    <x v="279"/>
    <x v="966"/>
    <x v="756"/>
    <x v="919"/>
    <x v="493"/>
    <x v="749"/>
    <x v="2"/>
    <x v="5"/>
    <x v="7"/>
    <x v="1"/>
    <x v="3"/>
    <x v="133"/>
  </r>
  <r>
    <x v="416"/>
    <x v="166"/>
    <x v="6"/>
    <x v="0"/>
    <x v="81"/>
    <x v="80"/>
    <x v="2"/>
    <x v="727"/>
    <x v="1030"/>
    <x v="985"/>
    <x v="957"/>
    <x v="0"/>
    <x v="1273"/>
    <x v="1"/>
    <x v="1"/>
    <x v="0"/>
    <x v="1"/>
    <x v="1"/>
    <x v="213"/>
  </r>
  <r>
    <x v="417"/>
    <x v="125"/>
    <x v="23"/>
    <x v="57"/>
    <x v="35"/>
    <x v="35"/>
    <x v="2"/>
    <x v="423"/>
    <x v="1065"/>
    <x v="1296"/>
    <x v="1203"/>
    <x v="0"/>
    <x v="1378"/>
    <x v="3"/>
    <x v="5"/>
    <x v="14"/>
    <x v="1"/>
    <x v="6"/>
    <x v="213"/>
  </r>
  <r>
    <x v="418"/>
    <x v="23"/>
    <x v="47"/>
    <x v="41"/>
    <x v="5"/>
    <x v="0"/>
    <x v="2"/>
    <x v="193"/>
    <x v="1245"/>
    <x v="1208"/>
    <x v="1003"/>
    <x v="0"/>
    <x v="1287"/>
    <x v="0"/>
    <x v="5"/>
    <x v="5"/>
    <x v="2"/>
    <x v="4"/>
    <x v="213"/>
  </r>
  <r>
    <x v="419"/>
    <x v="193"/>
    <x v="18"/>
    <x v="77"/>
    <x v="156"/>
    <x v="156"/>
    <x v="0"/>
    <x v="591"/>
    <x v="369"/>
    <x v="1406"/>
    <x v="1485"/>
    <x v="850"/>
    <x v="855"/>
    <x v="2"/>
    <x v="5"/>
    <x v="1"/>
    <x v="1"/>
    <x v="5"/>
    <x v="150"/>
  </r>
  <r>
    <x v="420"/>
    <x v="84"/>
    <x v="28"/>
    <x v="14"/>
    <x v="205"/>
    <x v="200"/>
    <x v="2"/>
    <x v="550"/>
    <x v="1364"/>
    <x v="182"/>
    <x v="205"/>
    <x v="105"/>
    <x v="263"/>
    <x v="2"/>
    <x v="5"/>
    <x v="7"/>
    <x v="0"/>
    <x v="6"/>
    <x v="204"/>
  </r>
  <r>
    <x v="421"/>
    <x v="80"/>
    <x v="20"/>
    <x v="49"/>
    <x v="55"/>
    <x v="54"/>
    <x v="3"/>
    <x v="183"/>
    <x v="672"/>
    <x v="974"/>
    <x v="822"/>
    <x v="0"/>
    <x v="1215"/>
    <x v="1"/>
    <x v="2"/>
    <x v="6"/>
    <x v="1"/>
    <x v="2"/>
    <x v="213"/>
  </r>
  <r>
    <x v="422"/>
    <x v="45"/>
    <x v="44"/>
    <x v="42"/>
    <x v="171"/>
    <x v="171"/>
    <x v="0"/>
    <x v="476"/>
    <x v="174"/>
    <x v="1388"/>
    <x v="1409"/>
    <x v="0"/>
    <x v="1464"/>
    <x v="3"/>
    <x v="5"/>
    <x v="10"/>
    <x v="1"/>
    <x v="3"/>
    <x v="213"/>
  </r>
  <r>
    <x v="423"/>
    <x v="219"/>
    <x v="14"/>
    <x v="28"/>
    <x v="101"/>
    <x v="96"/>
    <x v="3"/>
    <x v="92"/>
    <x v="767"/>
    <x v="1064"/>
    <x v="1167"/>
    <x v="0"/>
    <x v="1357"/>
    <x v="3"/>
    <x v="5"/>
    <x v="11"/>
    <x v="0"/>
    <x v="0"/>
    <x v="213"/>
  </r>
  <r>
    <x v="424"/>
    <x v="289"/>
    <x v="23"/>
    <x v="16"/>
    <x v="24"/>
    <x v="22"/>
    <x v="3"/>
    <x v="314"/>
    <x v="5"/>
    <x v="1404"/>
    <x v="1446"/>
    <x v="0"/>
    <x v="1480"/>
    <x v="3"/>
    <x v="5"/>
    <x v="4"/>
    <x v="2"/>
    <x v="0"/>
    <x v="213"/>
  </r>
  <r>
    <x v="425"/>
    <x v="262"/>
    <x v="42"/>
    <x v="77"/>
    <x v="155"/>
    <x v="151"/>
    <x v="0"/>
    <x v="85"/>
    <x v="1015"/>
    <x v="549"/>
    <x v="536"/>
    <x v="323"/>
    <x v="231"/>
    <x v="2"/>
    <x v="5"/>
    <x v="2"/>
    <x v="0"/>
    <x v="5"/>
    <x v="150"/>
  </r>
  <r>
    <x v="426"/>
    <x v="73"/>
    <x v="38"/>
    <x v="36"/>
    <x v="119"/>
    <x v="117"/>
    <x v="0"/>
    <x v="621"/>
    <x v="96"/>
    <x v="1415"/>
    <x v="1465"/>
    <x v="845"/>
    <x v="821"/>
    <x v="2"/>
    <x v="5"/>
    <x v="7"/>
    <x v="1"/>
    <x v="3"/>
    <x v="119"/>
  </r>
  <r>
    <x v="427"/>
    <x v="108"/>
    <x v="31"/>
    <x v="37"/>
    <x v="83"/>
    <x v="79"/>
    <x v="2"/>
    <x v="45"/>
    <x v="874"/>
    <x v="172"/>
    <x v="216"/>
    <x v="0"/>
    <x v="894"/>
    <x v="0"/>
    <x v="5"/>
    <x v="7"/>
    <x v="0"/>
    <x v="1"/>
    <x v="213"/>
  </r>
  <r>
    <x v="428"/>
    <x v="245"/>
    <x v="46"/>
    <x v="50"/>
    <x v="184"/>
    <x v="183"/>
    <x v="3"/>
    <x v="679"/>
    <x v="422"/>
    <x v="1401"/>
    <x v="1259"/>
    <x v="0"/>
    <x v="1401"/>
    <x v="1"/>
    <x v="3"/>
    <x v="0"/>
    <x v="0"/>
    <x v="5"/>
    <x v="213"/>
  </r>
  <r>
    <x v="429"/>
    <x v="266"/>
    <x v="46"/>
    <x v="36"/>
    <x v="102"/>
    <x v="100"/>
    <x v="3"/>
    <x v="576"/>
    <x v="521"/>
    <x v="671"/>
    <x v="641"/>
    <x v="345"/>
    <x v="552"/>
    <x v="2"/>
    <x v="5"/>
    <x v="1"/>
    <x v="1"/>
    <x v="1"/>
    <x v="96"/>
  </r>
  <r>
    <x v="430"/>
    <x v="152"/>
    <x v="29"/>
    <x v="83"/>
    <x v="143"/>
    <x v="140"/>
    <x v="0"/>
    <x v="478"/>
    <x v="354"/>
    <x v="448"/>
    <x v="511"/>
    <x v="319"/>
    <x v="143"/>
    <x v="2"/>
    <x v="5"/>
    <x v="0"/>
    <x v="2"/>
    <x v="4"/>
    <x v="136"/>
  </r>
  <r>
    <x v="431"/>
    <x v="181"/>
    <x v="46"/>
    <x v="73"/>
    <x v="125"/>
    <x v="123"/>
    <x v="1"/>
    <x v="563"/>
    <x v="386"/>
    <x v="303"/>
    <x v="338"/>
    <x v="0"/>
    <x v="1015"/>
    <x v="1"/>
    <x v="2"/>
    <x v="3"/>
    <x v="2"/>
    <x v="2"/>
    <x v="213"/>
  </r>
  <r>
    <x v="432"/>
    <x v="58"/>
    <x v="32"/>
    <x v="83"/>
    <x v="174"/>
    <x v="173"/>
    <x v="3"/>
    <x v="491"/>
    <x v="1112"/>
    <x v="131"/>
    <x v="166"/>
    <x v="0"/>
    <x v="795"/>
    <x v="1"/>
    <x v="2"/>
    <x v="2"/>
    <x v="0"/>
    <x v="4"/>
    <x v="213"/>
  </r>
  <r>
    <x v="433"/>
    <x v="188"/>
    <x v="49"/>
    <x v="88"/>
    <x v="187"/>
    <x v="184"/>
    <x v="1"/>
    <x v="648"/>
    <x v="1188"/>
    <x v="166"/>
    <x v="161"/>
    <x v="83"/>
    <x v="227"/>
    <x v="2"/>
    <x v="5"/>
    <x v="2"/>
    <x v="1"/>
    <x v="2"/>
    <x v="182"/>
  </r>
  <r>
    <x v="434"/>
    <x v="60"/>
    <x v="31"/>
    <x v="82"/>
    <x v="75"/>
    <x v="70"/>
    <x v="0"/>
    <x v="15"/>
    <x v="1234"/>
    <x v="508"/>
    <x v="445"/>
    <x v="0"/>
    <x v="1068"/>
    <x v="3"/>
    <x v="5"/>
    <x v="4"/>
    <x v="2"/>
    <x v="4"/>
    <x v="213"/>
  </r>
  <r>
    <x v="435"/>
    <x v="288"/>
    <x v="8"/>
    <x v="12"/>
    <x v="190"/>
    <x v="190"/>
    <x v="3"/>
    <x v="49"/>
    <x v="1356"/>
    <x v="265"/>
    <x v="269"/>
    <x v="0"/>
    <x v="958"/>
    <x v="1"/>
    <x v="1"/>
    <x v="6"/>
    <x v="0"/>
    <x v="2"/>
    <x v="213"/>
  </r>
  <r>
    <x v="436"/>
    <x v="32"/>
    <x v="33"/>
    <x v="74"/>
    <x v="213"/>
    <x v="208"/>
    <x v="1"/>
    <x v="628"/>
    <x v="543"/>
    <x v="813"/>
    <x v="835"/>
    <x v="535"/>
    <x v="266"/>
    <x v="2"/>
    <x v="5"/>
    <x v="7"/>
    <x v="1"/>
    <x v="0"/>
    <x v="212"/>
  </r>
  <r>
    <x v="437"/>
    <x v="60"/>
    <x v="2"/>
    <x v="16"/>
    <x v="50"/>
    <x v="46"/>
    <x v="0"/>
    <x v="542"/>
    <x v="431"/>
    <x v="7"/>
    <x v="5"/>
    <x v="0"/>
    <x v="165"/>
    <x v="3"/>
    <x v="5"/>
    <x v="8"/>
    <x v="0"/>
    <x v="5"/>
    <x v="213"/>
  </r>
  <r>
    <x v="438"/>
    <x v="212"/>
    <x v="42"/>
    <x v="0"/>
    <x v="65"/>
    <x v="65"/>
    <x v="0"/>
    <x v="250"/>
    <x v="137"/>
    <x v="175"/>
    <x v="165"/>
    <x v="99"/>
    <x v="11"/>
    <x v="2"/>
    <x v="5"/>
    <x v="2"/>
    <x v="1"/>
    <x v="1"/>
    <x v="61"/>
  </r>
  <r>
    <x v="439"/>
    <x v="271"/>
    <x v="32"/>
    <x v="26"/>
    <x v="80"/>
    <x v="75"/>
    <x v="1"/>
    <x v="550"/>
    <x v="132"/>
    <x v="202"/>
    <x v="197"/>
    <x v="100"/>
    <x v="253"/>
    <x v="2"/>
    <x v="5"/>
    <x v="5"/>
    <x v="0"/>
    <x v="0"/>
    <x v="79"/>
  </r>
  <r>
    <x v="440"/>
    <x v="179"/>
    <x v="17"/>
    <x v="16"/>
    <x v="49"/>
    <x v="48"/>
    <x v="2"/>
    <x v="57"/>
    <x v="670"/>
    <x v="1241"/>
    <x v="1413"/>
    <x v="826"/>
    <x v="688"/>
    <x v="2"/>
    <x v="5"/>
    <x v="3"/>
    <x v="2"/>
    <x v="2"/>
    <x v="46"/>
  </r>
  <r>
    <x v="441"/>
    <x v="270"/>
    <x v="13"/>
    <x v="9"/>
    <x v="167"/>
    <x v="166"/>
    <x v="3"/>
    <x v="525"/>
    <x v="512"/>
    <x v="113"/>
    <x v="101"/>
    <x v="55"/>
    <x v="140"/>
    <x v="2"/>
    <x v="5"/>
    <x v="2"/>
    <x v="1"/>
    <x v="3"/>
    <x v="162"/>
  </r>
  <r>
    <x v="442"/>
    <x v="158"/>
    <x v="27"/>
    <x v="48"/>
    <x v="149"/>
    <x v="144"/>
    <x v="1"/>
    <x v="500"/>
    <x v="645"/>
    <x v="742"/>
    <x v="640"/>
    <x v="0"/>
    <x v="1151"/>
    <x v="3"/>
    <x v="5"/>
    <x v="5"/>
    <x v="0"/>
    <x v="3"/>
    <x v="213"/>
  </r>
  <r>
    <x v="443"/>
    <x v="167"/>
    <x v="49"/>
    <x v="34"/>
    <x v="35"/>
    <x v="31"/>
    <x v="0"/>
    <x v="725"/>
    <x v="593"/>
    <x v="803"/>
    <x v="658"/>
    <x v="401"/>
    <x v="373"/>
    <x v="2"/>
    <x v="5"/>
    <x v="5"/>
    <x v="2"/>
    <x v="0"/>
    <x v="34"/>
  </r>
  <r>
    <x v="444"/>
    <x v="87"/>
    <x v="33"/>
    <x v="93"/>
    <x v="28"/>
    <x v="25"/>
    <x v="3"/>
    <x v="487"/>
    <x v="1256"/>
    <x v="320"/>
    <x v="380"/>
    <x v="0"/>
    <x v="1038"/>
    <x v="0"/>
    <x v="5"/>
    <x v="1"/>
    <x v="0"/>
    <x v="5"/>
    <x v="213"/>
  </r>
  <r>
    <x v="445"/>
    <x v="85"/>
    <x v="20"/>
    <x v="96"/>
    <x v="94"/>
    <x v="89"/>
    <x v="2"/>
    <x v="151"/>
    <x v="902"/>
    <x v="394"/>
    <x v="375"/>
    <x v="185"/>
    <x v="496"/>
    <x v="2"/>
    <x v="5"/>
    <x v="0"/>
    <x v="1"/>
    <x v="4"/>
    <x v="88"/>
  </r>
  <r>
    <x v="446"/>
    <x v="4"/>
    <x v="43"/>
    <x v="65"/>
    <x v="205"/>
    <x v="201"/>
    <x v="0"/>
    <x v="546"/>
    <x v="332"/>
    <x v="1325"/>
    <x v="1282"/>
    <x v="747"/>
    <x v="650"/>
    <x v="2"/>
    <x v="5"/>
    <x v="4"/>
    <x v="0"/>
    <x v="2"/>
    <x v="201"/>
  </r>
  <r>
    <x v="447"/>
    <x v="210"/>
    <x v="45"/>
    <x v="58"/>
    <x v="150"/>
    <x v="145"/>
    <x v="0"/>
    <x v="363"/>
    <x v="917"/>
    <x v="1381"/>
    <x v="1404"/>
    <x v="790"/>
    <x v="876"/>
    <x v="2"/>
    <x v="5"/>
    <x v="3"/>
    <x v="2"/>
    <x v="5"/>
    <x v="146"/>
  </r>
  <r>
    <x v="448"/>
    <x v="153"/>
    <x v="40"/>
    <x v="11"/>
    <x v="75"/>
    <x v="73"/>
    <x v="3"/>
    <x v="335"/>
    <x v="823"/>
    <x v="757"/>
    <x v="836"/>
    <x v="0"/>
    <x v="1222"/>
    <x v="0"/>
    <x v="5"/>
    <x v="3"/>
    <x v="0"/>
    <x v="4"/>
    <x v="213"/>
  </r>
  <r>
    <x v="449"/>
    <x v="42"/>
    <x v="47"/>
    <x v="36"/>
    <x v="20"/>
    <x v="20"/>
    <x v="2"/>
    <x v="673"/>
    <x v="33"/>
    <x v="1418"/>
    <x v="1239"/>
    <x v="0"/>
    <x v="1392"/>
    <x v="3"/>
    <x v="5"/>
    <x v="3"/>
    <x v="2"/>
    <x v="4"/>
    <x v="213"/>
  </r>
  <r>
    <x v="450"/>
    <x v="203"/>
    <x v="0"/>
    <x v="78"/>
    <x v="135"/>
    <x v="130"/>
    <x v="0"/>
    <x v="691"/>
    <x v="25"/>
    <x v="721"/>
    <x v="785"/>
    <x v="481"/>
    <x v="396"/>
    <x v="2"/>
    <x v="5"/>
    <x v="1"/>
    <x v="1"/>
    <x v="2"/>
    <x v="129"/>
  </r>
  <r>
    <x v="451"/>
    <x v="21"/>
    <x v="38"/>
    <x v="57"/>
    <x v="183"/>
    <x v="179"/>
    <x v="0"/>
    <x v="559"/>
    <x v="1325"/>
    <x v="345"/>
    <x v="386"/>
    <x v="0"/>
    <x v="1043"/>
    <x v="3"/>
    <x v="5"/>
    <x v="11"/>
    <x v="0"/>
    <x v="6"/>
    <x v="213"/>
  </r>
  <r>
    <x v="452"/>
    <x v="190"/>
    <x v="10"/>
    <x v="47"/>
    <x v="21"/>
    <x v="19"/>
    <x v="1"/>
    <x v="281"/>
    <x v="650"/>
    <x v="744"/>
    <x v="904"/>
    <x v="0"/>
    <x v="1245"/>
    <x v="1"/>
    <x v="0"/>
    <x v="6"/>
    <x v="1"/>
    <x v="1"/>
    <x v="213"/>
  </r>
  <r>
    <x v="453"/>
    <x v="109"/>
    <x v="19"/>
    <x v="82"/>
    <x v="196"/>
    <x v="196"/>
    <x v="1"/>
    <x v="384"/>
    <x v="1253"/>
    <x v="700"/>
    <x v="631"/>
    <x v="302"/>
    <x v="738"/>
    <x v="2"/>
    <x v="5"/>
    <x v="6"/>
    <x v="0"/>
    <x v="3"/>
    <x v="195"/>
  </r>
  <r>
    <x v="454"/>
    <x v="201"/>
    <x v="22"/>
    <x v="1"/>
    <x v="5"/>
    <x v="1"/>
    <x v="1"/>
    <x v="355"/>
    <x v="1261"/>
    <x v="422"/>
    <x v="367"/>
    <x v="198"/>
    <x v="384"/>
    <x v="2"/>
    <x v="5"/>
    <x v="2"/>
    <x v="0"/>
    <x v="0"/>
    <x v="3"/>
  </r>
  <r>
    <x v="455"/>
    <x v="126"/>
    <x v="14"/>
    <x v="60"/>
    <x v="139"/>
    <x v="135"/>
    <x v="2"/>
    <x v="310"/>
    <x v="784"/>
    <x v="581"/>
    <x v="690"/>
    <x v="0"/>
    <x v="1163"/>
    <x v="1"/>
    <x v="3"/>
    <x v="0"/>
    <x v="2"/>
    <x v="2"/>
    <x v="213"/>
  </r>
  <r>
    <x v="456"/>
    <x v="69"/>
    <x v="22"/>
    <x v="95"/>
    <x v="50"/>
    <x v="46"/>
    <x v="2"/>
    <x v="4"/>
    <x v="935"/>
    <x v="145"/>
    <x v="143"/>
    <x v="0"/>
    <x v="755"/>
    <x v="1"/>
    <x v="3"/>
    <x v="7"/>
    <x v="1"/>
    <x v="6"/>
    <x v="213"/>
  </r>
  <r>
    <x v="457"/>
    <x v="80"/>
    <x v="42"/>
    <x v="25"/>
    <x v="29"/>
    <x v="28"/>
    <x v="2"/>
    <x v="552"/>
    <x v="698"/>
    <x v="192"/>
    <x v="179"/>
    <x v="95"/>
    <x v="238"/>
    <x v="2"/>
    <x v="5"/>
    <x v="0"/>
    <x v="0"/>
    <x v="2"/>
    <x v="24"/>
  </r>
  <r>
    <x v="458"/>
    <x v="252"/>
    <x v="46"/>
    <x v="94"/>
    <x v="129"/>
    <x v="125"/>
    <x v="2"/>
    <x v="104"/>
    <x v="291"/>
    <x v="1008"/>
    <x v="873"/>
    <x v="547"/>
    <x v="335"/>
    <x v="2"/>
    <x v="5"/>
    <x v="6"/>
    <x v="0"/>
    <x v="1"/>
    <x v="128"/>
  </r>
  <r>
    <x v="459"/>
    <x v="215"/>
    <x v="38"/>
    <x v="94"/>
    <x v="6"/>
    <x v="5"/>
    <x v="1"/>
    <x v="358"/>
    <x v="1236"/>
    <x v="726"/>
    <x v="813"/>
    <x v="428"/>
    <x v="723"/>
    <x v="2"/>
    <x v="5"/>
    <x v="5"/>
    <x v="2"/>
    <x v="3"/>
    <x v="7"/>
  </r>
  <r>
    <x v="460"/>
    <x v="141"/>
    <x v="49"/>
    <x v="14"/>
    <x v="124"/>
    <x v="124"/>
    <x v="3"/>
    <x v="580"/>
    <x v="643"/>
    <x v="352"/>
    <x v="315"/>
    <x v="0"/>
    <x v="997"/>
    <x v="1"/>
    <x v="3"/>
    <x v="2"/>
    <x v="1"/>
    <x v="1"/>
    <x v="213"/>
  </r>
  <r>
    <x v="461"/>
    <x v="94"/>
    <x v="37"/>
    <x v="80"/>
    <x v="110"/>
    <x v="109"/>
    <x v="0"/>
    <x v="188"/>
    <x v="317"/>
    <x v="1160"/>
    <x v="1007"/>
    <x v="639"/>
    <x v="405"/>
    <x v="2"/>
    <x v="5"/>
    <x v="2"/>
    <x v="0"/>
    <x v="2"/>
    <x v="105"/>
  </r>
  <r>
    <x v="462"/>
    <x v="45"/>
    <x v="3"/>
    <x v="48"/>
    <x v="11"/>
    <x v="9"/>
    <x v="2"/>
    <x v="432"/>
    <x v="807"/>
    <x v="1396"/>
    <x v="1341"/>
    <x v="0"/>
    <x v="1438"/>
    <x v="0"/>
    <x v="5"/>
    <x v="3"/>
    <x v="1"/>
    <x v="4"/>
    <x v="213"/>
  </r>
  <r>
    <x v="463"/>
    <x v="54"/>
    <x v="17"/>
    <x v="46"/>
    <x v="60"/>
    <x v="59"/>
    <x v="3"/>
    <x v="289"/>
    <x v="1077"/>
    <x v="690"/>
    <x v="697"/>
    <x v="422"/>
    <x v="393"/>
    <x v="2"/>
    <x v="5"/>
    <x v="4"/>
    <x v="0"/>
    <x v="3"/>
    <x v="58"/>
  </r>
  <r>
    <x v="464"/>
    <x v="141"/>
    <x v="38"/>
    <x v="12"/>
    <x v="13"/>
    <x v="12"/>
    <x v="2"/>
    <x v="155"/>
    <x v="661"/>
    <x v="64"/>
    <x v="71"/>
    <x v="36"/>
    <x v="153"/>
    <x v="2"/>
    <x v="5"/>
    <x v="7"/>
    <x v="2"/>
    <x v="3"/>
    <x v="15"/>
  </r>
  <r>
    <x v="465"/>
    <x v="166"/>
    <x v="23"/>
    <x v="94"/>
    <x v="87"/>
    <x v="85"/>
    <x v="3"/>
    <x v="618"/>
    <x v="1336"/>
    <x v="992"/>
    <x v="1083"/>
    <x v="687"/>
    <x v="370"/>
    <x v="2"/>
    <x v="5"/>
    <x v="2"/>
    <x v="1"/>
    <x v="3"/>
    <x v="83"/>
  </r>
  <r>
    <x v="466"/>
    <x v="21"/>
    <x v="37"/>
    <x v="83"/>
    <x v="65"/>
    <x v="60"/>
    <x v="0"/>
    <x v="162"/>
    <x v="1142"/>
    <x v="852"/>
    <x v="711"/>
    <x v="351"/>
    <x v="739"/>
    <x v="2"/>
    <x v="5"/>
    <x v="1"/>
    <x v="0"/>
    <x v="0"/>
    <x v="60"/>
  </r>
  <r>
    <x v="467"/>
    <x v="22"/>
    <x v="8"/>
    <x v="24"/>
    <x v="143"/>
    <x v="139"/>
    <x v="2"/>
    <x v="451"/>
    <x v="663"/>
    <x v="1067"/>
    <x v="1299"/>
    <x v="695"/>
    <x v="921"/>
    <x v="2"/>
    <x v="5"/>
    <x v="2"/>
    <x v="1"/>
    <x v="3"/>
    <x v="138"/>
  </r>
  <r>
    <x v="468"/>
    <x v="210"/>
    <x v="33"/>
    <x v="64"/>
    <x v="96"/>
    <x v="93"/>
    <x v="1"/>
    <x v="138"/>
    <x v="718"/>
    <x v="164"/>
    <x v="163"/>
    <x v="0"/>
    <x v="791"/>
    <x v="3"/>
    <x v="5"/>
    <x v="10"/>
    <x v="1"/>
    <x v="6"/>
    <x v="213"/>
  </r>
  <r>
    <x v="469"/>
    <x v="199"/>
    <x v="31"/>
    <x v="87"/>
    <x v="74"/>
    <x v="74"/>
    <x v="1"/>
    <x v="137"/>
    <x v="1121"/>
    <x v="79"/>
    <x v="99"/>
    <x v="0"/>
    <x v="629"/>
    <x v="0"/>
    <x v="5"/>
    <x v="3"/>
    <x v="1"/>
    <x v="2"/>
    <x v="213"/>
  </r>
  <r>
    <x v="470"/>
    <x v="4"/>
    <x v="32"/>
    <x v="58"/>
    <x v="146"/>
    <x v="143"/>
    <x v="3"/>
    <x v="253"/>
    <x v="578"/>
    <x v="386"/>
    <x v="343"/>
    <x v="174"/>
    <x v="452"/>
    <x v="2"/>
    <x v="5"/>
    <x v="3"/>
    <x v="2"/>
    <x v="4"/>
    <x v="142"/>
  </r>
  <r>
    <x v="471"/>
    <x v="140"/>
    <x v="8"/>
    <x v="34"/>
    <x v="72"/>
    <x v="68"/>
    <x v="1"/>
    <x v="532"/>
    <x v="649"/>
    <x v="323"/>
    <x v="328"/>
    <x v="173"/>
    <x v="372"/>
    <x v="2"/>
    <x v="5"/>
    <x v="2"/>
    <x v="0"/>
    <x v="5"/>
    <x v="68"/>
  </r>
  <r>
    <x v="472"/>
    <x v="41"/>
    <x v="45"/>
    <x v="70"/>
    <x v="29"/>
    <x v="29"/>
    <x v="3"/>
    <x v="599"/>
    <x v="346"/>
    <x v="935"/>
    <x v="1138"/>
    <x v="0"/>
    <x v="1343"/>
    <x v="3"/>
    <x v="5"/>
    <x v="8"/>
    <x v="2"/>
    <x v="5"/>
    <x v="213"/>
  </r>
  <r>
    <x v="473"/>
    <x v="110"/>
    <x v="46"/>
    <x v="35"/>
    <x v="77"/>
    <x v="75"/>
    <x v="0"/>
    <x v="214"/>
    <x v="48"/>
    <x v="922"/>
    <x v="743"/>
    <x v="0"/>
    <x v="1190"/>
    <x v="0"/>
    <x v="5"/>
    <x v="5"/>
    <x v="1"/>
    <x v="4"/>
    <x v="213"/>
  </r>
  <r>
    <x v="474"/>
    <x v="222"/>
    <x v="14"/>
    <x v="41"/>
    <x v="203"/>
    <x v="199"/>
    <x v="3"/>
    <x v="171"/>
    <x v="1016"/>
    <x v="1103"/>
    <x v="1078"/>
    <x v="665"/>
    <x v="510"/>
    <x v="2"/>
    <x v="5"/>
    <x v="3"/>
    <x v="0"/>
    <x v="2"/>
    <x v="199"/>
  </r>
  <r>
    <x v="475"/>
    <x v="249"/>
    <x v="11"/>
    <x v="58"/>
    <x v="64"/>
    <x v="59"/>
    <x v="0"/>
    <x v="680"/>
    <x v="468"/>
    <x v="510"/>
    <x v="607"/>
    <x v="0"/>
    <x v="1142"/>
    <x v="3"/>
    <x v="5"/>
    <x v="4"/>
    <x v="0"/>
    <x v="5"/>
    <x v="213"/>
  </r>
  <r>
    <x v="476"/>
    <x v="94"/>
    <x v="4"/>
    <x v="18"/>
    <x v="130"/>
    <x v="125"/>
    <x v="1"/>
    <x v="352"/>
    <x v="635"/>
    <x v="395"/>
    <x v="379"/>
    <x v="228"/>
    <x v="92"/>
    <x v="2"/>
    <x v="5"/>
    <x v="6"/>
    <x v="2"/>
    <x v="4"/>
    <x v="129"/>
  </r>
  <r>
    <x v="477"/>
    <x v="50"/>
    <x v="24"/>
    <x v="49"/>
    <x v="103"/>
    <x v="103"/>
    <x v="1"/>
    <x v="87"/>
    <x v="41"/>
    <x v="198"/>
    <x v="219"/>
    <x v="0"/>
    <x v="900"/>
    <x v="3"/>
    <x v="5"/>
    <x v="3"/>
    <x v="1"/>
    <x v="0"/>
    <x v="213"/>
  </r>
  <r>
    <x v="478"/>
    <x v="52"/>
    <x v="34"/>
    <x v="94"/>
    <x v="34"/>
    <x v="33"/>
    <x v="3"/>
    <x v="710"/>
    <x v="233"/>
    <x v="381"/>
    <x v="444"/>
    <x v="0"/>
    <x v="1067"/>
    <x v="1"/>
    <x v="2"/>
    <x v="0"/>
    <x v="0"/>
    <x v="6"/>
    <x v="213"/>
  </r>
  <r>
    <x v="479"/>
    <x v="122"/>
    <x v="3"/>
    <x v="69"/>
    <x v="126"/>
    <x v="122"/>
    <x v="3"/>
    <x v="520"/>
    <x v="1374"/>
    <x v="1213"/>
    <x v="1151"/>
    <x v="0"/>
    <x v="1350"/>
    <x v="1"/>
    <x v="3"/>
    <x v="7"/>
    <x v="0"/>
    <x v="0"/>
    <x v="213"/>
  </r>
  <r>
    <x v="480"/>
    <x v="112"/>
    <x v="1"/>
    <x v="29"/>
    <x v="11"/>
    <x v="11"/>
    <x v="2"/>
    <x v="319"/>
    <x v="385"/>
    <x v="136"/>
    <x v="168"/>
    <x v="89"/>
    <x v="207"/>
    <x v="2"/>
    <x v="5"/>
    <x v="0"/>
    <x v="2"/>
    <x v="4"/>
    <x v="7"/>
  </r>
  <r>
    <x v="481"/>
    <x v="84"/>
    <x v="7"/>
    <x v="28"/>
    <x v="74"/>
    <x v="73"/>
    <x v="1"/>
    <x v="235"/>
    <x v="927"/>
    <x v="1013"/>
    <x v="1118"/>
    <x v="0"/>
    <x v="1334"/>
    <x v="1"/>
    <x v="0"/>
    <x v="1"/>
    <x v="0"/>
    <x v="5"/>
    <x v="213"/>
  </r>
  <r>
    <x v="482"/>
    <x v="89"/>
    <x v="27"/>
    <x v="67"/>
    <x v="85"/>
    <x v="85"/>
    <x v="3"/>
    <x v="497"/>
    <x v="483"/>
    <x v="1393"/>
    <x v="1184"/>
    <x v="612"/>
    <x v="951"/>
    <x v="2"/>
    <x v="5"/>
    <x v="2"/>
    <x v="1"/>
    <x v="2"/>
    <x v="81"/>
  </r>
  <r>
    <x v="483"/>
    <x v="136"/>
    <x v="31"/>
    <x v="84"/>
    <x v="43"/>
    <x v="38"/>
    <x v="3"/>
    <x v="222"/>
    <x v="208"/>
    <x v="921"/>
    <x v="855"/>
    <x v="0"/>
    <x v="1231"/>
    <x v="3"/>
    <x v="5"/>
    <x v="4"/>
    <x v="0"/>
    <x v="1"/>
    <x v="213"/>
  </r>
  <r>
    <x v="484"/>
    <x v="34"/>
    <x v="7"/>
    <x v="73"/>
    <x v="43"/>
    <x v="38"/>
    <x v="2"/>
    <x v="604"/>
    <x v="729"/>
    <x v="211"/>
    <x v="207"/>
    <x v="124"/>
    <x v="93"/>
    <x v="2"/>
    <x v="5"/>
    <x v="7"/>
    <x v="0"/>
    <x v="0"/>
    <x v="44"/>
  </r>
  <r>
    <x v="485"/>
    <x v="167"/>
    <x v="8"/>
    <x v="83"/>
    <x v="83"/>
    <x v="82"/>
    <x v="0"/>
    <x v="317"/>
    <x v="1078"/>
    <x v="540"/>
    <x v="507"/>
    <x v="281"/>
    <x v="458"/>
    <x v="2"/>
    <x v="5"/>
    <x v="6"/>
    <x v="1"/>
    <x v="2"/>
    <x v="83"/>
  </r>
  <r>
    <x v="486"/>
    <x v="265"/>
    <x v="36"/>
    <x v="99"/>
    <x v="141"/>
    <x v="137"/>
    <x v="0"/>
    <x v="582"/>
    <x v="235"/>
    <x v="785"/>
    <x v="696"/>
    <x v="338"/>
    <x v="740"/>
    <x v="2"/>
    <x v="5"/>
    <x v="6"/>
    <x v="0"/>
    <x v="3"/>
    <x v="140"/>
  </r>
  <r>
    <x v="487"/>
    <x v="54"/>
    <x v="3"/>
    <x v="44"/>
    <x v="1"/>
    <x v="0"/>
    <x v="3"/>
    <x v="707"/>
    <x v="360"/>
    <x v="21"/>
    <x v="18"/>
    <x v="0"/>
    <x v="272"/>
    <x v="0"/>
    <x v="5"/>
    <x v="2"/>
    <x v="2"/>
    <x v="2"/>
    <x v="213"/>
  </r>
  <r>
    <x v="488"/>
    <x v="28"/>
    <x v="47"/>
    <x v="17"/>
    <x v="40"/>
    <x v="36"/>
    <x v="1"/>
    <x v="575"/>
    <x v="368"/>
    <x v="1371"/>
    <x v="1237"/>
    <x v="0"/>
    <x v="1391"/>
    <x v="0"/>
    <x v="5"/>
    <x v="3"/>
    <x v="2"/>
    <x v="4"/>
    <x v="213"/>
  </r>
  <r>
    <x v="489"/>
    <x v="240"/>
    <x v="38"/>
    <x v="20"/>
    <x v="11"/>
    <x v="6"/>
    <x v="1"/>
    <x v="119"/>
    <x v="952"/>
    <x v="514"/>
    <x v="569"/>
    <x v="0"/>
    <x v="1125"/>
    <x v="0"/>
    <x v="5"/>
    <x v="1"/>
    <x v="0"/>
    <x v="0"/>
    <x v="213"/>
  </r>
  <r>
    <x v="490"/>
    <x v="69"/>
    <x v="47"/>
    <x v="67"/>
    <x v="62"/>
    <x v="62"/>
    <x v="3"/>
    <x v="390"/>
    <x v="1057"/>
    <x v="1237"/>
    <x v="1211"/>
    <x v="742"/>
    <x v="423"/>
    <x v="2"/>
    <x v="5"/>
    <x v="7"/>
    <x v="1"/>
    <x v="3"/>
    <x v="63"/>
  </r>
  <r>
    <x v="491"/>
    <x v="16"/>
    <x v="38"/>
    <x v="96"/>
    <x v="118"/>
    <x v="113"/>
    <x v="0"/>
    <x v="414"/>
    <x v="428"/>
    <x v="399"/>
    <x v="359"/>
    <x v="0"/>
    <x v="1027"/>
    <x v="3"/>
    <x v="5"/>
    <x v="13"/>
    <x v="0"/>
    <x v="2"/>
    <x v="213"/>
  </r>
  <r>
    <x v="492"/>
    <x v="252"/>
    <x v="19"/>
    <x v="90"/>
    <x v="113"/>
    <x v="108"/>
    <x v="0"/>
    <x v="351"/>
    <x v="410"/>
    <x v="639"/>
    <x v="708"/>
    <x v="0"/>
    <x v="1170"/>
    <x v="1"/>
    <x v="4"/>
    <x v="4"/>
    <x v="2"/>
    <x v="0"/>
    <x v="213"/>
  </r>
  <r>
    <x v="493"/>
    <x v="110"/>
    <x v="25"/>
    <x v="23"/>
    <x v="136"/>
    <x v="133"/>
    <x v="1"/>
    <x v="681"/>
    <x v="1203"/>
    <x v="177"/>
    <x v="153"/>
    <x v="0"/>
    <x v="774"/>
    <x v="0"/>
    <x v="5"/>
    <x v="0"/>
    <x v="2"/>
    <x v="3"/>
    <x v="213"/>
  </r>
  <r>
    <x v="494"/>
    <x v="97"/>
    <x v="17"/>
    <x v="13"/>
    <x v="172"/>
    <x v="167"/>
    <x v="1"/>
    <x v="60"/>
    <x v="946"/>
    <x v="533"/>
    <x v="451"/>
    <x v="235"/>
    <x v="444"/>
    <x v="2"/>
    <x v="5"/>
    <x v="6"/>
    <x v="1"/>
    <x v="1"/>
    <x v="171"/>
  </r>
  <r>
    <x v="495"/>
    <x v="155"/>
    <x v="12"/>
    <x v="70"/>
    <x v="85"/>
    <x v="85"/>
    <x v="0"/>
    <x v="528"/>
    <x v="91"/>
    <x v="236"/>
    <x v="191"/>
    <x v="97"/>
    <x v="278"/>
    <x v="2"/>
    <x v="5"/>
    <x v="0"/>
    <x v="0"/>
    <x v="3"/>
    <x v="79"/>
  </r>
  <r>
    <x v="496"/>
    <x v="46"/>
    <x v="19"/>
    <x v="1"/>
    <x v="25"/>
    <x v="21"/>
    <x v="3"/>
    <x v="626"/>
    <x v="740"/>
    <x v="821"/>
    <x v="942"/>
    <x v="463"/>
    <x v="870"/>
    <x v="2"/>
    <x v="5"/>
    <x v="5"/>
    <x v="2"/>
    <x v="5"/>
    <x v="25"/>
  </r>
  <r>
    <x v="497"/>
    <x v="204"/>
    <x v="47"/>
    <x v="64"/>
    <x v="51"/>
    <x v="49"/>
    <x v="1"/>
    <x v="413"/>
    <x v="392"/>
    <x v="1068"/>
    <x v="1294"/>
    <x v="0"/>
    <x v="1415"/>
    <x v="1"/>
    <x v="1"/>
    <x v="1"/>
    <x v="0"/>
    <x v="5"/>
    <x v="213"/>
  </r>
  <r>
    <x v="498"/>
    <x v="39"/>
    <x v="40"/>
    <x v="11"/>
    <x v="206"/>
    <x v="203"/>
    <x v="0"/>
    <x v="180"/>
    <x v="363"/>
    <x v="1295"/>
    <x v="1085"/>
    <x v="570"/>
    <x v="871"/>
    <x v="2"/>
    <x v="5"/>
    <x v="7"/>
    <x v="1"/>
    <x v="6"/>
    <x v="205"/>
  </r>
  <r>
    <x v="499"/>
    <x v="225"/>
    <x v="8"/>
    <x v="43"/>
    <x v="132"/>
    <x v="128"/>
    <x v="3"/>
    <x v="298"/>
    <x v="1108"/>
    <x v="895"/>
    <x v="923"/>
    <x v="0"/>
    <x v="1254"/>
    <x v="0"/>
    <x v="5"/>
    <x v="5"/>
    <x v="0"/>
    <x v="4"/>
    <x v="213"/>
  </r>
  <r>
    <x v="500"/>
    <x v="286"/>
    <x v="40"/>
    <x v="63"/>
    <x v="203"/>
    <x v="198"/>
    <x v="1"/>
    <x v="670"/>
    <x v="44"/>
    <x v="302"/>
    <x v="318"/>
    <x v="157"/>
    <x v="455"/>
    <x v="2"/>
    <x v="5"/>
    <x v="2"/>
    <x v="0"/>
    <x v="1"/>
    <x v="198"/>
  </r>
  <r>
    <x v="501"/>
    <x v="228"/>
    <x v="20"/>
    <x v="21"/>
    <x v="83"/>
    <x v="79"/>
    <x v="3"/>
    <x v="133"/>
    <x v="187"/>
    <x v="1186"/>
    <x v="1356"/>
    <x v="0"/>
    <x v="1444"/>
    <x v="1"/>
    <x v="2"/>
    <x v="7"/>
    <x v="2"/>
    <x v="5"/>
    <x v="213"/>
  </r>
  <r>
    <x v="502"/>
    <x v="129"/>
    <x v="48"/>
    <x v="56"/>
    <x v="95"/>
    <x v="93"/>
    <x v="0"/>
    <x v="98"/>
    <x v="1253"/>
    <x v="258"/>
    <x v="289"/>
    <x v="152"/>
    <x v="350"/>
    <x v="2"/>
    <x v="5"/>
    <x v="7"/>
    <x v="0"/>
    <x v="3"/>
    <x v="95"/>
  </r>
  <r>
    <x v="503"/>
    <x v="187"/>
    <x v="5"/>
    <x v="87"/>
    <x v="76"/>
    <x v="73"/>
    <x v="2"/>
    <x v="417"/>
    <x v="1157"/>
    <x v="916"/>
    <x v="1001"/>
    <x v="576"/>
    <x v="674"/>
    <x v="2"/>
    <x v="5"/>
    <x v="5"/>
    <x v="2"/>
    <x v="4"/>
    <x v="75"/>
  </r>
  <r>
    <x v="504"/>
    <x v="77"/>
    <x v="6"/>
    <x v="37"/>
    <x v="14"/>
    <x v="10"/>
    <x v="2"/>
    <x v="130"/>
    <x v="1022"/>
    <x v="71"/>
    <x v="80"/>
    <x v="0"/>
    <x v="577"/>
    <x v="0"/>
    <x v="5"/>
    <x v="0"/>
    <x v="0"/>
    <x v="6"/>
    <x v="213"/>
  </r>
  <r>
    <x v="505"/>
    <x v="234"/>
    <x v="6"/>
    <x v="10"/>
    <x v="102"/>
    <x v="99"/>
    <x v="0"/>
    <x v="609"/>
    <x v="285"/>
    <x v="487"/>
    <x v="488"/>
    <x v="0"/>
    <x v="1084"/>
    <x v="3"/>
    <x v="5"/>
    <x v="11"/>
    <x v="2"/>
    <x v="1"/>
    <x v="213"/>
  </r>
  <r>
    <x v="506"/>
    <x v="239"/>
    <x v="7"/>
    <x v="35"/>
    <x v="111"/>
    <x v="110"/>
    <x v="2"/>
    <x v="28"/>
    <x v="1378"/>
    <x v="85"/>
    <x v="74"/>
    <x v="42"/>
    <x v="83"/>
    <x v="2"/>
    <x v="5"/>
    <x v="3"/>
    <x v="0"/>
    <x v="2"/>
    <x v="107"/>
  </r>
  <r>
    <x v="507"/>
    <x v="181"/>
    <x v="27"/>
    <x v="60"/>
    <x v="42"/>
    <x v="37"/>
    <x v="0"/>
    <x v="41"/>
    <x v="556"/>
    <x v="828"/>
    <x v="1017"/>
    <x v="650"/>
    <x v="349"/>
    <x v="2"/>
    <x v="5"/>
    <x v="0"/>
    <x v="0"/>
    <x v="1"/>
    <x v="36"/>
  </r>
  <r>
    <x v="508"/>
    <x v="40"/>
    <x v="19"/>
    <x v="91"/>
    <x v="178"/>
    <x v="175"/>
    <x v="2"/>
    <x v="728"/>
    <x v="1082"/>
    <x v="940"/>
    <x v="789"/>
    <x v="389"/>
    <x v="801"/>
    <x v="2"/>
    <x v="5"/>
    <x v="6"/>
    <x v="1"/>
    <x v="6"/>
    <x v="177"/>
  </r>
  <r>
    <x v="509"/>
    <x v="82"/>
    <x v="12"/>
    <x v="44"/>
    <x v="173"/>
    <x v="171"/>
    <x v="2"/>
    <x v="397"/>
    <x v="1223"/>
    <x v="66"/>
    <x v="78"/>
    <x v="41"/>
    <x v="120"/>
    <x v="2"/>
    <x v="5"/>
    <x v="4"/>
    <x v="1"/>
    <x v="4"/>
    <x v="170"/>
  </r>
  <r>
    <x v="510"/>
    <x v="5"/>
    <x v="35"/>
    <x v="76"/>
    <x v="201"/>
    <x v="200"/>
    <x v="0"/>
    <x v="60"/>
    <x v="378"/>
    <x v="616"/>
    <x v="735"/>
    <x v="0"/>
    <x v="1186"/>
    <x v="0"/>
    <x v="5"/>
    <x v="6"/>
    <x v="2"/>
    <x v="4"/>
    <x v="213"/>
  </r>
  <r>
    <x v="511"/>
    <x v="230"/>
    <x v="9"/>
    <x v="63"/>
    <x v="215"/>
    <x v="210"/>
    <x v="3"/>
    <x v="90"/>
    <x v="1044"/>
    <x v="1086"/>
    <x v="1036"/>
    <x v="0"/>
    <x v="1299"/>
    <x v="3"/>
    <x v="5"/>
    <x v="5"/>
    <x v="2"/>
    <x v="5"/>
    <x v="213"/>
  </r>
  <r>
    <x v="512"/>
    <x v="292"/>
    <x v="6"/>
    <x v="4"/>
    <x v="184"/>
    <x v="184"/>
    <x v="0"/>
    <x v="620"/>
    <x v="498"/>
    <x v="1416"/>
    <x v="1471"/>
    <x v="0"/>
    <x v="1488"/>
    <x v="0"/>
    <x v="5"/>
    <x v="7"/>
    <x v="2"/>
    <x v="4"/>
    <x v="213"/>
  </r>
  <r>
    <x v="513"/>
    <x v="291"/>
    <x v="0"/>
    <x v="47"/>
    <x v="140"/>
    <x v="139"/>
    <x v="3"/>
    <x v="12"/>
    <x v="792"/>
    <x v="311"/>
    <x v="282"/>
    <x v="0"/>
    <x v="971"/>
    <x v="3"/>
    <x v="5"/>
    <x v="6"/>
    <x v="2"/>
    <x v="5"/>
    <x v="213"/>
  </r>
  <r>
    <x v="514"/>
    <x v="176"/>
    <x v="22"/>
    <x v="69"/>
    <x v="209"/>
    <x v="209"/>
    <x v="2"/>
    <x v="430"/>
    <x v="879"/>
    <x v="959"/>
    <x v="964"/>
    <x v="0"/>
    <x v="1278"/>
    <x v="3"/>
    <x v="5"/>
    <x v="9"/>
    <x v="0"/>
    <x v="6"/>
    <x v="213"/>
  </r>
  <r>
    <x v="515"/>
    <x v="219"/>
    <x v="40"/>
    <x v="36"/>
    <x v="120"/>
    <x v="117"/>
    <x v="1"/>
    <x v="69"/>
    <x v="273"/>
    <x v="808"/>
    <x v="699"/>
    <x v="396"/>
    <x v="551"/>
    <x v="2"/>
    <x v="5"/>
    <x v="4"/>
    <x v="0"/>
    <x v="4"/>
    <x v="117"/>
  </r>
  <r>
    <x v="516"/>
    <x v="253"/>
    <x v="37"/>
    <x v="4"/>
    <x v="8"/>
    <x v="4"/>
    <x v="3"/>
    <x v="709"/>
    <x v="1085"/>
    <x v="138"/>
    <x v="162"/>
    <x v="0"/>
    <x v="790"/>
    <x v="1"/>
    <x v="0"/>
    <x v="1"/>
    <x v="0"/>
    <x v="6"/>
    <x v="213"/>
  </r>
  <r>
    <x v="517"/>
    <x v="233"/>
    <x v="26"/>
    <x v="82"/>
    <x v="201"/>
    <x v="198"/>
    <x v="2"/>
    <x v="6"/>
    <x v="973"/>
    <x v="158"/>
    <x v="182"/>
    <x v="117"/>
    <x v="15"/>
    <x v="2"/>
    <x v="5"/>
    <x v="5"/>
    <x v="0"/>
    <x v="5"/>
    <x v="199"/>
  </r>
  <r>
    <x v="518"/>
    <x v="2"/>
    <x v="26"/>
    <x v="4"/>
    <x v="74"/>
    <x v="72"/>
    <x v="1"/>
    <x v="17"/>
    <x v="400"/>
    <x v="376"/>
    <x v="425"/>
    <x v="0"/>
    <x v="1059"/>
    <x v="1"/>
    <x v="3"/>
    <x v="6"/>
    <x v="2"/>
    <x v="1"/>
    <x v="213"/>
  </r>
  <r>
    <x v="519"/>
    <x v="280"/>
    <x v="25"/>
    <x v="24"/>
    <x v="213"/>
    <x v="209"/>
    <x v="2"/>
    <x v="688"/>
    <x v="148"/>
    <x v="878"/>
    <x v="833"/>
    <x v="0"/>
    <x v="1220"/>
    <x v="1"/>
    <x v="3"/>
    <x v="6"/>
    <x v="1"/>
    <x v="2"/>
    <x v="213"/>
  </r>
  <r>
    <x v="520"/>
    <x v="219"/>
    <x v="14"/>
    <x v="12"/>
    <x v="37"/>
    <x v="32"/>
    <x v="0"/>
    <x v="415"/>
    <x v="310"/>
    <x v="1073"/>
    <x v="1053"/>
    <x v="598"/>
    <x v="776"/>
    <x v="2"/>
    <x v="5"/>
    <x v="2"/>
    <x v="1"/>
    <x v="5"/>
    <x v="33"/>
  </r>
  <r>
    <x v="521"/>
    <x v="102"/>
    <x v="5"/>
    <x v="11"/>
    <x v="203"/>
    <x v="200"/>
    <x v="1"/>
    <x v="361"/>
    <x v="38"/>
    <x v="926"/>
    <x v="848"/>
    <x v="0"/>
    <x v="1227"/>
    <x v="1"/>
    <x v="1"/>
    <x v="2"/>
    <x v="1"/>
    <x v="1"/>
    <x v="213"/>
  </r>
  <r>
    <x v="522"/>
    <x v="12"/>
    <x v="47"/>
    <x v="93"/>
    <x v="152"/>
    <x v="151"/>
    <x v="0"/>
    <x v="376"/>
    <x v="930"/>
    <x v="1047"/>
    <x v="1231"/>
    <x v="644"/>
    <x v="962"/>
    <x v="2"/>
    <x v="5"/>
    <x v="6"/>
    <x v="0"/>
    <x v="6"/>
    <x v="151"/>
  </r>
  <r>
    <x v="523"/>
    <x v="131"/>
    <x v="42"/>
    <x v="6"/>
    <x v="168"/>
    <x v="167"/>
    <x v="3"/>
    <x v="65"/>
    <x v="373"/>
    <x v="783"/>
    <x v="701"/>
    <x v="443"/>
    <x v="268"/>
    <x v="2"/>
    <x v="5"/>
    <x v="6"/>
    <x v="1"/>
    <x v="0"/>
    <x v="167"/>
  </r>
  <r>
    <x v="524"/>
    <x v="70"/>
    <x v="18"/>
    <x v="33"/>
    <x v="167"/>
    <x v="163"/>
    <x v="0"/>
    <x v="75"/>
    <x v="213"/>
    <x v="150"/>
    <x v="181"/>
    <x v="0"/>
    <x v="839"/>
    <x v="1"/>
    <x v="2"/>
    <x v="1"/>
    <x v="2"/>
    <x v="1"/>
    <x v="213"/>
  </r>
  <r>
    <x v="525"/>
    <x v="105"/>
    <x v="43"/>
    <x v="53"/>
    <x v="93"/>
    <x v="92"/>
    <x v="2"/>
    <x v="262"/>
    <x v="1159"/>
    <x v="711"/>
    <x v="572"/>
    <x v="283"/>
    <x v="679"/>
    <x v="2"/>
    <x v="5"/>
    <x v="1"/>
    <x v="0"/>
    <x v="6"/>
    <x v="88"/>
  </r>
  <r>
    <x v="526"/>
    <x v="171"/>
    <x v="22"/>
    <x v="61"/>
    <x v="76"/>
    <x v="76"/>
    <x v="1"/>
    <x v="130"/>
    <x v="1323"/>
    <x v="973"/>
    <x v="1045"/>
    <x v="0"/>
    <x v="1301"/>
    <x v="1"/>
    <x v="2"/>
    <x v="0"/>
    <x v="1"/>
    <x v="3"/>
    <x v="213"/>
  </r>
  <r>
    <x v="527"/>
    <x v="108"/>
    <x v="23"/>
    <x v="14"/>
    <x v="32"/>
    <x v="31"/>
    <x v="0"/>
    <x v="20"/>
    <x v="859"/>
    <x v="784"/>
    <x v="798"/>
    <x v="0"/>
    <x v="1208"/>
    <x v="3"/>
    <x v="5"/>
    <x v="5"/>
    <x v="0"/>
    <x v="6"/>
    <x v="213"/>
  </r>
  <r>
    <x v="528"/>
    <x v="46"/>
    <x v="22"/>
    <x v="90"/>
    <x v="26"/>
    <x v="21"/>
    <x v="3"/>
    <x v="387"/>
    <x v="1270"/>
    <x v="179"/>
    <x v="167"/>
    <x v="0"/>
    <x v="796"/>
    <x v="3"/>
    <x v="5"/>
    <x v="6"/>
    <x v="2"/>
    <x v="5"/>
    <x v="213"/>
  </r>
  <r>
    <x v="529"/>
    <x v="51"/>
    <x v="37"/>
    <x v="98"/>
    <x v="103"/>
    <x v="102"/>
    <x v="3"/>
    <x v="137"/>
    <x v="541"/>
    <x v="288"/>
    <x v="326"/>
    <x v="195"/>
    <x v="184"/>
    <x v="2"/>
    <x v="5"/>
    <x v="6"/>
    <x v="1"/>
    <x v="2"/>
    <x v="102"/>
  </r>
  <r>
    <x v="530"/>
    <x v="215"/>
    <x v="12"/>
    <x v="72"/>
    <x v="113"/>
    <x v="110"/>
    <x v="3"/>
    <x v="309"/>
    <x v="173"/>
    <x v="1104"/>
    <x v="1258"/>
    <x v="741"/>
    <x v="613"/>
    <x v="2"/>
    <x v="5"/>
    <x v="6"/>
    <x v="2"/>
    <x v="6"/>
    <x v="112"/>
  </r>
  <r>
    <x v="531"/>
    <x v="199"/>
    <x v="1"/>
    <x v="14"/>
    <x v="12"/>
    <x v="8"/>
    <x v="0"/>
    <x v="674"/>
    <x v="846"/>
    <x v="579"/>
    <x v="610"/>
    <x v="398"/>
    <x v="154"/>
    <x v="2"/>
    <x v="5"/>
    <x v="5"/>
    <x v="2"/>
    <x v="1"/>
    <x v="13"/>
  </r>
  <r>
    <x v="532"/>
    <x v="60"/>
    <x v="0"/>
    <x v="40"/>
    <x v="49"/>
    <x v="47"/>
    <x v="1"/>
    <x v="596"/>
    <x v="863"/>
    <x v="308"/>
    <x v="302"/>
    <x v="148"/>
    <x v="407"/>
    <x v="2"/>
    <x v="5"/>
    <x v="5"/>
    <x v="0"/>
    <x v="2"/>
    <x v="48"/>
  </r>
  <r>
    <x v="533"/>
    <x v="109"/>
    <x v="6"/>
    <x v="71"/>
    <x v="147"/>
    <x v="145"/>
    <x v="3"/>
    <x v="595"/>
    <x v="204"/>
    <x v="818"/>
    <x v="792"/>
    <x v="0"/>
    <x v="1206"/>
    <x v="1"/>
    <x v="4"/>
    <x v="3"/>
    <x v="1"/>
    <x v="4"/>
    <x v="213"/>
  </r>
  <r>
    <x v="534"/>
    <x v="248"/>
    <x v="31"/>
    <x v="5"/>
    <x v="112"/>
    <x v="107"/>
    <x v="3"/>
    <x v="349"/>
    <x v="313"/>
    <x v="442"/>
    <x v="416"/>
    <x v="0"/>
    <x v="1054"/>
    <x v="1"/>
    <x v="2"/>
    <x v="3"/>
    <x v="0"/>
    <x v="2"/>
    <x v="213"/>
  </r>
  <r>
    <x v="535"/>
    <x v="232"/>
    <x v="18"/>
    <x v="16"/>
    <x v="47"/>
    <x v="43"/>
    <x v="2"/>
    <x v="26"/>
    <x v="1348"/>
    <x v="537"/>
    <x v="553"/>
    <x v="298"/>
    <x v="567"/>
    <x v="2"/>
    <x v="5"/>
    <x v="0"/>
    <x v="1"/>
    <x v="0"/>
    <x v="41"/>
  </r>
  <r>
    <x v="536"/>
    <x v="138"/>
    <x v="20"/>
    <x v="96"/>
    <x v="91"/>
    <x v="86"/>
    <x v="3"/>
    <x v="330"/>
    <x v="217"/>
    <x v="661"/>
    <x v="779"/>
    <x v="438"/>
    <x v="607"/>
    <x v="2"/>
    <x v="5"/>
    <x v="4"/>
    <x v="1"/>
    <x v="1"/>
    <x v="89"/>
  </r>
  <r>
    <x v="537"/>
    <x v="248"/>
    <x v="41"/>
    <x v="15"/>
    <x v="83"/>
    <x v="80"/>
    <x v="3"/>
    <x v="512"/>
    <x v="270"/>
    <x v="554"/>
    <x v="604"/>
    <x v="0"/>
    <x v="1140"/>
    <x v="3"/>
    <x v="5"/>
    <x v="10"/>
    <x v="0"/>
    <x v="6"/>
    <x v="213"/>
  </r>
  <r>
    <x v="538"/>
    <x v="85"/>
    <x v="5"/>
    <x v="24"/>
    <x v="12"/>
    <x v="12"/>
    <x v="3"/>
    <x v="680"/>
    <x v="1357"/>
    <x v="1484"/>
    <x v="1492"/>
    <x v="865"/>
    <x v="606"/>
    <x v="2"/>
    <x v="5"/>
    <x v="3"/>
    <x v="0"/>
    <x v="4"/>
    <x v="11"/>
  </r>
  <r>
    <x v="539"/>
    <x v="133"/>
    <x v="21"/>
    <x v="88"/>
    <x v="15"/>
    <x v="13"/>
    <x v="2"/>
    <x v="225"/>
    <x v="451"/>
    <x v="51"/>
    <x v="43"/>
    <x v="0"/>
    <x v="399"/>
    <x v="1"/>
    <x v="2"/>
    <x v="4"/>
    <x v="0"/>
    <x v="5"/>
    <x v="213"/>
  </r>
  <r>
    <x v="540"/>
    <x v="224"/>
    <x v="42"/>
    <x v="15"/>
    <x v="117"/>
    <x v="117"/>
    <x v="0"/>
    <x v="478"/>
    <x v="1230"/>
    <x v="1280"/>
    <x v="1377"/>
    <x v="842"/>
    <x v="264"/>
    <x v="2"/>
    <x v="5"/>
    <x v="6"/>
    <x v="1"/>
    <x v="2"/>
    <x v="116"/>
  </r>
  <r>
    <x v="541"/>
    <x v="176"/>
    <x v="35"/>
    <x v="31"/>
    <x v="73"/>
    <x v="71"/>
    <x v="0"/>
    <x v="574"/>
    <x v="216"/>
    <x v="699"/>
    <x v="583"/>
    <x v="0"/>
    <x v="1130"/>
    <x v="1"/>
    <x v="2"/>
    <x v="4"/>
    <x v="0"/>
    <x v="2"/>
    <x v="213"/>
  </r>
  <r>
    <x v="542"/>
    <x v="170"/>
    <x v="13"/>
    <x v="75"/>
    <x v="16"/>
    <x v="15"/>
    <x v="3"/>
    <x v="632"/>
    <x v="821"/>
    <x v="310"/>
    <x v="350"/>
    <x v="178"/>
    <x v="445"/>
    <x v="2"/>
    <x v="5"/>
    <x v="1"/>
    <x v="1"/>
    <x v="2"/>
    <x v="13"/>
  </r>
  <r>
    <x v="543"/>
    <x v="227"/>
    <x v="39"/>
    <x v="65"/>
    <x v="168"/>
    <x v="167"/>
    <x v="0"/>
    <x v="650"/>
    <x v="1024"/>
    <x v="139"/>
    <x v="125"/>
    <x v="0"/>
    <x v="695"/>
    <x v="1"/>
    <x v="0"/>
    <x v="5"/>
    <x v="0"/>
    <x v="0"/>
    <x v="213"/>
  </r>
  <r>
    <x v="544"/>
    <x v="232"/>
    <x v="6"/>
    <x v="95"/>
    <x v="74"/>
    <x v="71"/>
    <x v="1"/>
    <x v="200"/>
    <x v="53"/>
    <x v="430"/>
    <x v="497"/>
    <x v="295"/>
    <x v="294"/>
    <x v="2"/>
    <x v="5"/>
    <x v="2"/>
    <x v="2"/>
    <x v="6"/>
    <x v="70"/>
  </r>
  <r>
    <x v="545"/>
    <x v="177"/>
    <x v="27"/>
    <x v="27"/>
    <x v="68"/>
    <x v="68"/>
    <x v="0"/>
    <x v="328"/>
    <x v="1284"/>
    <x v="771"/>
    <x v="730"/>
    <x v="367"/>
    <x v="741"/>
    <x v="2"/>
    <x v="5"/>
    <x v="1"/>
    <x v="2"/>
    <x v="5"/>
    <x v="63"/>
  </r>
  <r>
    <x v="546"/>
    <x v="97"/>
    <x v="18"/>
    <x v="24"/>
    <x v="85"/>
    <x v="85"/>
    <x v="2"/>
    <x v="147"/>
    <x v="724"/>
    <x v="513"/>
    <x v="434"/>
    <x v="231"/>
    <x v="428"/>
    <x v="2"/>
    <x v="5"/>
    <x v="6"/>
    <x v="1"/>
    <x v="5"/>
    <x v="85"/>
  </r>
  <r>
    <x v="547"/>
    <x v="56"/>
    <x v="3"/>
    <x v="4"/>
    <x v="130"/>
    <x v="126"/>
    <x v="3"/>
    <x v="198"/>
    <x v="178"/>
    <x v="1005"/>
    <x v="1090"/>
    <x v="714"/>
    <x v="87"/>
    <x v="2"/>
    <x v="5"/>
    <x v="3"/>
    <x v="1"/>
    <x v="0"/>
    <x v="126"/>
  </r>
  <r>
    <x v="548"/>
    <x v="110"/>
    <x v="46"/>
    <x v="88"/>
    <x v="71"/>
    <x v="70"/>
    <x v="3"/>
    <x v="407"/>
    <x v="540"/>
    <x v="1039"/>
    <x v="1018"/>
    <x v="0"/>
    <x v="1290"/>
    <x v="1"/>
    <x v="2"/>
    <x v="6"/>
    <x v="0"/>
    <x v="1"/>
    <x v="213"/>
  </r>
  <r>
    <x v="549"/>
    <x v="47"/>
    <x v="11"/>
    <x v="64"/>
    <x v="54"/>
    <x v="52"/>
    <x v="2"/>
    <x v="616"/>
    <x v="804"/>
    <x v="1046"/>
    <x v="981"/>
    <x v="0"/>
    <x v="1279"/>
    <x v="3"/>
    <x v="5"/>
    <x v="3"/>
    <x v="1"/>
    <x v="6"/>
    <x v="213"/>
  </r>
  <r>
    <x v="550"/>
    <x v="70"/>
    <x v="0"/>
    <x v="85"/>
    <x v="45"/>
    <x v="43"/>
    <x v="2"/>
    <x v="354"/>
    <x v="876"/>
    <x v="241"/>
    <x v="228"/>
    <x v="0"/>
    <x v="907"/>
    <x v="3"/>
    <x v="5"/>
    <x v="10"/>
    <x v="0"/>
    <x v="6"/>
    <x v="213"/>
  </r>
  <r>
    <x v="551"/>
    <x v="294"/>
    <x v="0"/>
    <x v="62"/>
    <x v="67"/>
    <x v="67"/>
    <x v="0"/>
    <x v="391"/>
    <x v="289"/>
    <x v="1129"/>
    <x v="930"/>
    <x v="514"/>
    <x v="702"/>
    <x v="2"/>
    <x v="5"/>
    <x v="7"/>
    <x v="0"/>
    <x v="1"/>
    <x v="68"/>
  </r>
  <r>
    <x v="552"/>
    <x v="83"/>
    <x v="48"/>
    <x v="18"/>
    <x v="8"/>
    <x v="4"/>
    <x v="1"/>
    <x v="80"/>
    <x v="799"/>
    <x v="403"/>
    <x v="377"/>
    <x v="0"/>
    <x v="1036"/>
    <x v="3"/>
    <x v="5"/>
    <x v="11"/>
    <x v="1"/>
    <x v="3"/>
    <x v="213"/>
  </r>
  <r>
    <x v="553"/>
    <x v="127"/>
    <x v="23"/>
    <x v="58"/>
    <x v="118"/>
    <x v="115"/>
    <x v="1"/>
    <x v="687"/>
    <x v="913"/>
    <x v="1481"/>
    <x v="1339"/>
    <x v="0"/>
    <x v="1437"/>
    <x v="3"/>
    <x v="5"/>
    <x v="10"/>
    <x v="2"/>
    <x v="4"/>
    <x v="213"/>
  </r>
  <r>
    <x v="554"/>
    <x v="136"/>
    <x v="43"/>
    <x v="66"/>
    <x v="89"/>
    <x v="85"/>
    <x v="1"/>
    <x v="120"/>
    <x v="1055"/>
    <x v="1272"/>
    <x v="1421"/>
    <x v="0"/>
    <x v="1469"/>
    <x v="1"/>
    <x v="2"/>
    <x v="7"/>
    <x v="0"/>
    <x v="4"/>
    <x v="213"/>
  </r>
  <r>
    <x v="555"/>
    <x v="103"/>
    <x v="47"/>
    <x v="11"/>
    <x v="38"/>
    <x v="36"/>
    <x v="0"/>
    <x v="312"/>
    <x v="284"/>
    <x v="346"/>
    <x v="387"/>
    <x v="238"/>
    <x v="20"/>
    <x v="2"/>
    <x v="5"/>
    <x v="5"/>
    <x v="2"/>
    <x v="4"/>
    <x v="37"/>
  </r>
  <r>
    <x v="556"/>
    <x v="174"/>
    <x v="21"/>
    <x v="50"/>
    <x v="177"/>
    <x v="173"/>
    <x v="2"/>
    <x v="231"/>
    <x v="815"/>
    <x v="633"/>
    <x v="774"/>
    <x v="0"/>
    <x v="1198"/>
    <x v="1"/>
    <x v="1"/>
    <x v="2"/>
    <x v="0"/>
    <x v="0"/>
    <x v="213"/>
  </r>
  <r>
    <x v="557"/>
    <x v="286"/>
    <x v="22"/>
    <x v="36"/>
    <x v="152"/>
    <x v="148"/>
    <x v="1"/>
    <x v="7"/>
    <x v="1276"/>
    <x v="1245"/>
    <x v="1081"/>
    <x v="0"/>
    <x v="1314"/>
    <x v="3"/>
    <x v="5"/>
    <x v="10"/>
    <x v="1"/>
    <x v="6"/>
    <x v="213"/>
  </r>
  <r>
    <x v="558"/>
    <x v="245"/>
    <x v="18"/>
    <x v="8"/>
    <x v="124"/>
    <x v="119"/>
    <x v="3"/>
    <x v="11"/>
    <x v="1167"/>
    <x v="1447"/>
    <x v="1438"/>
    <x v="844"/>
    <x v="643"/>
    <x v="2"/>
    <x v="5"/>
    <x v="4"/>
    <x v="0"/>
    <x v="6"/>
    <x v="121"/>
  </r>
  <r>
    <x v="559"/>
    <x v="25"/>
    <x v="16"/>
    <x v="17"/>
    <x v="76"/>
    <x v="72"/>
    <x v="3"/>
    <x v="734"/>
    <x v="743"/>
    <x v="706"/>
    <x v="558"/>
    <x v="305"/>
    <x v="532"/>
    <x v="2"/>
    <x v="5"/>
    <x v="0"/>
    <x v="1"/>
    <x v="4"/>
    <x v="70"/>
  </r>
  <r>
    <x v="560"/>
    <x v="217"/>
    <x v="37"/>
    <x v="10"/>
    <x v="200"/>
    <x v="196"/>
    <x v="3"/>
    <x v="182"/>
    <x v="88"/>
    <x v="116"/>
    <x v="105"/>
    <x v="71"/>
    <x v="0"/>
    <x v="2"/>
    <x v="5"/>
    <x v="3"/>
    <x v="2"/>
    <x v="3"/>
    <x v="196"/>
  </r>
  <r>
    <x v="561"/>
    <x v="131"/>
    <x v="19"/>
    <x v="76"/>
    <x v="68"/>
    <x v="63"/>
    <x v="3"/>
    <x v="144"/>
    <x v="1117"/>
    <x v="594"/>
    <x v="723"/>
    <x v="0"/>
    <x v="1180"/>
    <x v="3"/>
    <x v="5"/>
    <x v="4"/>
    <x v="1"/>
    <x v="3"/>
    <x v="213"/>
  </r>
  <r>
    <x v="562"/>
    <x v="151"/>
    <x v="19"/>
    <x v="10"/>
    <x v="209"/>
    <x v="205"/>
    <x v="3"/>
    <x v="467"/>
    <x v="1184"/>
    <x v="1144"/>
    <x v="1046"/>
    <x v="614"/>
    <x v="707"/>
    <x v="2"/>
    <x v="5"/>
    <x v="3"/>
    <x v="1"/>
    <x v="6"/>
    <x v="204"/>
  </r>
  <r>
    <x v="563"/>
    <x v="235"/>
    <x v="22"/>
    <x v="54"/>
    <x v="99"/>
    <x v="96"/>
    <x v="2"/>
    <x v="348"/>
    <x v="1054"/>
    <x v="765"/>
    <x v="840"/>
    <x v="489"/>
    <x v="561"/>
    <x v="2"/>
    <x v="5"/>
    <x v="5"/>
    <x v="2"/>
    <x v="0"/>
    <x v="97"/>
  </r>
  <r>
    <x v="564"/>
    <x v="122"/>
    <x v="37"/>
    <x v="65"/>
    <x v="143"/>
    <x v="143"/>
    <x v="3"/>
    <x v="101"/>
    <x v="1372"/>
    <x v="592"/>
    <x v="669"/>
    <x v="0"/>
    <x v="1157"/>
    <x v="0"/>
    <x v="5"/>
    <x v="4"/>
    <x v="1"/>
    <x v="3"/>
    <x v="213"/>
  </r>
  <r>
    <x v="565"/>
    <x v="27"/>
    <x v="5"/>
    <x v="7"/>
    <x v="16"/>
    <x v="13"/>
    <x v="3"/>
    <x v="689"/>
    <x v="281"/>
    <x v="993"/>
    <x v="997"/>
    <x v="640"/>
    <x v="359"/>
    <x v="2"/>
    <x v="5"/>
    <x v="7"/>
    <x v="2"/>
    <x v="5"/>
    <x v="18"/>
  </r>
  <r>
    <x v="566"/>
    <x v="102"/>
    <x v="33"/>
    <x v="18"/>
    <x v="26"/>
    <x v="24"/>
    <x v="2"/>
    <x v="109"/>
    <x v="588"/>
    <x v="1023"/>
    <x v="1192"/>
    <x v="634"/>
    <x v="924"/>
    <x v="2"/>
    <x v="5"/>
    <x v="0"/>
    <x v="1"/>
    <x v="4"/>
    <x v="21"/>
  </r>
  <r>
    <x v="567"/>
    <x v="100"/>
    <x v="7"/>
    <x v="8"/>
    <x v="41"/>
    <x v="39"/>
    <x v="1"/>
    <x v="125"/>
    <x v="318"/>
    <x v="1059"/>
    <x v="1264"/>
    <x v="0"/>
    <x v="1403"/>
    <x v="3"/>
    <x v="5"/>
    <x v="10"/>
    <x v="1"/>
    <x v="0"/>
    <x v="213"/>
  </r>
  <r>
    <x v="568"/>
    <x v="150"/>
    <x v="25"/>
    <x v="61"/>
    <x v="64"/>
    <x v="63"/>
    <x v="0"/>
    <x v="684"/>
    <x v="610"/>
    <x v="34"/>
    <x v="34"/>
    <x v="20"/>
    <x v="63"/>
    <x v="2"/>
    <x v="5"/>
    <x v="1"/>
    <x v="1"/>
    <x v="3"/>
    <x v="59"/>
  </r>
  <r>
    <x v="569"/>
    <x v="72"/>
    <x v="40"/>
    <x v="2"/>
    <x v="214"/>
    <x v="210"/>
    <x v="0"/>
    <x v="114"/>
    <x v="623"/>
    <x v="1276"/>
    <x v="1338"/>
    <x v="0"/>
    <x v="1436"/>
    <x v="3"/>
    <x v="5"/>
    <x v="9"/>
    <x v="0"/>
    <x v="5"/>
    <x v="213"/>
  </r>
  <r>
    <x v="570"/>
    <x v="184"/>
    <x v="42"/>
    <x v="35"/>
    <x v="194"/>
    <x v="189"/>
    <x v="2"/>
    <x v="320"/>
    <x v="283"/>
    <x v="678"/>
    <x v="626"/>
    <x v="383"/>
    <x v="340"/>
    <x v="2"/>
    <x v="5"/>
    <x v="7"/>
    <x v="2"/>
    <x v="2"/>
    <x v="194"/>
  </r>
  <r>
    <x v="571"/>
    <x v="17"/>
    <x v="41"/>
    <x v="83"/>
    <x v="211"/>
    <x v="208"/>
    <x v="2"/>
    <x v="32"/>
    <x v="920"/>
    <x v="397"/>
    <x v="348"/>
    <x v="191"/>
    <x v="346"/>
    <x v="2"/>
    <x v="5"/>
    <x v="4"/>
    <x v="0"/>
    <x v="2"/>
    <x v="207"/>
  </r>
  <r>
    <x v="572"/>
    <x v="174"/>
    <x v="45"/>
    <x v="67"/>
    <x v="188"/>
    <x v="185"/>
    <x v="2"/>
    <x v="421"/>
    <x v="166"/>
    <x v="1472"/>
    <x v="1365"/>
    <x v="831"/>
    <x v="311"/>
    <x v="2"/>
    <x v="5"/>
    <x v="3"/>
    <x v="0"/>
    <x v="4"/>
    <x v="184"/>
  </r>
  <r>
    <x v="573"/>
    <x v="140"/>
    <x v="48"/>
    <x v="84"/>
    <x v="40"/>
    <x v="38"/>
    <x v="3"/>
    <x v="326"/>
    <x v="188"/>
    <x v="820"/>
    <x v="817"/>
    <x v="0"/>
    <x v="1214"/>
    <x v="3"/>
    <x v="5"/>
    <x v="5"/>
    <x v="1"/>
    <x v="2"/>
    <x v="213"/>
  </r>
  <r>
    <x v="574"/>
    <x v="265"/>
    <x v="16"/>
    <x v="16"/>
    <x v="99"/>
    <x v="96"/>
    <x v="3"/>
    <x v="487"/>
    <x v="908"/>
    <x v="263"/>
    <x v="286"/>
    <x v="0"/>
    <x v="976"/>
    <x v="3"/>
    <x v="5"/>
    <x v="11"/>
    <x v="1"/>
    <x v="5"/>
    <x v="213"/>
  </r>
  <r>
    <x v="575"/>
    <x v="251"/>
    <x v="43"/>
    <x v="60"/>
    <x v="103"/>
    <x v="103"/>
    <x v="3"/>
    <x v="632"/>
    <x v="603"/>
    <x v="1263"/>
    <x v="1134"/>
    <x v="584"/>
    <x v="911"/>
    <x v="2"/>
    <x v="5"/>
    <x v="1"/>
    <x v="1"/>
    <x v="1"/>
    <x v="97"/>
  </r>
  <r>
    <x v="576"/>
    <x v="31"/>
    <x v="39"/>
    <x v="32"/>
    <x v="60"/>
    <x v="60"/>
    <x v="1"/>
    <x v="27"/>
    <x v="199"/>
    <x v="251"/>
    <x v="294"/>
    <x v="0"/>
    <x v="982"/>
    <x v="1"/>
    <x v="2"/>
    <x v="6"/>
    <x v="2"/>
    <x v="1"/>
    <x v="213"/>
  </r>
  <r>
    <x v="577"/>
    <x v="226"/>
    <x v="24"/>
    <x v="17"/>
    <x v="99"/>
    <x v="95"/>
    <x v="0"/>
    <x v="164"/>
    <x v="662"/>
    <x v="40"/>
    <x v="32"/>
    <x v="0"/>
    <x v="317"/>
    <x v="3"/>
    <x v="5"/>
    <x v="4"/>
    <x v="2"/>
    <x v="2"/>
    <x v="213"/>
  </r>
  <r>
    <x v="578"/>
    <x v="43"/>
    <x v="37"/>
    <x v="3"/>
    <x v="175"/>
    <x v="173"/>
    <x v="1"/>
    <x v="171"/>
    <x v="92"/>
    <x v="1098"/>
    <x v="1099"/>
    <x v="653"/>
    <x v="646"/>
    <x v="2"/>
    <x v="5"/>
    <x v="3"/>
    <x v="0"/>
    <x v="0"/>
    <x v="171"/>
  </r>
  <r>
    <x v="579"/>
    <x v="95"/>
    <x v="13"/>
    <x v="73"/>
    <x v="95"/>
    <x v="92"/>
    <x v="2"/>
    <x v="411"/>
    <x v="912"/>
    <x v="1284"/>
    <x v="1222"/>
    <x v="736"/>
    <x v="530"/>
    <x v="2"/>
    <x v="5"/>
    <x v="7"/>
    <x v="2"/>
    <x v="5"/>
    <x v="95"/>
  </r>
  <r>
    <x v="580"/>
    <x v="39"/>
    <x v="8"/>
    <x v="66"/>
    <x v="144"/>
    <x v="143"/>
    <x v="3"/>
    <x v="81"/>
    <x v="307"/>
    <x v="621"/>
    <x v="665"/>
    <x v="0"/>
    <x v="1156"/>
    <x v="1"/>
    <x v="4"/>
    <x v="1"/>
    <x v="2"/>
    <x v="6"/>
    <x v="213"/>
  </r>
  <r>
    <x v="581"/>
    <x v="195"/>
    <x v="45"/>
    <x v="45"/>
    <x v="17"/>
    <x v="13"/>
    <x v="1"/>
    <x v="729"/>
    <x v="415"/>
    <x v="30"/>
    <x v="38"/>
    <x v="21"/>
    <x v="74"/>
    <x v="2"/>
    <x v="5"/>
    <x v="4"/>
    <x v="2"/>
    <x v="0"/>
    <x v="16"/>
  </r>
  <r>
    <x v="582"/>
    <x v="275"/>
    <x v="44"/>
    <x v="14"/>
    <x v="140"/>
    <x v="136"/>
    <x v="2"/>
    <x v="220"/>
    <x v="84"/>
    <x v="750"/>
    <x v="799"/>
    <x v="429"/>
    <x v="677"/>
    <x v="2"/>
    <x v="5"/>
    <x v="0"/>
    <x v="0"/>
    <x v="3"/>
    <x v="133"/>
  </r>
  <r>
    <x v="583"/>
    <x v="31"/>
    <x v="15"/>
    <x v="63"/>
    <x v="109"/>
    <x v="107"/>
    <x v="1"/>
    <x v="670"/>
    <x v="100"/>
    <x v="1334"/>
    <x v="1130"/>
    <x v="613"/>
    <x v="865"/>
    <x v="2"/>
    <x v="5"/>
    <x v="5"/>
    <x v="2"/>
    <x v="0"/>
    <x v="107"/>
  </r>
  <r>
    <x v="584"/>
    <x v="64"/>
    <x v="17"/>
    <x v="92"/>
    <x v="110"/>
    <x v="106"/>
    <x v="1"/>
    <x v="84"/>
    <x v="101"/>
    <x v="1397"/>
    <x v="1467"/>
    <x v="0"/>
    <x v="1487"/>
    <x v="3"/>
    <x v="5"/>
    <x v="10"/>
    <x v="2"/>
    <x v="5"/>
    <x v="213"/>
  </r>
  <r>
    <x v="585"/>
    <x v="10"/>
    <x v="3"/>
    <x v="3"/>
    <x v="62"/>
    <x v="57"/>
    <x v="0"/>
    <x v="438"/>
    <x v="985"/>
    <x v="685"/>
    <x v="777"/>
    <x v="511"/>
    <x v="185"/>
    <x v="2"/>
    <x v="5"/>
    <x v="3"/>
    <x v="1"/>
    <x v="4"/>
    <x v="59"/>
  </r>
  <r>
    <x v="586"/>
    <x v="214"/>
    <x v="35"/>
    <x v="17"/>
    <x v="188"/>
    <x v="188"/>
    <x v="1"/>
    <x v="362"/>
    <x v="308"/>
    <x v="65"/>
    <x v="72"/>
    <x v="43"/>
    <x v="61"/>
    <x v="2"/>
    <x v="5"/>
    <x v="6"/>
    <x v="1"/>
    <x v="3"/>
    <x v="187"/>
  </r>
  <r>
    <x v="587"/>
    <x v="114"/>
    <x v="26"/>
    <x v="95"/>
    <x v="91"/>
    <x v="90"/>
    <x v="1"/>
    <x v="667"/>
    <x v="44"/>
    <x v="1378"/>
    <x v="1244"/>
    <x v="652"/>
    <x v="957"/>
    <x v="2"/>
    <x v="5"/>
    <x v="0"/>
    <x v="1"/>
    <x v="6"/>
    <x v="85"/>
  </r>
  <r>
    <x v="588"/>
    <x v="123"/>
    <x v="18"/>
    <x v="16"/>
    <x v="208"/>
    <x v="208"/>
    <x v="2"/>
    <x v="395"/>
    <x v="325"/>
    <x v="180"/>
    <x v="151"/>
    <x v="76"/>
    <x v="276"/>
    <x v="2"/>
    <x v="5"/>
    <x v="5"/>
    <x v="1"/>
    <x v="0"/>
    <x v="205"/>
  </r>
  <r>
    <x v="589"/>
    <x v="223"/>
    <x v="45"/>
    <x v="38"/>
    <x v="21"/>
    <x v="19"/>
    <x v="3"/>
    <x v="650"/>
    <x v="774"/>
    <x v="300"/>
    <x v="324"/>
    <x v="0"/>
    <x v="1007"/>
    <x v="1"/>
    <x v="3"/>
    <x v="5"/>
    <x v="1"/>
    <x v="6"/>
    <x v="213"/>
  </r>
  <r>
    <x v="590"/>
    <x v="244"/>
    <x v="17"/>
    <x v="10"/>
    <x v="136"/>
    <x v="134"/>
    <x v="0"/>
    <x v="110"/>
    <x v="1322"/>
    <x v="795"/>
    <x v="664"/>
    <x v="355"/>
    <x v="596"/>
    <x v="2"/>
    <x v="5"/>
    <x v="6"/>
    <x v="0"/>
    <x v="3"/>
    <x v="135"/>
  </r>
  <r>
    <x v="591"/>
    <x v="221"/>
    <x v="41"/>
    <x v="97"/>
    <x v="193"/>
    <x v="189"/>
    <x v="2"/>
    <x v="90"/>
    <x v="65"/>
    <x v="516"/>
    <x v="598"/>
    <x v="300"/>
    <x v="664"/>
    <x v="2"/>
    <x v="5"/>
    <x v="3"/>
    <x v="2"/>
    <x v="1"/>
    <x v="189"/>
  </r>
  <r>
    <x v="592"/>
    <x v="192"/>
    <x v="31"/>
    <x v="2"/>
    <x v="10"/>
    <x v="8"/>
    <x v="2"/>
    <x v="318"/>
    <x v="1136"/>
    <x v="539"/>
    <x v="621"/>
    <x v="307"/>
    <x v="700"/>
    <x v="2"/>
    <x v="5"/>
    <x v="4"/>
    <x v="0"/>
    <x v="6"/>
    <x v="10"/>
  </r>
  <r>
    <x v="593"/>
    <x v="13"/>
    <x v="38"/>
    <x v="96"/>
    <x v="55"/>
    <x v="52"/>
    <x v="3"/>
    <x v="688"/>
    <x v="689"/>
    <x v="604"/>
    <x v="504"/>
    <x v="264"/>
    <x v="520"/>
    <x v="2"/>
    <x v="5"/>
    <x v="5"/>
    <x v="1"/>
    <x v="6"/>
    <x v="54"/>
  </r>
  <r>
    <x v="594"/>
    <x v="53"/>
    <x v="35"/>
    <x v="49"/>
    <x v="193"/>
    <x v="193"/>
    <x v="3"/>
    <x v="716"/>
    <x v="1351"/>
    <x v="1232"/>
    <x v="1217"/>
    <x v="700"/>
    <x v="761"/>
    <x v="2"/>
    <x v="5"/>
    <x v="0"/>
    <x v="2"/>
    <x v="2"/>
    <x v="186"/>
  </r>
  <r>
    <x v="595"/>
    <x v="65"/>
    <x v="0"/>
    <x v="35"/>
    <x v="151"/>
    <x v="146"/>
    <x v="3"/>
    <x v="67"/>
    <x v="651"/>
    <x v="753"/>
    <x v="650"/>
    <x v="352"/>
    <x v="562"/>
    <x v="2"/>
    <x v="5"/>
    <x v="3"/>
    <x v="1"/>
    <x v="3"/>
    <x v="147"/>
  </r>
  <r>
    <x v="596"/>
    <x v="61"/>
    <x v="19"/>
    <x v="72"/>
    <x v="90"/>
    <x v="86"/>
    <x v="3"/>
    <x v="696"/>
    <x v="695"/>
    <x v="907"/>
    <x v="869"/>
    <x v="531"/>
    <x v="440"/>
    <x v="2"/>
    <x v="5"/>
    <x v="0"/>
    <x v="0"/>
    <x v="2"/>
    <x v="84"/>
  </r>
  <r>
    <x v="597"/>
    <x v="205"/>
    <x v="3"/>
    <x v="74"/>
    <x v="118"/>
    <x v="118"/>
    <x v="1"/>
    <x v="232"/>
    <x v="828"/>
    <x v="655"/>
    <x v="809"/>
    <x v="466"/>
    <x v="569"/>
    <x v="2"/>
    <x v="5"/>
    <x v="3"/>
    <x v="0"/>
    <x v="2"/>
    <x v="114"/>
  </r>
  <r>
    <x v="598"/>
    <x v="87"/>
    <x v="9"/>
    <x v="79"/>
    <x v="48"/>
    <x v="46"/>
    <x v="1"/>
    <x v="192"/>
    <x v="298"/>
    <x v="391"/>
    <x v="452"/>
    <x v="0"/>
    <x v="1070"/>
    <x v="1"/>
    <x v="3"/>
    <x v="2"/>
    <x v="1"/>
    <x v="0"/>
    <x v="213"/>
  </r>
  <r>
    <x v="599"/>
    <x v="31"/>
    <x v="45"/>
    <x v="33"/>
    <x v="52"/>
    <x v="47"/>
    <x v="3"/>
    <x v="12"/>
    <x v="914"/>
    <x v="624"/>
    <x v="588"/>
    <x v="334"/>
    <x v="415"/>
    <x v="2"/>
    <x v="5"/>
    <x v="3"/>
    <x v="1"/>
    <x v="4"/>
    <x v="49"/>
  </r>
  <r>
    <x v="600"/>
    <x v="119"/>
    <x v="13"/>
    <x v="41"/>
    <x v="15"/>
    <x v="11"/>
    <x v="3"/>
    <x v="689"/>
    <x v="1070"/>
    <x v="147"/>
    <x v="148"/>
    <x v="77"/>
    <x v="258"/>
    <x v="2"/>
    <x v="5"/>
    <x v="1"/>
    <x v="0"/>
    <x v="4"/>
    <x v="12"/>
  </r>
  <r>
    <x v="601"/>
    <x v="187"/>
    <x v="30"/>
    <x v="37"/>
    <x v="111"/>
    <x v="109"/>
    <x v="1"/>
    <x v="132"/>
    <x v="961"/>
    <x v="454"/>
    <x v="517"/>
    <x v="273"/>
    <x v="507"/>
    <x v="2"/>
    <x v="5"/>
    <x v="6"/>
    <x v="0"/>
    <x v="3"/>
    <x v="110"/>
  </r>
  <r>
    <x v="602"/>
    <x v="108"/>
    <x v="24"/>
    <x v="74"/>
    <x v="42"/>
    <x v="38"/>
    <x v="1"/>
    <x v="545"/>
    <x v="391"/>
    <x v="897"/>
    <x v="1029"/>
    <x v="620"/>
    <x v="633"/>
    <x v="2"/>
    <x v="5"/>
    <x v="5"/>
    <x v="2"/>
    <x v="1"/>
    <x v="41"/>
  </r>
  <r>
    <x v="603"/>
    <x v="271"/>
    <x v="46"/>
    <x v="15"/>
    <x v="166"/>
    <x v="166"/>
    <x v="1"/>
    <x v="503"/>
    <x v="1213"/>
    <x v="1437"/>
    <x v="1494"/>
    <x v="0"/>
    <x v="1496"/>
    <x v="0"/>
    <x v="5"/>
    <x v="6"/>
    <x v="1"/>
    <x v="5"/>
    <x v="213"/>
  </r>
  <r>
    <x v="604"/>
    <x v="122"/>
    <x v="49"/>
    <x v="46"/>
    <x v="136"/>
    <x v="133"/>
    <x v="0"/>
    <x v="378"/>
    <x v="832"/>
    <x v="283"/>
    <x v="293"/>
    <x v="184"/>
    <x v="53"/>
    <x v="2"/>
    <x v="5"/>
    <x v="5"/>
    <x v="1"/>
    <x v="0"/>
    <x v="134"/>
  </r>
  <r>
    <x v="605"/>
    <x v="181"/>
    <x v="41"/>
    <x v="61"/>
    <x v="178"/>
    <x v="177"/>
    <x v="0"/>
    <x v="372"/>
    <x v="1080"/>
    <x v="1435"/>
    <x v="1362"/>
    <x v="711"/>
    <x v="991"/>
    <x v="2"/>
    <x v="5"/>
    <x v="1"/>
    <x v="0"/>
    <x v="5"/>
    <x v="172"/>
  </r>
  <r>
    <x v="606"/>
    <x v="144"/>
    <x v="21"/>
    <x v="40"/>
    <x v="36"/>
    <x v="32"/>
    <x v="1"/>
    <x v="64"/>
    <x v="1049"/>
    <x v="1364"/>
    <x v="1408"/>
    <x v="828"/>
    <x v="624"/>
    <x v="2"/>
    <x v="5"/>
    <x v="4"/>
    <x v="2"/>
    <x v="5"/>
    <x v="34"/>
  </r>
  <r>
    <x v="607"/>
    <x v="7"/>
    <x v="10"/>
    <x v="15"/>
    <x v="41"/>
    <x v="37"/>
    <x v="2"/>
    <x v="220"/>
    <x v="1206"/>
    <x v="1324"/>
    <x v="1187"/>
    <x v="638"/>
    <x v="902"/>
    <x v="2"/>
    <x v="5"/>
    <x v="7"/>
    <x v="1"/>
    <x v="0"/>
    <x v="42"/>
  </r>
  <r>
    <x v="608"/>
    <x v="259"/>
    <x v="33"/>
    <x v="49"/>
    <x v="32"/>
    <x v="32"/>
    <x v="2"/>
    <x v="292"/>
    <x v="334"/>
    <x v="32"/>
    <x v="25"/>
    <x v="0"/>
    <x v="284"/>
    <x v="1"/>
    <x v="3"/>
    <x v="1"/>
    <x v="2"/>
    <x v="4"/>
    <x v="213"/>
  </r>
  <r>
    <x v="609"/>
    <x v="53"/>
    <x v="46"/>
    <x v="5"/>
    <x v="143"/>
    <x v="142"/>
    <x v="1"/>
    <x v="616"/>
    <x v="922"/>
    <x v="167"/>
    <x v="195"/>
    <x v="0"/>
    <x v="862"/>
    <x v="3"/>
    <x v="5"/>
    <x v="8"/>
    <x v="2"/>
    <x v="2"/>
    <x v="213"/>
  </r>
  <r>
    <x v="610"/>
    <x v="66"/>
    <x v="46"/>
    <x v="23"/>
    <x v="164"/>
    <x v="161"/>
    <x v="1"/>
    <x v="124"/>
    <x v="27"/>
    <x v="612"/>
    <x v="693"/>
    <x v="0"/>
    <x v="1164"/>
    <x v="3"/>
    <x v="5"/>
    <x v="14"/>
    <x v="1"/>
    <x v="5"/>
    <x v="213"/>
  </r>
  <r>
    <x v="611"/>
    <x v="141"/>
    <x v="49"/>
    <x v="12"/>
    <x v="99"/>
    <x v="94"/>
    <x v="0"/>
    <x v="247"/>
    <x v="1265"/>
    <x v="531"/>
    <x v="531"/>
    <x v="0"/>
    <x v="1106"/>
    <x v="3"/>
    <x v="5"/>
    <x v="11"/>
    <x v="2"/>
    <x v="0"/>
    <x v="213"/>
  </r>
  <r>
    <x v="612"/>
    <x v="162"/>
    <x v="24"/>
    <x v="40"/>
    <x v="148"/>
    <x v="144"/>
    <x v="0"/>
    <x v="115"/>
    <x v="124"/>
    <x v="845"/>
    <x v="992"/>
    <x v="0"/>
    <x v="1282"/>
    <x v="1"/>
    <x v="1"/>
    <x v="6"/>
    <x v="1"/>
    <x v="4"/>
    <x v="213"/>
  </r>
  <r>
    <x v="613"/>
    <x v="82"/>
    <x v="7"/>
    <x v="36"/>
    <x v="56"/>
    <x v="53"/>
    <x v="3"/>
    <x v="400"/>
    <x v="1124"/>
    <x v="839"/>
    <x v="900"/>
    <x v="451"/>
    <x v="831"/>
    <x v="2"/>
    <x v="5"/>
    <x v="4"/>
    <x v="0"/>
    <x v="6"/>
    <x v="54"/>
  </r>
  <r>
    <x v="614"/>
    <x v="70"/>
    <x v="6"/>
    <x v="26"/>
    <x v="75"/>
    <x v="73"/>
    <x v="0"/>
    <x v="19"/>
    <x v="117"/>
    <x v="1123"/>
    <x v="1319"/>
    <x v="0"/>
    <x v="1428"/>
    <x v="0"/>
    <x v="5"/>
    <x v="4"/>
    <x v="1"/>
    <x v="5"/>
    <x v="213"/>
  </r>
  <r>
    <x v="615"/>
    <x v="223"/>
    <x v="33"/>
    <x v="16"/>
    <x v="205"/>
    <x v="204"/>
    <x v="2"/>
    <x v="245"/>
    <x v="290"/>
    <x v="1240"/>
    <x v="1033"/>
    <x v="543"/>
    <x v="833"/>
    <x v="2"/>
    <x v="5"/>
    <x v="6"/>
    <x v="1"/>
    <x v="4"/>
    <x v="203"/>
  </r>
  <r>
    <x v="616"/>
    <x v="57"/>
    <x v="22"/>
    <x v="10"/>
    <x v="33"/>
    <x v="30"/>
    <x v="0"/>
    <x v="604"/>
    <x v="203"/>
    <x v="714"/>
    <x v="593"/>
    <x v="0"/>
    <x v="1133"/>
    <x v="1"/>
    <x v="1"/>
    <x v="2"/>
    <x v="2"/>
    <x v="6"/>
    <x v="213"/>
  </r>
  <r>
    <x v="617"/>
    <x v="19"/>
    <x v="27"/>
    <x v="12"/>
    <x v="131"/>
    <x v="129"/>
    <x v="3"/>
    <x v="160"/>
    <x v="101"/>
    <x v="929"/>
    <x v="956"/>
    <x v="625"/>
    <x v="322"/>
    <x v="2"/>
    <x v="5"/>
    <x v="5"/>
    <x v="1"/>
    <x v="4"/>
    <x v="129"/>
  </r>
  <r>
    <x v="618"/>
    <x v="236"/>
    <x v="9"/>
    <x v="62"/>
    <x v="3"/>
    <x v="2"/>
    <x v="0"/>
    <x v="611"/>
    <x v="1272"/>
    <x v="527"/>
    <x v="632"/>
    <x v="385"/>
    <x v="333"/>
    <x v="2"/>
    <x v="5"/>
    <x v="4"/>
    <x v="2"/>
    <x v="6"/>
    <x v="3"/>
  </r>
  <r>
    <x v="619"/>
    <x v="218"/>
    <x v="4"/>
    <x v="62"/>
    <x v="55"/>
    <x v="50"/>
    <x v="0"/>
    <x v="589"/>
    <x v="474"/>
    <x v="1424"/>
    <x v="1476"/>
    <x v="0"/>
    <x v="1491"/>
    <x v="1"/>
    <x v="2"/>
    <x v="3"/>
    <x v="0"/>
    <x v="2"/>
    <x v="213"/>
  </r>
  <r>
    <x v="620"/>
    <x v="243"/>
    <x v="33"/>
    <x v="84"/>
    <x v="178"/>
    <x v="176"/>
    <x v="0"/>
    <x v="733"/>
    <x v="787"/>
    <x v="930"/>
    <x v="842"/>
    <x v="0"/>
    <x v="1224"/>
    <x v="3"/>
    <x v="5"/>
    <x v="8"/>
    <x v="0"/>
    <x v="3"/>
    <x v="213"/>
  </r>
  <r>
    <x v="621"/>
    <x v="48"/>
    <x v="14"/>
    <x v="14"/>
    <x v="174"/>
    <x v="171"/>
    <x v="3"/>
    <x v="347"/>
    <x v="1146"/>
    <x v="928"/>
    <x v="988"/>
    <x v="594"/>
    <x v="586"/>
    <x v="2"/>
    <x v="5"/>
    <x v="4"/>
    <x v="2"/>
    <x v="6"/>
    <x v="171"/>
  </r>
  <r>
    <x v="622"/>
    <x v="63"/>
    <x v="49"/>
    <x v="61"/>
    <x v="172"/>
    <x v="169"/>
    <x v="2"/>
    <x v="498"/>
    <x v="1060"/>
    <x v="651"/>
    <x v="620"/>
    <x v="310"/>
    <x v="687"/>
    <x v="2"/>
    <x v="5"/>
    <x v="6"/>
    <x v="1"/>
    <x v="6"/>
    <x v="171"/>
  </r>
  <r>
    <x v="623"/>
    <x v="131"/>
    <x v="43"/>
    <x v="40"/>
    <x v="9"/>
    <x v="7"/>
    <x v="2"/>
    <x v="324"/>
    <x v="1129"/>
    <x v="307"/>
    <x v="353"/>
    <x v="194"/>
    <x v="343"/>
    <x v="2"/>
    <x v="5"/>
    <x v="5"/>
    <x v="2"/>
    <x v="2"/>
    <x v="10"/>
  </r>
  <r>
    <x v="624"/>
    <x v="225"/>
    <x v="26"/>
    <x v="28"/>
    <x v="66"/>
    <x v="66"/>
    <x v="0"/>
    <x v="439"/>
    <x v="542"/>
    <x v="1074"/>
    <x v="1035"/>
    <x v="668"/>
    <x v="292"/>
    <x v="2"/>
    <x v="5"/>
    <x v="4"/>
    <x v="1"/>
    <x v="0"/>
    <x v="64"/>
  </r>
  <r>
    <x v="625"/>
    <x v="45"/>
    <x v="49"/>
    <x v="90"/>
    <x v="161"/>
    <x v="157"/>
    <x v="3"/>
    <x v="291"/>
    <x v="168"/>
    <x v="891"/>
    <x v="716"/>
    <x v="446"/>
    <x v="318"/>
    <x v="2"/>
    <x v="5"/>
    <x v="6"/>
    <x v="1"/>
    <x v="0"/>
    <x v="160"/>
  </r>
  <r>
    <x v="626"/>
    <x v="146"/>
    <x v="10"/>
    <x v="47"/>
    <x v="133"/>
    <x v="132"/>
    <x v="3"/>
    <x v="342"/>
    <x v="566"/>
    <x v="290"/>
    <x v="252"/>
    <x v="141"/>
    <x v="223"/>
    <x v="2"/>
    <x v="5"/>
    <x v="3"/>
    <x v="1"/>
    <x v="4"/>
    <x v="129"/>
  </r>
  <r>
    <x v="627"/>
    <x v="244"/>
    <x v="2"/>
    <x v="20"/>
    <x v="63"/>
    <x v="63"/>
    <x v="3"/>
    <x v="251"/>
    <x v="71"/>
    <x v="26"/>
    <x v="35"/>
    <x v="17"/>
    <x v="94"/>
    <x v="2"/>
    <x v="5"/>
    <x v="6"/>
    <x v="0"/>
    <x v="4"/>
    <x v="63"/>
  </r>
  <r>
    <x v="628"/>
    <x v="65"/>
    <x v="47"/>
    <x v="34"/>
    <x v="202"/>
    <x v="197"/>
    <x v="1"/>
    <x v="59"/>
    <x v="202"/>
    <x v="389"/>
    <x v="336"/>
    <x v="206"/>
    <x v="150"/>
    <x v="2"/>
    <x v="5"/>
    <x v="6"/>
    <x v="1"/>
    <x v="4"/>
    <x v="200"/>
  </r>
  <r>
    <x v="629"/>
    <x v="47"/>
    <x v="47"/>
    <x v="75"/>
    <x v="185"/>
    <x v="180"/>
    <x v="2"/>
    <x v="163"/>
    <x v="822"/>
    <x v="15"/>
    <x v="19"/>
    <x v="16"/>
    <x v="31"/>
    <x v="2"/>
    <x v="5"/>
    <x v="2"/>
    <x v="2"/>
    <x v="2"/>
    <x v="180"/>
  </r>
  <r>
    <x v="630"/>
    <x v="188"/>
    <x v="18"/>
    <x v="54"/>
    <x v="136"/>
    <x v="131"/>
    <x v="1"/>
    <x v="185"/>
    <x v="1043"/>
    <x v="390"/>
    <x v="349"/>
    <x v="183"/>
    <x v="412"/>
    <x v="2"/>
    <x v="5"/>
    <x v="7"/>
    <x v="1"/>
    <x v="3"/>
    <x v="136"/>
  </r>
  <r>
    <x v="631"/>
    <x v="197"/>
    <x v="23"/>
    <x v="97"/>
    <x v="125"/>
    <x v="123"/>
    <x v="1"/>
    <x v="375"/>
    <x v="589"/>
    <x v="779"/>
    <x v="698"/>
    <x v="0"/>
    <x v="1166"/>
    <x v="1"/>
    <x v="0"/>
    <x v="0"/>
    <x v="1"/>
    <x v="0"/>
    <x v="213"/>
  </r>
  <r>
    <x v="632"/>
    <x v="41"/>
    <x v="6"/>
    <x v="71"/>
    <x v="102"/>
    <x v="101"/>
    <x v="0"/>
    <x v="173"/>
    <x v="1257"/>
    <x v="681"/>
    <x v="578"/>
    <x v="309"/>
    <x v="564"/>
    <x v="2"/>
    <x v="5"/>
    <x v="2"/>
    <x v="1"/>
    <x v="6"/>
    <x v="97"/>
  </r>
  <r>
    <x v="633"/>
    <x v="30"/>
    <x v="49"/>
    <x v="63"/>
    <x v="22"/>
    <x v="21"/>
    <x v="3"/>
    <x v="340"/>
    <x v="819"/>
    <x v="1248"/>
    <x v="1273"/>
    <x v="788"/>
    <x v="315"/>
    <x v="2"/>
    <x v="5"/>
    <x v="3"/>
    <x v="1"/>
    <x v="3"/>
    <x v="20"/>
  </r>
  <r>
    <x v="634"/>
    <x v="283"/>
    <x v="31"/>
    <x v="69"/>
    <x v="38"/>
    <x v="38"/>
    <x v="2"/>
    <x v="261"/>
    <x v="613"/>
    <x v="824"/>
    <x v="805"/>
    <x v="387"/>
    <x v="834"/>
    <x v="2"/>
    <x v="5"/>
    <x v="3"/>
    <x v="2"/>
    <x v="2"/>
    <x v="35"/>
  </r>
  <r>
    <x v="635"/>
    <x v="213"/>
    <x v="44"/>
    <x v="9"/>
    <x v="184"/>
    <x v="181"/>
    <x v="2"/>
    <x v="101"/>
    <x v="42"/>
    <x v="1274"/>
    <x v="1444"/>
    <x v="764"/>
    <x v="1010"/>
    <x v="2"/>
    <x v="5"/>
    <x v="1"/>
    <x v="0"/>
    <x v="5"/>
    <x v="178"/>
  </r>
  <r>
    <x v="636"/>
    <x v="249"/>
    <x v="10"/>
    <x v="80"/>
    <x v="191"/>
    <x v="191"/>
    <x v="2"/>
    <x v="113"/>
    <x v="1386"/>
    <x v="618"/>
    <x v="758"/>
    <x v="369"/>
    <x v="799"/>
    <x v="2"/>
    <x v="5"/>
    <x v="6"/>
    <x v="2"/>
    <x v="2"/>
    <x v="190"/>
  </r>
  <r>
    <x v="637"/>
    <x v="263"/>
    <x v="20"/>
    <x v="78"/>
    <x v="4"/>
    <x v="2"/>
    <x v="3"/>
    <x v="465"/>
    <x v="442"/>
    <x v="1491"/>
    <x v="1475"/>
    <x v="864"/>
    <x v="302"/>
    <x v="2"/>
    <x v="5"/>
    <x v="4"/>
    <x v="0"/>
    <x v="3"/>
    <x v="4"/>
  </r>
  <r>
    <x v="638"/>
    <x v="237"/>
    <x v="29"/>
    <x v="26"/>
    <x v="138"/>
    <x v="133"/>
    <x v="3"/>
    <x v="621"/>
    <x v="348"/>
    <x v="904"/>
    <x v="1006"/>
    <x v="603"/>
    <x v="620"/>
    <x v="2"/>
    <x v="5"/>
    <x v="4"/>
    <x v="0"/>
    <x v="5"/>
    <x v="135"/>
  </r>
  <r>
    <x v="639"/>
    <x v="156"/>
    <x v="44"/>
    <x v="24"/>
    <x v="186"/>
    <x v="183"/>
    <x v="0"/>
    <x v="573"/>
    <x v="250"/>
    <x v="590"/>
    <x v="513"/>
    <x v="245"/>
    <x v="645"/>
    <x v="2"/>
    <x v="5"/>
    <x v="0"/>
    <x v="1"/>
    <x v="2"/>
    <x v="179"/>
  </r>
  <r>
    <x v="640"/>
    <x v="172"/>
    <x v="40"/>
    <x v="1"/>
    <x v="84"/>
    <x v="84"/>
    <x v="0"/>
    <x v="230"/>
    <x v="749"/>
    <x v="660"/>
    <x v="582"/>
    <x v="313"/>
    <x v="544"/>
    <x v="2"/>
    <x v="5"/>
    <x v="3"/>
    <x v="2"/>
    <x v="5"/>
    <x v="81"/>
  </r>
  <r>
    <x v="641"/>
    <x v="38"/>
    <x v="37"/>
    <x v="19"/>
    <x v="188"/>
    <x v="186"/>
    <x v="1"/>
    <x v="608"/>
    <x v="568"/>
    <x v="1142"/>
    <x v="1334"/>
    <x v="775"/>
    <x v="693"/>
    <x v="2"/>
    <x v="5"/>
    <x v="3"/>
    <x v="2"/>
    <x v="6"/>
    <x v="184"/>
  </r>
  <r>
    <x v="642"/>
    <x v="290"/>
    <x v="49"/>
    <x v="75"/>
    <x v="71"/>
    <x v="67"/>
    <x v="3"/>
    <x v="672"/>
    <x v="1216"/>
    <x v="1185"/>
    <x v="1236"/>
    <x v="760"/>
    <x v="429"/>
    <x v="2"/>
    <x v="5"/>
    <x v="5"/>
    <x v="0"/>
    <x v="6"/>
    <x v="70"/>
  </r>
  <r>
    <x v="643"/>
    <x v="71"/>
    <x v="10"/>
    <x v="60"/>
    <x v="1"/>
    <x v="0"/>
    <x v="1"/>
    <x v="269"/>
    <x v="214"/>
    <x v="124"/>
    <x v="139"/>
    <x v="0"/>
    <x v="745"/>
    <x v="0"/>
    <x v="5"/>
    <x v="2"/>
    <x v="0"/>
    <x v="6"/>
    <x v="213"/>
  </r>
  <r>
    <x v="644"/>
    <x v="282"/>
    <x v="25"/>
    <x v="48"/>
    <x v="133"/>
    <x v="130"/>
    <x v="2"/>
    <x v="585"/>
    <x v="1219"/>
    <x v="666"/>
    <x v="624"/>
    <x v="392"/>
    <x v="262"/>
    <x v="2"/>
    <x v="5"/>
    <x v="3"/>
    <x v="2"/>
    <x v="3"/>
    <x v="129"/>
  </r>
  <r>
    <x v="645"/>
    <x v="71"/>
    <x v="27"/>
    <x v="71"/>
    <x v="135"/>
    <x v="133"/>
    <x v="2"/>
    <x v="402"/>
    <x v="655"/>
    <x v="1328"/>
    <x v="1428"/>
    <x v="855"/>
    <x v="130"/>
    <x v="2"/>
    <x v="5"/>
    <x v="4"/>
    <x v="1"/>
    <x v="0"/>
    <x v="132"/>
  </r>
  <r>
    <x v="646"/>
    <x v="173"/>
    <x v="46"/>
    <x v="54"/>
    <x v="145"/>
    <x v="142"/>
    <x v="0"/>
    <x v="511"/>
    <x v="507"/>
    <x v="256"/>
    <x v="300"/>
    <x v="0"/>
    <x v="988"/>
    <x v="3"/>
    <x v="5"/>
    <x v="10"/>
    <x v="2"/>
    <x v="3"/>
    <x v="213"/>
  </r>
  <r>
    <x v="647"/>
    <x v="2"/>
    <x v="37"/>
    <x v="39"/>
    <x v="50"/>
    <x v="45"/>
    <x v="3"/>
    <x v="76"/>
    <x v="964"/>
    <x v="284"/>
    <x v="276"/>
    <x v="0"/>
    <x v="966"/>
    <x v="0"/>
    <x v="5"/>
    <x v="3"/>
    <x v="2"/>
    <x v="5"/>
    <x v="213"/>
  </r>
  <r>
    <x v="648"/>
    <x v="138"/>
    <x v="40"/>
    <x v="7"/>
    <x v="7"/>
    <x v="3"/>
    <x v="1"/>
    <x v="720"/>
    <x v="1207"/>
    <x v="958"/>
    <x v="1032"/>
    <x v="595"/>
    <x v="710"/>
    <x v="2"/>
    <x v="5"/>
    <x v="4"/>
    <x v="1"/>
    <x v="4"/>
    <x v="7"/>
  </r>
  <r>
    <x v="649"/>
    <x v="19"/>
    <x v="23"/>
    <x v="3"/>
    <x v="119"/>
    <x v="116"/>
    <x v="0"/>
    <x v="584"/>
    <x v="470"/>
    <x v="1112"/>
    <x v="1200"/>
    <x v="704"/>
    <x v="662"/>
    <x v="2"/>
    <x v="5"/>
    <x v="1"/>
    <x v="0"/>
    <x v="0"/>
    <x v="113"/>
  </r>
  <r>
    <x v="650"/>
    <x v="97"/>
    <x v="41"/>
    <x v="78"/>
    <x v="107"/>
    <x v="107"/>
    <x v="1"/>
    <x v="276"/>
    <x v="836"/>
    <x v="942"/>
    <x v="781"/>
    <x v="390"/>
    <x v="784"/>
    <x v="2"/>
    <x v="5"/>
    <x v="4"/>
    <x v="1"/>
    <x v="6"/>
    <x v="104"/>
  </r>
  <r>
    <x v="651"/>
    <x v="31"/>
    <x v="4"/>
    <x v="24"/>
    <x v="155"/>
    <x v="150"/>
    <x v="0"/>
    <x v="606"/>
    <x v="701"/>
    <x v="748"/>
    <x v="907"/>
    <x v="0"/>
    <x v="1246"/>
    <x v="1"/>
    <x v="0"/>
    <x v="6"/>
    <x v="0"/>
    <x v="6"/>
    <x v="213"/>
  </r>
  <r>
    <x v="652"/>
    <x v="156"/>
    <x v="17"/>
    <x v="71"/>
    <x v="113"/>
    <x v="113"/>
    <x v="3"/>
    <x v="93"/>
    <x v="895"/>
    <x v="291"/>
    <x v="290"/>
    <x v="146"/>
    <x v="390"/>
    <x v="2"/>
    <x v="5"/>
    <x v="0"/>
    <x v="2"/>
    <x v="5"/>
    <x v="106"/>
  </r>
  <r>
    <x v="653"/>
    <x v="93"/>
    <x v="20"/>
    <x v="75"/>
    <x v="178"/>
    <x v="178"/>
    <x v="1"/>
    <x v="638"/>
    <x v="448"/>
    <x v="649"/>
    <x v="554"/>
    <x v="279"/>
    <x v="667"/>
    <x v="2"/>
    <x v="5"/>
    <x v="1"/>
    <x v="0"/>
    <x v="6"/>
    <x v="172"/>
  </r>
  <r>
    <x v="654"/>
    <x v="65"/>
    <x v="19"/>
    <x v="6"/>
    <x v="165"/>
    <x v="163"/>
    <x v="2"/>
    <x v="584"/>
    <x v="754"/>
    <x v="1311"/>
    <x v="1447"/>
    <x v="812"/>
    <x v="933"/>
    <x v="2"/>
    <x v="5"/>
    <x v="3"/>
    <x v="0"/>
    <x v="3"/>
    <x v="161"/>
  </r>
  <r>
    <x v="655"/>
    <x v="148"/>
    <x v="16"/>
    <x v="89"/>
    <x v="39"/>
    <x v="35"/>
    <x v="2"/>
    <x v="221"/>
    <x v="245"/>
    <x v="329"/>
    <x v="288"/>
    <x v="179"/>
    <x v="70"/>
    <x v="2"/>
    <x v="5"/>
    <x v="2"/>
    <x v="2"/>
    <x v="3"/>
    <x v="35"/>
  </r>
  <r>
    <x v="656"/>
    <x v="18"/>
    <x v="37"/>
    <x v="49"/>
    <x v="150"/>
    <x v="148"/>
    <x v="0"/>
    <x v="441"/>
    <x v="553"/>
    <x v="953"/>
    <x v="948"/>
    <x v="581"/>
    <x v="489"/>
    <x v="2"/>
    <x v="5"/>
    <x v="2"/>
    <x v="1"/>
    <x v="2"/>
    <x v="145"/>
  </r>
  <r>
    <x v="657"/>
    <x v="258"/>
    <x v="49"/>
    <x v="26"/>
    <x v="93"/>
    <x v="88"/>
    <x v="3"/>
    <x v="181"/>
    <x v="1201"/>
    <x v="1182"/>
    <x v="1065"/>
    <x v="0"/>
    <x v="1307"/>
    <x v="1"/>
    <x v="2"/>
    <x v="4"/>
    <x v="2"/>
    <x v="0"/>
    <x v="213"/>
  </r>
  <r>
    <x v="658"/>
    <x v="162"/>
    <x v="23"/>
    <x v="72"/>
    <x v="33"/>
    <x v="29"/>
    <x v="2"/>
    <x v="547"/>
    <x v="95"/>
    <x v="274"/>
    <x v="234"/>
    <x v="0"/>
    <x v="912"/>
    <x v="3"/>
    <x v="5"/>
    <x v="12"/>
    <x v="2"/>
    <x v="4"/>
    <x v="213"/>
  </r>
  <r>
    <x v="659"/>
    <x v="50"/>
    <x v="11"/>
    <x v="45"/>
    <x v="31"/>
    <x v="26"/>
    <x v="3"/>
    <x v="134"/>
    <x v="1196"/>
    <x v="1350"/>
    <x v="1190"/>
    <x v="691"/>
    <x v="711"/>
    <x v="2"/>
    <x v="5"/>
    <x v="5"/>
    <x v="1"/>
    <x v="6"/>
    <x v="30"/>
  </r>
  <r>
    <x v="660"/>
    <x v="238"/>
    <x v="15"/>
    <x v="32"/>
    <x v="192"/>
    <x v="192"/>
    <x v="3"/>
    <x v="498"/>
    <x v="886"/>
    <x v="909"/>
    <x v="966"/>
    <x v="609"/>
    <x v="435"/>
    <x v="2"/>
    <x v="5"/>
    <x v="6"/>
    <x v="2"/>
    <x v="4"/>
    <x v="191"/>
  </r>
  <r>
    <x v="661"/>
    <x v="211"/>
    <x v="27"/>
    <x v="99"/>
    <x v="104"/>
    <x v="102"/>
    <x v="3"/>
    <x v="478"/>
    <x v="1027"/>
    <x v="1395"/>
    <x v="1256"/>
    <x v="798"/>
    <x v="158"/>
    <x v="2"/>
    <x v="5"/>
    <x v="1"/>
    <x v="1"/>
    <x v="0"/>
    <x v="98"/>
  </r>
  <r>
    <x v="662"/>
    <x v="286"/>
    <x v="48"/>
    <x v="17"/>
    <x v="45"/>
    <x v="41"/>
    <x v="0"/>
    <x v="551"/>
    <x v="874"/>
    <x v="424"/>
    <x v="440"/>
    <x v="262"/>
    <x v="246"/>
    <x v="2"/>
    <x v="5"/>
    <x v="3"/>
    <x v="0"/>
    <x v="0"/>
    <x v="42"/>
  </r>
  <r>
    <x v="663"/>
    <x v="100"/>
    <x v="11"/>
    <x v="38"/>
    <x v="80"/>
    <x v="79"/>
    <x v="3"/>
    <x v="63"/>
    <x v="487"/>
    <x v="643"/>
    <x v="566"/>
    <x v="0"/>
    <x v="1122"/>
    <x v="1"/>
    <x v="3"/>
    <x v="0"/>
    <x v="0"/>
    <x v="1"/>
    <x v="213"/>
  </r>
  <r>
    <x v="664"/>
    <x v="2"/>
    <x v="30"/>
    <x v="20"/>
    <x v="55"/>
    <x v="52"/>
    <x v="3"/>
    <x v="80"/>
    <x v="1207"/>
    <x v="347"/>
    <x v="381"/>
    <x v="223"/>
    <x v="121"/>
    <x v="2"/>
    <x v="5"/>
    <x v="5"/>
    <x v="1"/>
    <x v="4"/>
    <x v="54"/>
  </r>
  <r>
    <x v="665"/>
    <x v="48"/>
    <x v="24"/>
    <x v="16"/>
    <x v="105"/>
    <x v="100"/>
    <x v="3"/>
    <x v="635"/>
    <x v="345"/>
    <x v="668"/>
    <x v="648"/>
    <x v="366"/>
    <x v="506"/>
    <x v="2"/>
    <x v="5"/>
    <x v="3"/>
    <x v="2"/>
    <x v="1"/>
    <x v="101"/>
  </r>
  <r>
    <x v="666"/>
    <x v="35"/>
    <x v="22"/>
    <x v="62"/>
    <x v="85"/>
    <x v="83"/>
    <x v="1"/>
    <x v="185"/>
    <x v="474"/>
    <x v="1077"/>
    <x v="1072"/>
    <x v="0"/>
    <x v="1310"/>
    <x v="1"/>
    <x v="4"/>
    <x v="6"/>
    <x v="0"/>
    <x v="3"/>
    <x v="213"/>
  </r>
  <r>
    <x v="667"/>
    <x v="115"/>
    <x v="8"/>
    <x v="63"/>
    <x v="94"/>
    <x v="92"/>
    <x v="0"/>
    <x v="34"/>
    <x v="554"/>
    <x v="0"/>
    <x v="2"/>
    <x v="3"/>
    <x v="19"/>
    <x v="2"/>
    <x v="5"/>
    <x v="1"/>
    <x v="2"/>
    <x v="2"/>
    <x v="89"/>
  </r>
  <r>
    <x v="668"/>
    <x v="17"/>
    <x v="16"/>
    <x v="53"/>
    <x v="25"/>
    <x v="23"/>
    <x v="0"/>
    <x v="135"/>
    <x v="1019"/>
    <x v="261"/>
    <x v="224"/>
    <x v="114"/>
    <x v="275"/>
    <x v="2"/>
    <x v="5"/>
    <x v="7"/>
    <x v="1"/>
    <x v="5"/>
    <x v="27"/>
  </r>
  <r>
    <x v="669"/>
    <x v="80"/>
    <x v="20"/>
    <x v="16"/>
    <x v="30"/>
    <x v="27"/>
    <x v="2"/>
    <x v="568"/>
    <x v="1169"/>
    <x v="485"/>
    <x v="537"/>
    <x v="0"/>
    <x v="1109"/>
    <x v="1"/>
    <x v="2"/>
    <x v="6"/>
    <x v="0"/>
    <x v="2"/>
    <x v="213"/>
  </r>
  <r>
    <x v="670"/>
    <x v="226"/>
    <x v="32"/>
    <x v="47"/>
    <x v="172"/>
    <x v="167"/>
    <x v="2"/>
    <x v="591"/>
    <x v="877"/>
    <x v="1153"/>
    <x v="1080"/>
    <x v="597"/>
    <x v="820"/>
    <x v="2"/>
    <x v="5"/>
    <x v="1"/>
    <x v="1"/>
    <x v="3"/>
    <x v="166"/>
  </r>
  <r>
    <x v="671"/>
    <x v="74"/>
    <x v="0"/>
    <x v="43"/>
    <x v="29"/>
    <x v="28"/>
    <x v="3"/>
    <x v="166"/>
    <x v="1311"/>
    <x v="773"/>
    <x v="739"/>
    <x v="0"/>
    <x v="1188"/>
    <x v="0"/>
    <x v="5"/>
    <x v="1"/>
    <x v="1"/>
    <x v="4"/>
    <x v="213"/>
  </r>
  <r>
    <x v="672"/>
    <x v="25"/>
    <x v="38"/>
    <x v="87"/>
    <x v="119"/>
    <x v="116"/>
    <x v="3"/>
    <x v="211"/>
    <x v="1098"/>
    <x v="393"/>
    <x v="346"/>
    <x v="197"/>
    <x v="297"/>
    <x v="2"/>
    <x v="5"/>
    <x v="5"/>
    <x v="2"/>
    <x v="4"/>
    <x v="117"/>
  </r>
  <r>
    <x v="673"/>
    <x v="149"/>
    <x v="40"/>
    <x v="4"/>
    <x v="75"/>
    <x v="75"/>
    <x v="1"/>
    <x v="295"/>
    <x v="106"/>
    <x v="257"/>
    <x v="250"/>
    <x v="112"/>
    <x v="396"/>
    <x v="2"/>
    <x v="5"/>
    <x v="5"/>
    <x v="1"/>
    <x v="4"/>
    <x v="74"/>
  </r>
  <r>
    <x v="674"/>
    <x v="216"/>
    <x v="17"/>
    <x v="44"/>
    <x v="102"/>
    <x v="101"/>
    <x v="2"/>
    <x v="570"/>
    <x v="630"/>
    <x v="782"/>
    <x v="663"/>
    <x v="328"/>
    <x v="698"/>
    <x v="2"/>
    <x v="5"/>
    <x v="7"/>
    <x v="1"/>
    <x v="1"/>
    <x v="102"/>
  </r>
  <r>
    <x v="675"/>
    <x v="191"/>
    <x v="32"/>
    <x v="92"/>
    <x v="138"/>
    <x v="134"/>
    <x v="1"/>
    <x v="280"/>
    <x v="792"/>
    <x v="99"/>
    <x v="97"/>
    <x v="45"/>
    <x v="195"/>
    <x v="2"/>
    <x v="5"/>
    <x v="1"/>
    <x v="2"/>
    <x v="2"/>
    <x v="132"/>
  </r>
  <r>
    <x v="676"/>
    <x v="217"/>
    <x v="7"/>
    <x v="24"/>
    <x v="6"/>
    <x v="5"/>
    <x v="3"/>
    <x v="253"/>
    <x v="1310"/>
    <x v="367"/>
    <x v="392"/>
    <x v="0"/>
    <x v="1045"/>
    <x v="0"/>
    <x v="5"/>
    <x v="1"/>
    <x v="1"/>
    <x v="1"/>
    <x v="213"/>
  </r>
  <r>
    <x v="677"/>
    <x v="219"/>
    <x v="17"/>
    <x v="95"/>
    <x v="204"/>
    <x v="203"/>
    <x v="0"/>
    <x v="232"/>
    <x v="1283"/>
    <x v="59"/>
    <x v="62"/>
    <x v="0"/>
    <x v="498"/>
    <x v="3"/>
    <x v="5"/>
    <x v="6"/>
    <x v="1"/>
    <x v="0"/>
    <x v="213"/>
  </r>
  <r>
    <x v="678"/>
    <x v="9"/>
    <x v="26"/>
    <x v="84"/>
    <x v="157"/>
    <x v="154"/>
    <x v="0"/>
    <x v="230"/>
    <x v="704"/>
    <x v="1001"/>
    <x v="934"/>
    <x v="0"/>
    <x v="1258"/>
    <x v="1"/>
    <x v="3"/>
    <x v="6"/>
    <x v="2"/>
    <x v="5"/>
    <x v="213"/>
  </r>
  <r>
    <x v="679"/>
    <x v="145"/>
    <x v="46"/>
    <x v="91"/>
    <x v="207"/>
    <x v="202"/>
    <x v="2"/>
    <x v="487"/>
    <x v="1086"/>
    <x v="317"/>
    <x v="265"/>
    <x v="136"/>
    <x v="298"/>
    <x v="2"/>
    <x v="5"/>
    <x v="1"/>
    <x v="1"/>
    <x v="5"/>
    <x v="200"/>
  </r>
  <r>
    <x v="680"/>
    <x v="223"/>
    <x v="9"/>
    <x v="59"/>
    <x v="88"/>
    <x v="84"/>
    <x v="2"/>
    <x v="176"/>
    <x v="1344"/>
    <x v="1398"/>
    <x v="1156"/>
    <x v="646"/>
    <x v="800"/>
    <x v="2"/>
    <x v="5"/>
    <x v="5"/>
    <x v="1"/>
    <x v="6"/>
    <x v="87"/>
  </r>
  <r>
    <x v="681"/>
    <x v="283"/>
    <x v="22"/>
    <x v="10"/>
    <x v="175"/>
    <x v="172"/>
    <x v="0"/>
    <x v="622"/>
    <x v="1339"/>
    <x v="42"/>
    <x v="47"/>
    <x v="31"/>
    <x v="4"/>
    <x v="2"/>
    <x v="5"/>
    <x v="7"/>
    <x v="2"/>
    <x v="3"/>
    <x v="175"/>
  </r>
  <r>
    <x v="682"/>
    <x v="285"/>
    <x v="27"/>
    <x v="53"/>
    <x v="76"/>
    <x v="74"/>
    <x v="1"/>
    <x v="626"/>
    <x v="746"/>
    <x v="658"/>
    <x v="579"/>
    <x v="335"/>
    <x v="388"/>
    <x v="2"/>
    <x v="5"/>
    <x v="5"/>
    <x v="1"/>
    <x v="4"/>
    <x v="75"/>
  </r>
  <r>
    <x v="683"/>
    <x v="48"/>
    <x v="25"/>
    <x v="27"/>
    <x v="126"/>
    <x v="125"/>
    <x v="0"/>
    <x v="88"/>
    <x v="762"/>
    <x v="787"/>
    <x v="751"/>
    <x v="505"/>
    <x v="77"/>
    <x v="2"/>
    <x v="5"/>
    <x v="1"/>
    <x v="0"/>
    <x v="1"/>
    <x v="120"/>
  </r>
  <r>
    <x v="684"/>
    <x v="210"/>
    <x v="38"/>
    <x v="35"/>
    <x v="45"/>
    <x v="40"/>
    <x v="3"/>
    <x v="641"/>
    <x v="948"/>
    <x v="805"/>
    <x v="762"/>
    <x v="0"/>
    <x v="1194"/>
    <x v="0"/>
    <x v="5"/>
    <x v="3"/>
    <x v="1"/>
    <x v="0"/>
    <x v="213"/>
  </r>
  <r>
    <x v="685"/>
    <x v="113"/>
    <x v="25"/>
    <x v="63"/>
    <x v="175"/>
    <x v="170"/>
    <x v="2"/>
    <x v="239"/>
    <x v="1153"/>
    <x v="1131"/>
    <x v="1069"/>
    <x v="0"/>
    <x v="1309"/>
    <x v="0"/>
    <x v="5"/>
    <x v="6"/>
    <x v="0"/>
    <x v="1"/>
    <x v="213"/>
  </r>
  <r>
    <x v="686"/>
    <x v="49"/>
    <x v="24"/>
    <x v="74"/>
    <x v="48"/>
    <x v="45"/>
    <x v="2"/>
    <x v="346"/>
    <x v="1055"/>
    <x v="776"/>
    <x v="726"/>
    <x v="417"/>
    <x v="546"/>
    <x v="2"/>
    <x v="5"/>
    <x v="2"/>
    <x v="0"/>
    <x v="4"/>
    <x v="44"/>
  </r>
  <r>
    <x v="687"/>
    <x v="11"/>
    <x v="20"/>
    <x v="78"/>
    <x v="11"/>
    <x v="7"/>
    <x v="0"/>
    <x v="138"/>
    <x v="1211"/>
    <x v="898"/>
    <x v="918"/>
    <x v="455"/>
    <x v="846"/>
    <x v="2"/>
    <x v="5"/>
    <x v="6"/>
    <x v="1"/>
    <x v="0"/>
    <x v="13"/>
  </r>
  <r>
    <x v="688"/>
    <x v="257"/>
    <x v="12"/>
    <x v="20"/>
    <x v="94"/>
    <x v="94"/>
    <x v="2"/>
    <x v="305"/>
    <x v="619"/>
    <x v="1329"/>
    <x v="1369"/>
    <x v="0"/>
    <x v="1450"/>
    <x v="3"/>
    <x v="5"/>
    <x v="11"/>
    <x v="0"/>
    <x v="2"/>
    <x v="213"/>
  </r>
  <r>
    <x v="689"/>
    <x v="231"/>
    <x v="15"/>
    <x v="87"/>
    <x v="183"/>
    <x v="182"/>
    <x v="2"/>
    <x v="201"/>
    <x v="469"/>
    <x v="411"/>
    <x v="479"/>
    <x v="241"/>
    <x v="549"/>
    <x v="2"/>
    <x v="5"/>
    <x v="7"/>
    <x v="2"/>
    <x v="5"/>
    <x v="183"/>
  </r>
  <r>
    <x v="690"/>
    <x v="232"/>
    <x v="46"/>
    <x v="8"/>
    <x v="164"/>
    <x v="164"/>
    <x v="1"/>
    <x v="623"/>
    <x v="90"/>
    <x v="1247"/>
    <x v="1389"/>
    <x v="0"/>
    <x v="1457"/>
    <x v="1"/>
    <x v="3"/>
    <x v="2"/>
    <x v="1"/>
    <x v="4"/>
    <x v="213"/>
  </r>
  <r>
    <x v="691"/>
    <x v="131"/>
    <x v="45"/>
    <x v="68"/>
    <x v="108"/>
    <x v="104"/>
    <x v="1"/>
    <x v="594"/>
    <x v="1350"/>
    <x v="1281"/>
    <x v="1094"/>
    <x v="0"/>
    <x v="1319"/>
    <x v="0"/>
    <x v="5"/>
    <x v="6"/>
    <x v="1"/>
    <x v="0"/>
    <x v="213"/>
  </r>
  <r>
    <x v="692"/>
    <x v="200"/>
    <x v="45"/>
    <x v="65"/>
    <x v="115"/>
    <x v="112"/>
    <x v="2"/>
    <x v="354"/>
    <x v="327"/>
    <x v="78"/>
    <x v="86"/>
    <x v="0"/>
    <x v="603"/>
    <x v="1"/>
    <x v="1"/>
    <x v="0"/>
    <x v="0"/>
    <x v="6"/>
    <x v="213"/>
  </r>
  <r>
    <x v="693"/>
    <x v="70"/>
    <x v="15"/>
    <x v="61"/>
    <x v="71"/>
    <x v="67"/>
    <x v="0"/>
    <x v="221"/>
    <x v="257"/>
    <x v="151"/>
    <x v="134"/>
    <x v="0"/>
    <x v="721"/>
    <x v="1"/>
    <x v="1"/>
    <x v="6"/>
    <x v="2"/>
    <x v="4"/>
    <x v="213"/>
  </r>
  <r>
    <x v="694"/>
    <x v="148"/>
    <x v="44"/>
    <x v="56"/>
    <x v="177"/>
    <x v="177"/>
    <x v="3"/>
    <x v="656"/>
    <x v="1158"/>
    <x v="1049"/>
    <x v="1180"/>
    <x v="725"/>
    <x v="424"/>
    <x v="2"/>
    <x v="5"/>
    <x v="5"/>
    <x v="1"/>
    <x v="3"/>
    <x v="175"/>
  </r>
  <r>
    <x v="695"/>
    <x v="13"/>
    <x v="14"/>
    <x v="47"/>
    <x v="147"/>
    <x v="145"/>
    <x v="3"/>
    <x v="592"/>
    <x v="768"/>
    <x v="1130"/>
    <x v="994"/>
    <x v="0"/>
    <x v="1283"/>
    <x v="3"/>
    <x v="5"/>
    <x v="7"/>
    <x v="2"/>
    <x v="4"/>
    <x v="213"/>
  </r>
  <r>
    <x v="696"/>
    <x v="77"/>
    <x v="47"/>
    <x v="88"/>
    <x v="44"/>
    <x v="40"/>
    <x v="0"/>
    <x v="119"/>
    <x v="773"/>
    <x v="677"/>
    <x v="673"/>
    <x v="0"/>
    <x v="1158"/>
    <x v="3"/>
    <x v="5"/>
    <x v="7"/>
    <x v="2"/>
    <x v="3"/>
    <x v="213"/>
  </r>
  <r>
    <x v="697"/>
    <x v="182"/>
    <x v="46"/>
    <x v="65"/>
    <x v="164"/>
    <x v="163"/>
    <x v="2"/>
    <x v="393"/>
    <x v="452"/>
    <x v="305"/>
    <x v="287"/>
    <x v="166"/>
    <x v="225"/>
    <x v="2"/>
    <x v="5"/>
    <x v="4"/>
    <x v="2"/>
    <x v="4"/>
    <x v="161"/>
  </r>
  <r>
    <x v="698"/>
    <x v="264"/>
    <x v="30"/>
    <x v="22"/>
    <x v="43"/>
    <x v="39"/>
    <x v="2"/>
    <x v="313"/>
    <x v="43"/>
    <x v="437"/>
    <x v="424"/>
    <x v="0"/>
    <x v="1058"/>
    <x v="1"/>
    <x v="3"/>
    <x v="7"/>
    <x v="1"/>
    <x v="0"/>
    <x v="213"/>
  </r>
  <r>
    <x v="699"/>
    <x v="98"/>
    <x v="22"/>
    <x v="63"/>
    <x v="88"/>
    <x v="87"/>
    <x v="2"/>
    <x v="470"/>
    <x v="39"/>
    <x v="325"/>
    <x v="304"/>
    <x v="180"/>
    <x v="138"/>
    <x v="2"/>
    <x v="5"/>
    <x v="1"/>
    <x v="1"/>
    <x v="1"/>
    <x v="83"/>
  </r>
  <r>
    <x v="700"/>
    <x v="49"/>
    <x v="21"/>
    <x v="64"/>
    <x v="213"/>
    <x v="209"/>
    <x v="1"/>
    <x v="226"/>
    <x v="1351"/>
    <x v="1095"/>
    <x v="1055"/>
    <x v="0"/>
    <x v="1304"/>
    <x v="1"/>
    <x v="0"/>
    <x v="0"/>
    <x v="1"/>
    <x v="5"/>
    <x v="213"/>
  </r>
  <r>
    <x v="701"/>
    <x v="123"/>
    <x v="14"/>
    <x v="88"/>
    <x v="20"/>
    <x v="20"/>
    <x v="2"/>
    <x v="148"/>
    <x v="118"/>
    <x v="761"/>
    <x v="682"/>
    <x v="433"/>
    <x v="247"/>
    <x v="2"/>
    <x v="5"/>
    <x v="2"/>
    <x v="1"/>
    <x v="3"/>
    <x v="17"/>
  </r>
  <r>
    <x v="702"/>
    <x v="263"/>
    <x v="19"/>
    <x v="7"/>
    <x v="143"/>
    <x v="141"/>
    <x v="0"/>
    <x v="187"/>
    <x v="628"/>
    <x v="279"/>
    <x v="316"/>
    <x v="154"/>
    <x v="454"/>
    <x v="2"/>
    <x v="5"/>
    <x v="2"/>
    <x v="1"/>
    <x v="1"/>
    <x v="138"/>
  </r>
  <r>
    <x v="703"/>
    <x v="98"/>
    <x v="30"/>
    <x v="14"/>
    <x v="151"/>
    <x v="148"/>
    <x v="2"/>
    <x v="66"/>
    <x v="1225"/>
    <x v="786"/>
    <x v="889"/>
    <x v="486"/>
    <x v="708"/>
    <x v="2"/>
    <x v="5"/>
    <x v="1"/>
    <x v="0"/>
    <x v="0"/>
    <x v="145"/>
  </r>
  <r>
    <x v="704"/>
    <x v="222"/>
    <x v="49"/>
    <x v="82"/>
    <x v="142"/>
    <x v="138"/>
    <x v="0"/>
    <x v="488"/>
    <x v="1172"/>
    <x v="705"/>
    <x v="727"/>
    <x v="432"/>
    <x v="461"/>
    <x v="2"/>
    <x v="5"/>
    <x v="1"/>
    <x v="0"/>
    <x v="3"/>
    <x v="136"/>
  </r>
  <r>
    <x v="705"/>
    <x v="243"/>
    <x v="32"/>
    <x v="36"/>
    <x v="196"/>
    <x v="193"/>
    <x v="3"/>
    <x v="221"/>
    <x v="1343"/>
    <x v="713"/>
    <x v="618"/>
    <x v="0"/>
    <x v="1144"/>
    <x v="3"/>
    <x v="5"/>
    <x v="11"/>
    <x v="0"/>
    <x v="3"/>
    <x v="213"/>
  </r>
  <r>
    <x v="706"/>
    <x v="245"/>
    <x v="0"/>
    <x v="40"/>
    <x v="75"/>
    <x v="70"/>
    <x v="2"/>
    <x v="407"/>
    <x v="437"/>
    <x v="434"/>
    <x v="431"/>
    <x v="272"/>
    <x v="18"/>
    <x v="2"/>
    <x v="5"/>
    <x v="2"/>
    <x v="0"/>
    <x v="0"/>
    <x v="71"/>
  </r>
  <r>
    <x v="707"/>
    <x v="271"/>
    <x v="11"/>
    <x v="24"/>
    <x v="197"/>
    <x v="194"/>
    <x v="1"/>
    <x v="635"/>
    <x v="605"/>
    <x v="129"/>
    <x v="147"/>
    <x v="0"/>
    <x v="764"/>
    <x v="3"/>
    <x v="5"/>
    <x v="8"/>
    <x v="0"/>
    <x v="3"/>
    <x v="213"/>
  </r>
  <r>
    <x v="708"/>
    <x v="288"/>
    <x v="43"/>
    <x v="19"/>
    <x v="130"/>
    <x v="128"/>
    <x v="3"/>
    <x v="128"/>
    <x v="509"/>
    <x v="770"/>
    <x v="646"/>
    <x v="339"/>
    <x v="617"/>
    <x v="2"/>
    <x v="5"/>
    <x v="3"/>
    <x v="2"/>
    <x v="1"/>
    <x v="126"/>
  </r>
  <r>
    <x v="709"/>
    <x v="209"/>
    <x v="49"/>
    <x v="92"/>
    <x v="44"/>
    <x v="43"/>
    <x v="3"/>
    <x v="188"/>
    <x v="690"/>
    <x v="224"/>
    <x v="278"/>
    <x v="0"/>
    <x v="968"/>
    <x v="3"/>
    <x v="5"/>
    <x v="10"/>
    <x v="2"/>
    <x v="1"/>
    <x v="213"/>
  </r>
  <r>
    <x v="710"/>
    <x v="154"/>
    <x v="27"/>
    <x v="72"/>
    <x v="79"/>
    <x v="77"/>
    <x v="2"/>
    <x v="634"/>
    <x v="1073"/>
    <x v="468"/>
    <x v="450"/>
    <x v="265"/>
    <x v="217"/>
    <x v="2"/>
    <x v="5"/>
    <x v="7"/>
    <x v="0"/>
    <x v="1"/>
    <x v="80"/>
  </r>
  <r>
    <x v="711"/>
    <x v="138"/>
    <x v="1"/>
    <x v="90"/>
    <x v="103"/>
    <x v="103"/>
    <x v="0"/>
    <x v="174"/>
    <x v="671"/>
    <x v="492"/>
    <x v="556"/>
    <x v="0"/>
    <x v="1117"/>
    <x v="0"/>
    <x v="5"/>
    <x v="7"/>
    <x v="2"/>
    <x v="1"/>
    <x v="213"/>
  </r>
  <r>
    <x v="712"/>
    <x v="108"/>
    <x v="39"/>
    <x v="64"/>
    <x v="95"/>
    <x v="95"/>
    <x v="2"/>
    <x v="713"/>
    <x v="717"/>
    <x v="1172"/>
    <x v="1126"/>
    <x v="673"/>
    <x v="627"/>
    <x v="2"/>
    <x v="5"/>
    <x v="3"/>
    <x v="0"/>
    <x v="0"/>
    <x v="91"/>
  </r>
  <r>
    <x v="713"/>
    <x v="195"/>
    <x v="44"/>
    <x v="90"/>
    <x v="63"/>
    <x v="62"/>
    <x v="2"/>
    <x v="208"/>
    <x v="735"/>
    <x v="692"/>
    <x v="766"/>
    <x v="437"/>
    <x v="554"/>
    <x v="2"/>
    <x v="5"/>
    <x v="0"/>
    <x v="1"/>
    <x v="5"/>
    <x v="57"/>
  </r>
  <r>
    <x v="714"/>
    <x v="54"/>
    <x v="30"/>
    <x v="17"/>
    <x v="96"/>
    <x v="96"/>
    <x v="1"/>
    <x v="270"/>
    <x v="1066"/>
    <x v="948"/>
    <x v="872"/>
    <x v="485"/>
    <x v="670"/>
    <x v="2"/>
    <x v="5"/>
    <x v="4"/>
    <x v="0"/>
    <x v="1"/>
    <x v="93"/>
  </r>
  <r>
    <x v="715"/>
    <x v="281"/>
    <x v="33"/>
    <x v="37"/>
    <x v="42"/>
    <x v="38"/>
    <x v="1"/>
    <x v="113"/>
    <x v="186"/>
    <x v="293"/>
    <x v="247"/>
    <x v="122"/>
    <x v="310"/>
    <x v="2"/>
    <x v="5"/>
    <x v="4"/>
    <x v="1"/>
    <x v="4"/>
    <x v="40"/>
  </r>
  <r>
    <x v="716"/>
    <x v="92"/>
    <x v="20"/>
    <x v="59"/>
    <x v="191"/>
    <x v="189"/>
    <x v="0"/>
    <x v="383"/>
    <x v="944"/>
    <x v="500"/>
    <x v="564"/>
    <x v="0"/>
    <x v="1121"/>
    <x v="0"/>
    <x v="5"/>
    <x v="3"/>
    <x v="2"/>
    <x v="6"/>
    <x v="213"/>
  </r>
  <r>
    <x v="717"/>
    <x v="214"/>
    <x v="25"/>
    <x v="62"/>
    <x v="178"/>
    <x v="173"/>
    <x v="1"/>
    <x v="691"/>
    <x v="1335"/>
    <x v="889"/>
    <x v="1056"/>
    <x v="554"/>
    <x v="875"/>
    <x v="2"/>
    <x v="5"/>
    <x v="6"/>
    <x v="0"/>
    <x v="5"/>
    <x v="177"/>
  </r>
  <r>
    <x v="718"/>
    <x v="271"/>
    <x v="31"/>
    <x v="36"/>
    <x v="95"/>
    <x v="95"/>
    <x v="3"/>
    <x v="526"/>
    <x v="181"/>
    <x v="1490"/>
    <x v="1499"/>
    <x v="868"/>
    <x v="342"/>
    <x v="2"/>
    <x v="5"/>
    <x v="5"/>
    <x v="1"/>
    <x v="0"/>
    <x v="93"/>
  </r>
  <r>
    <x v="719"/>
    <x v="289"/>
    <x v="29"/>
    <x v="78"/>
    <x v="144"/>
    <x v="144"/>
    <x v="0"/>
    <x v="626"/>
    <x v="200"/>
    <x v="1157"/>
    <x v="1199"/>
    <x v="0"/>
    <x v="1376"/>
    <x v="0"/>
    <x v="5"/>
    <x v="1"/>
    <x v="1"/>
    <x v="2"/>
    <x v="213"/>
  </r>
  <r>
    <x v="720"/>
    <x v="36"/>
    <x v="11"/>
    <x v="82"/>
    <x v="211"/>
    <x v="209"/>
    <x v="3"/>
    <x v="376"/>
    <x v="1332"/>
    <x v="1339"/>
    <x v="1464"/>
    <x v="806"/>
    <x v="998"/>
    <x v="2"/>
    <x v="5"/>
    <x v="5"/>
    <x v="1"/>
    <x v="4"/>
    <x v="208"/>
  </r>
  <r>
    <x v="721"/>
    <x v="4"/>
    <x v="14"/>
    <x v="41"/>
    <x v="212"/>
    <x v="209"/>
    <x v="2"/>
    <x v="123"/>
    <x v="676"/>
    <x v="568"/>
    <x v="530"/>
    <x v="0"/>
    <x v="1105"/>
    <x v="1"/>
    <x v="2"/>
    <x v="6"/>
    <x v="0"/>
    <x v="5"/>
    <x v="213"/>
  </r>
  <r>
    <x v="722"/>
    <x v="291"/>
    <x v="9"/>
    <x v="24"/>
    <x v="174"/>
    <x v="172"/>
    <x v="0"/>
    <x v="172"/>
    <x v="813"/>
    <x v="967"/>
    <x v="864"/>
    <x v="557"/>
    <x v="256"/>
    <x v="2"/>
    <x v="5"/>
    <x v="5"/>
    <x v="0"/>
    <x v="0"/>
    <x v="172"/>
  </r>
  <r>
    <x v="723"/>
    <x v="174"/>
    <x v="4"/>
    <x v="41"/>
    <x v="10"/>
    <x v="6"/>
    <x v="3"/>
    <x v="189"/>
    <x v="546"/>
    <x v="1257"/>
    <x v="1367"/>
    <x v="0"/>
    <x v="1449"/>
    <x v="3"/>
    <x v="5"/>
    <x v="11"/>
    <x v="0"/>
    <x v="3"/>
    <x v="213"/>
  </r>
  <r>
    <x v="724"/>
    <x v="13"/>
    <x v="8"/>
    <x v="56"/>
    <x v="44"/>
    <x v="41"/>
    <x v="1"/>
    <x v="694"/>
    <x v="976"/>
    <x v="332"/>
    <x v="391"/>
    <x v="0"/>
    <x v="1044"/>
    <x v="0"/>
    <x v="5"/>
    <x v="5"/>
    <x v="0"/>
    <x v="2"/>
    <x v="213"/>
  </r>
  <r>
    <x v="725"/>
    <x v="61"/>
    <x v="5"/>
    <x v="22"/>
    <x v="195"/>
    <x v="190"/>
    <x v="1"/>
    <x v="134"/>
    <x v="547"/>
    <x v="60"/>
    <x v="60"/>
    <x v="28"/>
    <x v="133"/>
    <x v="2"/>
    <x v="5"/>
    <x v="6"/>
    <x v="0"/>
    <x v="2"/>
    <x v="194"/>
  </r>
  <r>
    <x v="726"/>
    <x v="255"/>
    <x v="23"/>
    <x v="61"/>
    <x v="193"/>
    <x v="189"/>
    <x v="3"/>
    <x v="418"/>
    <x v="295"/>
    <x v="1488"/>
    <x v="1400"/>
    <x v="753"/>
    <x v="963"/>
    <x v="2"/>
    <x v="5"/>
    <x v="1"/>
    <x v="2"/>
    <x v="0"/>
    <x v="187"/>
  </r>
  <r>
    <x v="727"/>
    <x v="155"/>
    <x v="4"/>
    <x v="55"/>
    <x v="4"/>
    <x v="1"/>
    <x v="3"/>
    <x v="188"/>
    <x v="230"/>
    <x v="567"/>
    <x v="657"/>
    <x v="0"/>
    <x v="1154"/>
    <x v="1"/>
    <x v="1"/>
    <x v="5"/>
    <x v="1"/>
    <x v="4"/>
    <x v="213"/>
  </r>
  <r>
    <x v="728"/>
    <x v="70"/>
    <x v="15"/>
    <x v="22"/>
    <x v="210"/>
    <x v="207"/>
    <x v="1"/>
    <x v="102"/>
    <x v="1318"/>
    <x v="16"/>
    <x v="26"/>
    <x v="0"/>
    <x v="287"/>
    <x v="1"/>
    <x v="2"/>
    <x v="5"/>
    <x v="0"/>
    <x v="6"/>
    <x v="213"/>
  </r>
  <r>
    <x v="729"/>
    <x v="208"/>
    <x v="10"/>
    <x v="53"/>
    <x v="180"/>
    <x v="177"/>
    <x v="0"/>
    <x v="145"/>
    <x v="1317"/>
    <x v="80"/>
    <x v="89"/>
    <x v="0"/>
    <x v="611"/>
    <x v="1"/>
    <x v="1"/>
    <x v="4"/>
    <x v="0"/>
    <x v="4"/>
    <x v="213"/>
  </r>
  <r>
    <x v="730"/>
    <x v="102"/>
    <x v="19"/>
    <x v="51"/>
    <x v="212"/>
    <x v="207"/>
    <x v="3"/>
    <x v="701"/>
    <x v="696"/>
    <x v="1317"/>
    <x v="1140"/>
    <x v="610"/>
    <x v="895"/>
    <x v="2"/>
    <x v="5"/>
    <x v="7"/>
    <x v="1"/>
    <x v="3"/>
    <x v="211"/>
  </r>
  <r>
    <x v="731"/>
    <x v="23"/>
    <x v="34"/>
    <x v="48"/>
    <x v="7"/>
    <x v="7"/>
    <x v="0"/>
    <x v="129"/>
    <x v="267"/>
    <x v="1337"/>
    <x v="1112"/>
    <x v="709"/>
    <x v="240"/>
    <x v="2"/>
    <x v="5"/>
    <x v="6"/>
    <x v="0"/>
    <x v="3"/>
    <x v="9"/>
  </r>
  <r>
    <x v="732"/>
    <x v="270"/>
    <x v="28"/>
    <x v="17"/>
    <x v="57"/>
    <x v="57"/>
    <x v="1"/>
    <x v="259"/>
    <x v="1227"/>
    <x v="88"/>
    <x v="110"/>
    <x v="62"/>
    <x v="139"/>
    <x v="2"/>
    <x v="5"/>
    <x v="6"/>
    <x v="2"/>
    <x v="3"/>
    <x v="57"/>
  </r>
  <r>
    <x v="733"/>
    <x v="48"/>
    <x v="30"/>
    <x v="63"/>
    <x v="34"/>
    <x v="32"/>
    <x v="0"/>
    <x v="100"/>
    <x v="575"/>
    <x v="505"/>
    <x v="543"/>
    <x v="0"/>
    <x v="1111"/>
    <x v="3"/>
    <x v="5"/>
    <x v="14"/>
    <x v="1"/>
    <x v="6"/>
    <x v="213"/>
  </r>
  <r>
    <x v="734"/>
    <x v="125"/>
    <x v="14"/>
    <x v="32"/>
    <x v="207"/>
    <x v="206"/>
    <x v="0"/>
    <x v="607"/>
    <x v="790"/>
    <x v="109"/>
    <x v="88"/>
    <x v="48"/>
    <x v="135"/>
    <x v="2"/>
    <x v="5"/>
    <x v="1"/>
    <x v="2"/>
    <x v="4"/>
    <x v="200"/>
  </r>
  <r>
    <x v="735"/>
    <x v="65"/>
    <x v="20"/>
    <x v="54"/>
    <x v="123"/>
    <x v="118"/>
    <x v="3"/>
    <x v="549"/>
    <x v="379"/>
    <x v="749"/>
    <x v="920"/>
    <x v="0"/>
    <x v="1252"/>
    <x v="3"/>
    <x v="5"/>
    <x v="7"/>
    <x v="1"/>
    <x v="4"/>
    <x v="213"/>
  </r>
  <r>
    <x v="736"/>
    <x v="7"/>
    <x v="9"/>
    <x v="81"/>
    <x v="13"/>
    <x v="8"/>
    <x v="1"/>
    <x v="695"/>
    <x v="615"/>
    <x v="541"/>
    <x v="457"/>
    <x v="0"/>
    <x v="1072"/>
    <x v="1"/>
    <x v="3"/>
    <x v="3"/>
    <x v="0"/>
    <x v="2"/>
    <x v="213"/>
  </r>
  <r>
    <x v="737"/>
    <x v="227"/>
    <x v="13"/>
    <x v="58"/>
    <x v="82"/>
    <x v="82"/>
    <x v="3"/>
    <x v="447"/>
    <x v="1126"/>
    <x v="701"/>
    <x v="655"/>
    <x v="395"/>
    <x v="389"/>
    <x v="2"/>
    <x v="5"/>
    <x v="6"/>
    <x v="0"/>
    <x v="4"/>
    <x v="82"/>
  </r>
  <r>
    <x v="738"/>
    <x v="170"/>
    <x v="31"/>
    <x v="98"/>
    <x v="76"/>
    <x v="71"/>
    <x v="2"/>
    <x v="551"/>
    <x v="255"/>
    <x v="1390"/>
    <x v="1306"/>
    <x v="0"/>
    <x v="1421"/>
    <x v="1"/>
    <x v="1"/>
    <x v="2"/>
    <x v="1"/>
    <x v="1"/>
    <x v="213"/>
  </r>
  <r>
    <x v="739"/>
    <x v="47"/>
    <x v="14"/>
    <x v="58"/>
    <x v="91"/>
    <x v="87"/>
    <x v="1"/>
    <x v="95"/>
    <x v="779"/>
    <x v="1159"/>
    <x v="1160"/>
    <x v="585"/>
    <x v="949"/>
    <x v="2"/>
    <x v="5"/>
    <x v="2"/>
    <x v="0"/>
    <x v="1"/>
    <x v="87"/>
  </r>
  <r>
    <x v="740"/>
    <x v="199"/>
    <x v="32"/>
    <x v="24"/>
    <x v="90"/>
    <x v="88"/>
    <x v="0"/>
    <x v="700"/>
    <x v="581"/>
    <x v="810"/>
    <x v="978"/>
    <x v="657"/>
    <x v="66"/>
    <x v="2"/>
    <x v="5"/>
    <x v="2"/>
    <x v="0"/>
    <x v="6"/>
    <x v="86"/>
  </r>
  <r>
    <x v="741"/>
    <x v="268"/>
    <x v="23"/>
    <x v="69"/>
    <x v="192"/>
    <x v="187"/>
    <x v="0"/>
    <x v="573"/>
    <x v="1341"/>
    <x v="880"/>
    <x v="769"/>
    <x v="500"/>
    <x v="199"/>
    <x v="2"/>
    <x v="5"/>
    <x v="0"/>
    <x v="0"/>
    <x v="3"/>
    <x v="185"/>
  </r>
  <r>
    <x v="742"/>
    <x v="75"/>
    <x v="34"/>
    <x v="78"/>
    <x v="40"/>
    <x v="40"/>
    <x v="2"/>
    <x v="715"/>
    <x v="536"/>
    <x v="937"/>
    <x v="1095"/>
    <x v="0"/>
    <x v="1320"/>
    <x v="3"/>
    <x v="5"/>
    <x v="6"/>
    <x v="2"/>
    <x v="0"/>
    <x v="213"/>
  </r>
  <r>
    <x v="743"/>
    <x v="67"/>
    <x v="46"/>
    <x v="38"/>
    <x v="104"/>
    <x v="102"/>
    <x v="1"/>
    <x v="57"/>
    <x v="657"/>
    <x v="759"/>
    <x v="736"/>
    <x v="424"/>
    <x v="541"/>
    <x v="2"/>
    <x v="5"/>
    <x v="5"/>
    <x v="1"/>
    <x v="5"/>
    <x v="102"/>
  </r>
  <r>
    <x v="744"/>
    <x v="69"/>
    <x v="9"/>
    <x v="61"/>
    <x v="173"/>
    <x v="171"/>
    <x v="0"/>
    <x v="636"/>
    <x v="626"/>
    <x v="1079"/>
    <x v="1158"/>
    <x v="599"/>
    <x v="934"/>
    <x v="2"/>
    <x v="5"/>
    <x v="6"/>
    <x v="2"/>
    <x v="1"/>
    <x v="172"/>
  </r>
  <r>
    <x v="745"/>
    <x v="139"/>
    <x v="8"/>
    <x v="51"/>
    <x v="45"/>
    <x v="40"/>
    <x v="1"/>
    <x v="603"/>
    <x v="396"/>
    <x v="861"/>
    <x v="787"/>
    <x v="431"/>
    <x v="654"/>
    <x v="2"/>
    <x v="5"/>
    <x v="3"/>
    <x v="0"/>
    <x v="2"/>
    <x v="42"/>
  </r>
  <r>
    <x v="746"/>
    <x v="237"/>
    <x v="14"/>
    <x v="84"/>
    <x v="41"/>
    <x v="36"/>
    <x v="2"/>
    <x v="248"/>
    <x v="329"/>
    <x v="455"/>
    <x v="489"/>
    <x v="276"/>
    <x v="382"/>
    <x v="2"/>
    <x v="5"/>
    <x v="1"/>
    <x v="1"/>
    <x v="4"/>
    <x v="36"/>
  </r>
  <r>
    <x v="747"/>
    <x v="20"/>
    <x v="24"/>
    <x v="32"/>
    <x v="159"/>
    <x v="156"/>
    <x v="1"/>
    <x v="519"/>
    <x v="1194"/>
    <x v="1321"/>
    <x v="1402"/>
    <x v="834"/>
    <x v="547"/>
    <x v="2"/>
    <x v="5"/>
    <x v="4"/>
    <x v="2"/>
    <x v="5"/>
    <x v="156"/>
  </r>
  <r>
    <x v="748"/>
    <x v="263"/>
    <x v="6"/>
    <x v="11"/>
    <x v="48"/>
    <x v="43"/>
    <x v="3"/>
    <x v="201"/>
    <x v="1267"/>
    <x v="1179"/>
    <x v="1316"/>
    <x v="0"/>
    <x v="1427"/>
    <x v="3"/>
    <x v="5"/>
    <x v="6"/>
    <x v="1"/>
    <x v="2"/>
    <x v="213"/>
  </r>
  <r>
    <x v="749"/>
    <x v="139"/>
    <x v="16"/>
    <x v="81"/>
    <x v="107"/>
    <x v="107"/>
    <x v="3"/>
    <x v="347"/>
    <x v="656"/>
    <x v="1285"/>
    <x v="1201"/>
    <x v="0"/>
    <x v="1377"/>
    <x v="3"/>
    <x v="5"/>
    <x v="14"/>
    <x v="2"/>
    <x v="0"/>
    <x v="213"/>
  </r>
  <r>
    <x v="750"/>
    <x v="218"/>
    <x v="42"/>
    <x v="34"/>
    <x v="3"/>
    <x v="3"/>
    <x v="1"/>
    <x v="651"/>
    <x v="1251"/>
    <x v="703"/>
    <x v="732"/>
    <x v="0"/>
    <x v="1183"/>
    <x v="3"/>
    <x v="5"/>
    <x v="6"/>
    <x v="1"/>
    <x v="5"/>
    <x v="213"/>
  </r>
  <r>
    <x v="751"/>
    <x v="53"/>
    <x v="37"/>
    <x v="82"/>
    <x v="147"/>
    <x v="144"/>
    <x v="1"/>
    <x v="476"/>
    <x v="253"/>
    <x v="1300"/>
    <x v="1363"/>
    <x v="0"/>
    <x v="1448"/>
    <x v="3"/>
    <x v="5"/>
    <x v="3"/>
    <x v="0"/>
    <x v="1"/>
    <x v="213"/>
  </r>
  <r>
    <x v="752"/>
    <x v="20"/>
    <x v="22"/>
    <x v="82"/>
    <x v="63"/>
    <x v="61"/>
    <x v="2"/>
    <x v="709"/>
    <x v="1183"/>
    <x v="1050"/>
    <x v="1122"/>
    <x v="0"/>
    <x v="1336"/>
    <x v="3"/>
    <x v="5"/>
    <x v="9"/>
    <x v="1"/>
    <x v="1"/>
    <x v="213"/>
  </r>
  <r>
    <x v="753"/>
    <x v="108"/>
    <x v="36"/>
    <x v="23"/>
    <x v="133"/>
    <x v="133"/>
    <x v="1"/>
    <x v="523"/>
    <x v="864"/>
    <x v="1209"/>
    <x v="1288"/>
    <x v="0"/>
    <x v="1413"/>
    <x v="1"/>
    <x v="2"/>
    <x v="6"/>
    <x v="0"/>
    <x v="3"/>
    <x v="213"/>
  </r>
  <r>
    <x v="754"/>
    <x v="172"/>
    <x v="22"/>
    <x v="31"/>
    <x v="105"/>
    <x v="105"/>
    <x v="3"/>
    <x v="369"/>
    <x v="141"/>
    <x v="1260"/>
    <x v="1171"/>
    <x v="0"/>
    <x v="1360"/>
    <x v="3"/>
    <x v="5"/>
    <x v="13"/>
    <x v="2"/>
    <x v="2"/>
    <x v="213"/>
  </r>
  <r>
    <x v="755"/>
    <x v="201"/>
    <x v="48"/>
    <x v="44"/>
    <x v="183"/>
    <x v="178"/>
    <x v="0"/>
    <x v="702"/>
    <x v="1278"/>
    <x v="1178"/>
    <x v="1061"/>
    <x v="680"/>
    <x v="365"/>
    <x v="2"/>
    <x v="5"/>
    <x v="5"/>
    <x v="0"/>
    <x v="3"/>
    <x v="181"/>
  </r>
  <r>
    <x v="756"/>
    <x v="50"/>
    <x v="46"/>
    <x v="11"/>
    <x v="94"/>
    <x v="90"/>
    <x v="2"/>
    <x v="261"/>
    <x v="1273"/>
    <x v="1199"/>
    <x v="1382"/>
    <x v="765"/>
    <x v="905"/>
    <x v="2"/>
    <x v="5"/>
    <x v="4"/>
    <x v="1"/>
    <x v="6"/>
    <x v="91"/>
  </r>
  <r>
    <x v="757"/>
    <x v="181"/>
    <x v="48"/>
    <x v="20"/>
    <x v="196"/>
    <x v="193"/>
    <x v="0"/>
    <x v="268"/>
    <x v="49"/>
    <x v="1268"/>
    <x v="1284"/>
    <x v="710"/>
    <x v="847"/>
    <x v="2"/>
    <x v="5"/>
    <x v="7"/>
    <x v="0"/>
    <x v="6"/>
    <x v="196"/>
  </r>
  <r>
    <x v="758"/>
    <x v="37"/>
    <x v="12"/>
    <x v="11"/>
    <x v="150"/>
    <x v="148"/>
    <x v="1"/>
    <x v="590"/>
    <x v="1040"/>
    <x v="1040"/>
    <x v="1084"/>
    <x v="0"/>
    <x v="1316"/>
    <x v="1"/>
    <x v="0"/>
    <x v="2"/>
    <x v="2"/>
    <x v="6"/>
    <x v="213"/>
  </r>
  <r>
    <x v="759"/>
    <x v="287"/>
    <x v="5"/>
    <x v="41"/>
    <x v="185"/>
    <x v="183"/>
    <x v="0"/>
    <x v="367"/>
    <x v="121"/>
    <x v="560"/>
    <x v="667"/>
    <x v="326"/>
    <x v="716"/>
    <x v="2"/>
    <x v="5"/>
    <x v="4"/>
    <x v="0"/>
    <x v="5"/>
    <x v="182"/>
  </r>
  <r>
    <x v="760"/>
    <x v="123"/>
    <x v="14"/>
    <x v="56"/>
    <x v="44"/>
    <x v="39"/>
    <x v="0"/>
    <x v="117"/>
    <x v="40"/>
    <x v="37"/>
    <x v="29"/>
    <x v="0"/>
    <x v="303"/>
    <x v="0"/>
    <x v="5"/>
    <x v="3"/>
    <x v="2"/>
    <x v="6"/>
    <x v="213"/>
  </r>
  <r>
    <x v="761"/>
    <x v="207"/>
    <x v="11"/>
    <x v="66"/>
    <x v="9"/>
    <x v="5"/>
    <x v="2"/>
    <x v="520"/>
    <x v="998"/>
    <x v="622"/>
    <x v="644"/>
    <x v="435"/>
    <x v="1"/>
    <x v="2"/>
    <x v="5"/>
    <x v="3"/>
    <x v="1"/>
    <x v="3"/>
    <x v="8"/>
  </r>
  <r>
    <x v="762"/>
    <x v="272"/>
    <x v="22"/>
    <x v="9"/>
    <x v="182"/>
    <x v="180"/>
    <x v="0"/>
    <x v="267"/>
    <x v="641"/>
    <x v="375"/>
    <x v="364"/>
    <x v="0"/>
    <x v="1031"/>
    <x v="1"/>
    <x v="1"/>
    <x v="3"/>
    <x v="1"/>
    <x v="5"/>
    <x v="213"/>
  </r>
  <r>
    <x v="763"/>
    <x v="270"/>
    <x v="20"/>
    <x v="13"/>
    <x v="32"/>
    <x v="32"/>
    <x v="0"/>
    <x v="597"/>
    <x v="909"/>
    <x v="1163"/>
    <x v="1193"/>
    <x v="0"/>
    <x v="1371"/>
    <x v="0"/>
    <x v="5"/>
    <x v="7"/>
    <x v="1"/>
    <x v="4"/>
    <x v="213"/>
  </r>
  <r>
    <x v="764"/>
    <x v="220"/>
    <x v="31"/>
    <x v="75"/>
    <x v="169"/>
    <x v="165"/>
    <x v="2"/>
    <x v="50"/>
    <x v="454"/>
    <x v="324"/>
    <x v="298"/>
    <x v="0"/>
    <x v="986"/>
    <x v="1"/>
    <x v="0"/>
    <x v="0"/>
    <x v="0"/>
    <x v="5"/>
    <x v="213"/>
  </r>
  <r>
    <x v="765"/>
    <x v="73"/>
    <x v="4"/>
    <x v="87"/>
    <x v="118"/>
    <x v="114"/>
    <x v="3"/>
    <x v="50"/>
    <x v="725"/>
    <x v="1343"/>
    <x v="1330"/>
    <x v="0"/>
    <x v="1432"/>
    <x v="3"/>
    <x v="5"/>
    <x v="14"/>
    <x v="1"/>
    <x v="3"/>
    <x v="213"/>
  </r>
  <r>
    <x v="766"/>
    <x v="198"/>
    <x v="13"/>
    <x v="84"/>
    <x v="186"/>
    <x v="186"/>
    <x v="2"/>
    <x v="258"/>
    <x v="1358"/>
    <x v="710"/>
    <x v="778"/>
    <x v="0"/>
    <x v="1201"/>
    <x v="3"/>
    <x v="5"/>
    <x v="5"/>
    <x v="1"/>
    <x v="4"/>
    <x v="213"/>
  </r>
  <r>
    <x v="767"/>
    <x v="3"/>
    <x v="39"/>
    <x v="6"/>
    <x v="79"/>
    <x v="77"/>
    <x v="3"/>
    <x v="486"/>
    <x v="316"/>
    <x v="1189"/>
    <x v="1208"/>
    <x v="692"/>
    <x v="771"/>
    <x v="2"/>
    <x v="5"/>
    <x v="5"/>
    <x v="0"/>
    <x v="5"/>
    <x v="78"/>
  </r>
  <r>
    <x v="768"/>
    <x v="90"/>
    <x v="1"/>
    <x v="83"/>
    <x v="20"/>
    <x v="16"/>
    <x v="2"/>
    <x v="606"/>
    <x v="315"/>
    <x v="233"/>
    <x v="202"/>
    <x v="130"/>
    <x v="10"/>
    <x v="2"/>
    <x v="5"/>
    <x v="2"/>
    <x v="2"/>
    <x v="0"/>
    <x v="17"/>
  </r>
  <r>
    <x v="769"/>
    <x v="68"/>
    <x v="21"/>
    <x v="23"/>
    <x v="27"/>
    <x v="24"/>
    <x v="1"/>
    <x v="259"/>
    <x v="923"/>
    <x v="1422"/>
    <x v="1344"/>
    <x v="757"/>
    <x v="827"/>
    <x v="2"/>
    <x v="5"/>
    <x v="7"/>
    <x v="0"/>
    <x v="4"/>
    <x v="29"/>
  </r>
  <r>
    <x v="770"/>
    <x v="169"/>
    <x v="28"/>
    <x v="96"/>
    <x v="112"/>
    <x v="110"/>
    <x v="1"/>
    <x v="431"/>
    <x v="674"/>
    <x v="268"/>
    <x v="260"/>
    <x v="132"/>
    <x v="328"/>
    <x v="2"/>
    <x v="5"/>
    <x v="1"/>
    <x v="0"/>
    <x v="5"/>
    <x v="106"/>
  </r>
  <r>
    <x v="771"/>
    <x v="2"/>
    <x v="20"/>
    <x v="49"/>
    <x v="19"/>
    <x v="15"/>
    <x v="3"/>
    <x v="19"/>
    <x v="974"/>
    <x v="517"/>
    <x v="466"/>
    <x v="299"/>
    <x v="36"/>
    <x v="2"/>
    <x v="5"/>
    <x v="0"/>
    <x v="0"/>
    <x v="6"/>
    <x v="14"/>
  </r>
  <r>
    <x v="772"/>
    <x v="48"/>
    <x v="43"/>
    <x v="19"/>
    <x v="53"/>
    <x v="48"/>
    <x v="3"/>
    <x v="474"/>
    <x v="470"/>
    <x v="266"/>
    <x v="238"/>
    <x v="0"/>
    <x v="916"/>
    <x v="3"/>
    <x v="5"/>
    <x v="8"/>
    <x v="2"/>
    <x v="4"/>
    <x v="213"/>
  </r>
  <r>
    <x v="773"/>
    <x v="156"/>
    <x v="18"/>
    <x v="13"/>
    <x v="198"/>
    <x v="197"/>
    <x v="3"/>
    <x v="566"/>
    <x v="478"/>
    <x v="1210"/>
    <x v="1205"/>
    <x v="720"/>
    <x v="590"/>
    <x v="2"/>
    <x v="5"/>
    <x v="1"/>
    <x v="1"/>
    <x v="5"/>
    <x v="192"/>
  </r>
  <r>
    <x v="774"/>
    <x v="276"/>
    <x v="24"/>
    <x v="57"/>
    <x v="42"/>
    <x v="42"/>
    <x v="1"/>
    <x v="555"/>
    <x v="177"/>
    <x v="888"/>
    <x v="1087"/>
    <x v="708"/>
    <x v="163"/>
    <x v="2"/>
    <x v="5"/>
    <x v="7"/>
    <x v="2"/>
    <x v="6"/>
    <x v="43"/>
  </r>
  <r>
    <x v="775"/>
    <x v="30"/>
    <x v="30"/>
    <x v="84"/>
    <x v="94"/>
    <x v="93"/>
    <x v="1"/>
    <x v="706"/>
    <x v="1320"/>
    <x v="1217"/>
    <x v="1093"/>
    <x v="635"/>
    <x v="727"/>
    <x v="2"/>
    <x v="5"/>
    <x v="5"/>
    <x v="0"/>
    <x v="4"/>
    <x v="92"/>
  </r>
  <r>
    <x v="776"/>
    <x v="100"/>
    <x v="18"/>
    <x v="41"/>
    <x v="169"/>
    <x v="167"/>
    <x v="0"/>
    <x v="371"/>
    <x v="528"/>
    <x v="819"/>
    <x v="916"/>
    <x v="0"/>
    <x v="1251"/>
    <x v="1"/>
    <x v="4"/>
    <x v="6"/>
    <x v="2"/>
    <x v="4"/>
    <x v="213"/>
  </r>
  <r>
    <x v="777"/>
    <x v="195"/>
    <x v="19"/>
    <x v="63"/>
    <x v="112"/>
    <x v="109"/>
    <x v="3"/>
    <x v="642"/>
    <x v="155"/>
    <x v="110"/>
    <x v="83"/>
    <x v="39"/>
    <x v="187"/>
    <x v="2"/>
    <x v="5"/>
    <x v="7"/>
    <x v="1"/>
    <x v="1"/>
    <x v="112"/>
  </r>
  <r>
    <x v="778"/>
    <x v="24"/>
    <x v="34"/>
    <x v="3"/>
    <x v="11"/>
    <x v="10"/>
    <x v="1"/>
    <x v="253"/>
    <x v="993"/>
    <x v="429"/>
    <x v="455"/>
    <x v="0"/>
    <x v="1071"/>
    <x v="1"/>
    <x v="1"/>
    <x v="2"/>
    <x v="0"/>
    <x v="3"/>
    <x v="213"/>
  </r>
  <r>
    <x v="779"/>
    <x v="185"/>
    <x v="43"/>
    <x v="89"/>
    <x v="137"/>
    <x v="137"/>
    <x v="1"/>
    <x v="179"/>
    <x v="264"/>
    <x v="1012"/>
    <x v="1008"/>
    <x v="0"/>
    <x v="1289"/>
    <x v="1"/>
    <x v="4"/>
    <x v="2"/>
    <x v="2"/>
    <x v="6"/>
    <x v="213"/>
  </r>
  <r>
    <x v="780"/>
    <x v="23"/>
    <x v="24"/>
    <x v="26"/>
    <x v="61"/>
    <x v="56"/>
    <x v="1"/>
    <x v="242"/>
    <x v="15"/>
    <x v="1055"/>
    <x v="1079"/>
    <x v="649"/>
    <x v="599"/>
    <x v="2"/>
    <x v="5"/>
    <x v="0"/>
    <x v="0"/>
    <x v="4"/>
    <x v="55"/>
  </r>
  <r>
    <x v="781"/>
    <x v="201"/>
    <x v="2"/>
    <x v="19"/>
    <x v="210"/>
    <x v="208"/>
    <x v="0"/>
    <x v="496"/>
    <x v="639"/>
    <x v="1477"/>
    <x v="1489"/>
    <x v="0"/>
    <x v="1494"/>
    <x v="0"/>
    <x v="5"/>
    <x v="5"/>
    <x v="1"/>
    <x v="4"/>
    <x v="213"/>
  </r>
  <r>
    <x v="782"/>
    <x v="102"/>
    <x v="41"/>
    <x v="94"/>
    <x v="69"/>
    <x v="66"/>
    <x v="3"/>
    <x v="338"/>
    <x v="30"/>
    <x v="1052"/>
    <x v="1228"/>
    <x v="0"/>
    <x v="1387"/>
    <x v="3"/>
    <x v="5"/>
    <x v="7"/>
    <x v="2"/>
    <x v="1"/>
    <x v="213"/>
  </r>
  <r>
    <x v="783"/>
    <x v="198"/>
    <x v="2"/>
    <x v="89"/>
    <x v="108"/>
    <x v="105"/>
    <x v="2"/>
    <x v="102"/>
    <x v="586"/>
    <x v="1351"/>
    <x v="1437"/>
    <x v="825"/>
    <x v="812"/>
    <x v="2"/>
    <x v="5"/>
    <x v="0"/>
    <x v="0"/>
    <x v="4"/>
    <x v="101"/>
  </r>
  <r>
    <x v="784"/>
    <x v="129"/>
    <x v="43"/>
    <x v="91"/>
    <x v="29"/>
    <x v="29"/>
    <x v="2"/>
    <x v="237"/>
    <x v="1353"/>
    <x v="1174"/>
    <x v="998"/>
    <x v="604"/>
    <x v="602"/>
    <x v="2"/>
    <x v="5"/>
    <x v="2"/>
    <x v="2"/>
    <x v="3"/>
    <x v="26"/>
  </r>
  <r>
    <x v="785"/>
    <x v="280"/>
    <x v="31"/>
    <x v="25"/>
    <x v="147"/>
    <x v="145"/>
    <x v="0"/>
    <x v="425"/>
    <x v="102"/>
    <x v="168"/>
    <x v="188"/>
    <x v="120"/>
    <x v="47"/>
    <x v="2"/>
    <x v="5"/>
    <x v="1"/>
    <x v="2"/>
    <x v="2"/>
    <x v="141"/>
  </r>
  <r>
    <x v="786"/>
    <x v="121"/>
    <x v="27"/>
    <x v="78"/>
    <x v="27"/>
    <x v="27"/>
    <x v="3"/>
    <x v="362"/>
    <x v="367"/>
    <x v="1242"/>
    <x v="1119"/>
    <x v="696"/>
    <x v="398"/>
    <x v="2"/>
    <x v="5"/>
    <x v="1"/>
    <x v="2"/>
    <x v="5"/>
    <x v="23"/>
  </r>
  <r>
    <x v="787"/>
    <x v="159"/>
    <x v="2"/>
    <x v="72"/>
    <x v="196"/>
    <x v="196"/>
    <x v="1"/>
    <x v="125"/>
    <x v="894"/>
    <x v="730"/>
    <x v="890"/>
    <x v="0"/>
    <x v="1239"/>
    <x v="3"/>
    <x v="5"/>
    <x v="6"/>
    <x v="2"/>
    <x v="6"/>
    <x v="213"/>
  </r>
  <r>
    <x v="788"/>
    <x v="254"/>
    <x v="4"/>
    <x v="28"/>
    <x v="92"/>
    <x v="89"/>
    <x v="0"/>
    <x v="520"/>
    <x v="516"/>
    <x v="955"/>
    <x v="929"/>
    <x v="476"/>
    <x v="817"/>
    <x v="2"/>
    <x v="5"/>
    <x v="4"/>
    <x v="2"/>
    <x v="4"/>
    <x v="90"/>
  </r>
  <r>
    <x v="789"/>
    <x v="281"/>
    <x v="10"/>
    <x v="18"/>
    <x v="187"/>
    <x v="184"/>
    <x v="3"/>
    <x v="43"/>
    <x v="293"/>
    <x v="625"/>
    <x v="725"/>
    <x v="434"/>
    <x v="441"/>
    <x v="2"/>
    <x v="5"/>
    <x v="4"/>
    <x v="1"/>
    <x v="0"/>
    <x v="184"/>
  </r>
  <r>
    <x v="790"/>
    <x v="19"/>
    <x v="9"/>
    <x v="13"/>
    <x v="108"/>
    <x v="104"/>
    <x v="0"/>
    <x v="5"/>
    <x v="986"/>
    <x v="914"/>
    <x v="800"/>
    <x v="530"/>
    <x v="104"/>
    <x v="2"/>
    <x v="5"/>
    <x v="5"/>
    <x v="0"/>
    <x v="5"/>
    <x v="106"/>
  </r>
  <r>
    <x v="791"/>
    <x v="275"/>
    <x v="4"/>
    <x v="2"/>
    <x v="17"/>
    <x v="14"/>
    <x v="2"/>
    <x v="472"/>
    <x v="994"/>
    <x v="169"/>
    <x v="144"/>
    <x v="0"/>
    <x v="756"/>
    <x v="1"/>
    <x v="4"/>
    <x v="0"/>
    <x v="2"/>
    <x v="4"/>
    <x v="213"/>
  </r>
  <r>
    <x v="792"/>
    <x v="228"/>
    <x v="30"/>
    <x v="19"/>
    <x v="160"/>
    <x v="157"/>
    <x v="2"/>
    <x v="440"/>
    <x v="937"/>
    <x v="1105"/>
    <x v="1206"/>
    <x v="721"/>
    <x v="605"/>
    <x v="2"/>
    <x v="5"/>
    <x v="5"/>
    <x v="0"/>
    <x v="6"/>
    <x v="158"/>
  </r>
  <r>
    <x v="793"/>
    <x v="80"/>
    <x v="23"/>
    <x v="94"/>
    <x v="78"/>
    <x v="73"/>
    <x v="1"/>
    <x v="356"/>
    <x v="786"/>
    <x v="1445"/>
    <x v="1359"/>
    <x v="0"/>
    <x v="1445"/>
    <x v="3"/>
    <x v="5"/>
    <x v="7"/>
    <x v="0"/>
    <x v="0"/>
    <x v="213"/>
  </r>
  <r>
    <x v="794"/>
    <x v="62"/>
    <x v="40"/>
    <x v="45"/>
    <x v="120"/>
    <x v="117"/>
    <x v="0"/>
    <x v="334"/>
    <x v="1088"/>
    <x v="796"/>
    <x v="703"/>
    <x v="0"/>
    <x v="1167"/>
    <x v="3"/>
    <x v="5"/>
    <x v="9"/>
    <x v="2"/>
    <x v="2"/>
    <x v="213"/>
  </r>
  <r>
    <x v="795"/>
    <x v="66"/>
    <x v="46"/>
    <x v="67"/>
    <x v="190"/>
    <x v="187"/>
    <x v="0"/>
    <x v="204"/>
    <x v="571"/>
    <x v="550"/>
    <x v="526"/>
    <x v="280"/>
    <x v="519"/>
    <x v="2"/>
    <x v="5"/>
    <x v="6"/>
    <x v="1"/>
    <x v="6"/>
    <x v="189"/>
  </r>
  <r>
    <x v="796"/>
    <x v="276"/>
    <x v="48"/>
    <x v="52"/>
    <x v="146"/>
    <x v="145"/>
    <x v="3"/>
    <x v="534"/>
    <x v="810"/>
    <x v="1075"/>
    <x v="1216"/>
    <x v="0"/>
    <x v="1382"/>
    <x v="1"/>
    <x v="0"/>
    <x v="5"/>
    <x v="0"/>
    <x v="2"/>
    <x v="213"/>
  </r>
  <r>
    <x v="797"/>
    <x v="26"/>
    <x v="12"/>
    <x v="27"/>
    <x v="39"/>
    <x v="36"/>
    <x v="3"/>
    <x v="452"/>
    <x v="409"/>
    <x v="963"/>
    <x v="905"/>
    <x v="592"/>
    <x v="252"/>
    <x v="2"/>
    <x v="5"/>
    <x v="6"/>
    <x v="1"/>
    <x v="2"/>
    <x v="39"/>
  </r>
  <r>
    <x v="798"/>
    <x v="137"/>
    <x v="47"/>
    <x v="87"/>
    <x v="135"/>
    <x v="132"/>
    <x v="0"/>
    <x v="531"/>
    <x v="1031"/>
    <x v="629"/>
    <x v="691"/>
    <x v="384"/>
    <x v="578"/>
    <x v="2"/>
    <x v="5"/>
    <x v="2"/>
    <x v="1"/>
    <x v="1"/>
    <x v="130"/>
  </r>
  <r>
    <x v="799"/>
    <x v="158"/>
    <x v="39"/>
    <x v="97"/>
    <x v="206"/>
    <x v="205"/>
    <x v="1"/>
    <x v="561"/>
    <x v="256"/>
    <x v="440"/>
    <x v="403"/>
    <x v="239"/>
    <x v="211"/>
    <x v="2"/>
    <x v="5"/>
    <x v="7"/>
    <x v="0"/>
    <x v="0"/>
    <x v="205"/>
  </r>
  <r>
    <x v="800"/>
    <x v="178"/>
    <x v="12"/>
    <x v="95"/>
    <x v="5"/>
    <x v="5"/>
    <x v="0"/>
    <x v="178"/>
    <x v="812"/>
    <x v="1297"/>
    <x v="1223"/>
    <x v="0"/>
    <x v="1385"/>
    <x v="1"/>
    <x v="1"/>
    <x v="1"/>
    <x v="0"/>
    <x v="3"/>
    <x v="213"/>
  </r>
  <r>
    <x v="801"/>
    <x v="87"/>
    <x v="18"/>
    <x v="38"/>
    <x v="161"/>
    <x v="159"/>
    <x v="1"/>
    <x v="667"/>
    <x v="425"/>
    <x v="1231"/>
    <x v="1230"/>
    <x v="0"/>
    <x v="1389"/>
    <x v="3"/>
    <x v="5"/>
    <x v="14"/>
    <x v="0"/>
    <x v="6"/>
    <x v="213"/>
  </r>
  <r>
    <x v="802"/>
    <x v="141"/>
    <x v="44"/>
    <x v="31"/>
    <x v="106"/>
    <x v="106"/>
    <x v="1"/>
    <x v="551"/>
    <x v="382"/>
    <x v="913"/>
    <x v="794"/>
    <x v="465"/>
    <x v="503"/>
    <x v="2"/>
    <x v="5"/>
    <x v="7"/>
    <x v="2"/>
    <x v="0"/>
    <x v="106"/>
  </r>
  <r>
    <x v="803"/>
    <x v="181"/>
    <x v="28"/>
    <x v="74"/>
    <x v="193"/>
    <x v="193"/>
    <x v="0"/>
    <x v="371"/>
    <x v="63"/>
    <x v="534"/>
    <x v="519"/>
    <x v="261"/>
    <x v="598"/>
    <x v="2"/>
    <x v="5"/>
    <x v="0"/>
    <x v="2"/>
    <x v="4"/>
    <x v="186"/>
  </r>
  <r>
    <x v="804"/>
    <x v="67"/>
    <x v="39"/>
    <x v="38"/>
    <x v="147"/>
    <x v="145"/>
    <x v="2"/>
    <x v="122"/>
    <x v="292"/>
    <x v="1478"/>
    <x v="1493"/>
    <x v="0"/>
    <x v="1495"/>
    <x v="1"/>
    <x v="3"/>
    <x v="1"/>
    <x v="1"/>
    <x v="6"/>
    <x v="213"/>
  </r>
  <r>
    <x v="805"/>
    <x v="8"/>
    <x v="39"/>
    <x v="75"/>
    <x v="164"/>
    <x v="162"/>
    <x v="2"/>
    <x v="140"/>
    <x v="951"/>
    <x v="1177"/>
    <x v="1321"/>
    <x v="730"/>
    <x v="849"/>
    <x v="2"/>
    <x v="5"/>
    <x v="7"/>
    <x v="2"/>
    <x v="6"/>
    <x v="164"/>
  </r>
  <r>
    <x v="806"/>
    <x v="83"/>
    <x v="3"/>
    <x v="83"/>
    <x v="133"/>
    <x v="131"/>
    <x v="0"/>
    <x v="580"/>
    <x v="808"/>
    <x v="1356"/>
    <x v="1132"/>
    <x v="0"/>
    <x v="1340"/>
    <x v="0"/>
    <x v="5"/>
    <x v="5"/>
    <x v="2"/>
    <x v="2"/>
    <x v="213"/>
  </r>
  <r>
    <x v="807"/>
    <x v="167"/>
    <x v="35"/>
    <x v="4"/>
    <x v="112"/>
    <x v="110"/>
    <x v="0"/>
    <x v="728"/>
    <x v="32"/>
    <x v="1113"/>
    <x v="1238"/>
    <x v="713"/>
    <x v="746"/>
    <x v="2"/>
    <x v="5"/>
    <x v="1"/>
    <x v="1"/>
    <x v="5"/>
    <x v="106"/>
  </r>
  <r>
    <x v="808"/>
    <x v="188"/>
    <x v="21"/>
    <x v="46"/>
    <x v="6"/>
    <x v="4"/>
    <x v="2"/>
    <x v="335"/>
    <x v="896"/>
    <x v="1357"/>
    <x v="1303"/>
    <x v="670"/>
    <x v="980"/>
    <x v="2"/>
    <x v="5"/>
    <x v="4"/>
    <x v="0"/>
    <x v="3"/>
    <x v="6"/>
  </r>
  <r>
    <x v="809"/>
    <x v="160"/>
    <x v="32"/>
    <x v="14"/>
    <x v="186"/>
    <x v="184"/>
    <x v="1"/>
    <x v="676"/>
    <x v="335"/>
    <x v="709"/>
    <x v="638"/>
    <x v="420"/>
    <x v="109"/>
    <x v="2"/>
    <x v="5"/>
    <x v="1"/>
    <x v="0"/>
    <x v="6"/>
    <x v="180"/>
  </r>
  <r>
    <x v="810"/>
    <x v="4"/>
    <x v="46"/>
    <x v="1"/>
    <x v="20"/>
    <x v="19"/>
    <x v="3"/>
    <x v="727"/>
    <x v="193"/>
    <x v="220"/>
    <x v="255"/>
    <x v="155"/>
    <x v="115"/>
    <x v="2"/>
    <x v="5"/>
    <x v="1"/>
    <x v="0"/>
    <x v="5"/>
    <x v="16"/>
  </r>
  <r>
    <x v="811"/>
    <x v="60"/>
    <x v="3"/>
    <x v="90"/>
    <x v="163"/>
    <x v="160"/>
    <x v="0"/>
    <x v="167"/>
    <x v="221"/>
    <x v="460"/>
    <x v="498"/>
    <x v="0"/>
    <x v="1088"/>
    <x v="3"/>
    <x v="5"/>
    <x v="12"/>
    <x v="0"/>
    <x v="0"/>
    <x v="213"/>
  </r>
  <r>
    <x v="812"/>
    <x v="194"/>
    <x v="20"/>
    <x v="80"/>
    <x v="183"/>
    <x v="183"/>
    <x v="0"/>
    <x v="392"/>
    <x v="525"/>
    <x v="1176"/>
    <x v="1076"/>
    <x v="537"/>
    <x v="915"/>
    <x v="2"/>
    <x v="5"/>
    <x v="1"/>
    <x v="1"/>
    <x v="2"/>
    <x v="177"/>
  </r>
  <r>
    <x v="813"/>
    <x v="222"/>
    <x v="11"/>
    <x v="64"/>
    <x v="159"/>
    <x v="154"/>
    <x v="1"/>
    <x v="62"/>
    <x v="466"/>
    <x v="402"/>
    <x v="436"/>
    <x v="268"/>
    <x v="123"/>
    <x v="2"/>
    <x v="5"/>
    <x v="0"/>
    <x v="0"/>
    <x v="3"/>
    <x v="152"/>
  </r>
  <r>
    <x v="814"/>
    <x v="93"/>
    <x v="20"/>
    <x v="96"/>
    <x v="40"/>
    <x v="36"/>
    <x v="0"/>
    <x v="134"/>
    <x v="1013"/>
    <x v="278"/>
    <x v="237"/>
    <x v="142"/>
    <x v="116"/>
    <x v="2"/>
    <x v="5"/>
    <x v="3"/>
    <x v="1"/>
    <x v="1"/>
    <x v="37"/>
  </r>
  <r>
    <x v="815"/>
    <x v="126"/>
    <x v="22"/>
    <x v="94"/>
    <x v="153"/>
    <x v="151"/>
    <x v="0"/>
    <x v="435"/>
    <x v="23"/>
    <x v="734"/>
    <x v="674"/>
    <x v="0"/>
    <x v="1159"/>
    <x v="3"/>
    <x v="5"/>
    <x v="9"/>
    <x v="1"/>
    <x v="4"/>
    <x v="213"/>
  </r>
  <r>
    <x v="816"/>
    <x v="216"/>
    <x v="5"/>
    <x v="86"/>
    <x v="66"/>
    <x v="64"/>
    <x v="2"/>
    <x v="9"/>
    <x v="238"/>
    <x v="86"/>
    <x v="65"/>
    <x v="0"/>
    <x v="509"/>
    <x v="1"/>
    <x v="2"/>
    <x v="5"/>
    <x v="2"/>
    <x v="5"/>
    <x v="213"/>
  </r>
  <r>
    <x v="817"/>
    <x v="132"/>
    <x v="46"/>
    <x v="40"/>
    <x v="199"/>
    <x v="197"/>
    <x v="2"/>
    <x v="296"/>
    <x v="1237"/>
    <x v="894"/>
    <x v="1077"/>
    <x v="0"/>
    <x v="1313"/>
    <x v="3"/>
    <x v="5"/>
    <x v="12"/>
    <x v="2"/>
    <x v="2"/>
    <x v="213"/>
  </r>
  <r>
    <x v="818"/>
    <x v="176"/>
    <x v="26"/>
    <x v="59"/>
    <x v="79"/>
    <x v="76"/>
    <x v="2"/>
    <x v="270"/>
    <x v="1036"/>
    <x v="1498"/>
    <x v="1325"/>
    <x v="770"/>
    <x v="666"/>
    <x v="2"/>
    <x v="5"/>
    <x v="0"/>
    <x v="2"/>
    <x v="1"/>
    <x v="73"/>
  </r>
  <r>
    <x v="819"/>
    <x v="159"/>
    <x v="24"/>
    <x v="80"/>
    <x v="121"/>
    <x v="118"/>
    <x v="0"/>
    <x v="330"/>
    <x v="954"/>
    <x v="1089"/>
    <x v="1060"/>
    <x v="703"/>
    <x v="102"/>
    <x v="2"/>
    <x v="5"/>
    <x v="2"/>
    <x v="0"/>
    <x v="2"/>
    <x v="116"/>
  </r>
  <r>
    <x v="820"/>
    <x v="8"/>
    <x v="25"/>
    <x v="60"/>
    <x v="207"/>
    <x v="202"/>
    <x v="0"/>
    <x v="226"/>
    <x v="883"/>
    <x v="216"/>
    <x v="261"/>
    <x v="0"/>
    <x v="950"/>
    <x v="1"/>
    <x v="2"/>
    <x v="3"/>
    <x v="0"/>
    <x v="0"/>
    <x v="213"/>
  </r>
  <r>
    <x v="821"/>
    <x v="245"/>
    <x v="38"/>
    <x v="92"/>
    <x v="130"/>
    <x v="127"/>
    <x v="2"/>
    <x v="357"/>
    <x v="1113"/>
    <x v="1233"/>
    <x v="1373"/>
    <x v="752"/>
    <x v="917"/>
    <x v="2"/>
    <x v="5"/>
    <x v="3"/>
    <x v="0"/>
    <x v="2"/>
    <x v="126"/>
  </r>
  <r>
    <x v="822"/>
    <x v="70"/>
    <x v="15"/>
    <x v="66"/>
    <x v="170"/>
    <x v="170"/>
    <x v="2"/>
    <x v="668"/>
    <x v="567"/>
    <x v="140"/>
    <x v="174"/>
    <x v="102"/>
    <x v="113"/>
    <x v="2"/>
    <x v="5"/>
    <x v="4"/>
    <x v="2"/>
    <x v="2"/>
    <x v="167"/>
  </r>
  <r>
    <x v="823"/>
    <x v="215"/>
    <x v="39"/>
    <x v="15"/>
    <x v="5"/>
    <x v="3"/>
    <x v="0"/>
    <x v="434"/>
    <x v="739"/>
    <x v="473"/>
    <x v="446"/>
    <x v="0"/>
    <x v="1069"/>
    <x v="3"/>
    <x v="5"/>
    <x v="12"/>
    <x v="2"/>
    <x v="4"/>
    <x v="213"/>
  </r>
  <r>
    <x v="824"/>
    <x v="224"/>
    <x v="23"/>
    <x v="53"/>
    <x v="100"/>
    <x v="95"/>
    <x v="0"/>
    <x v="175"/>
    <x v="855"/>
    <x v="512"/>
    <x v="625"/>
    <x v="0"/>
    <x v="1146"/>
    <x v="1"/>
    <x v="2"/>
    <x v="1"/>
    <x v="1"/>
    <x v="6"/>
    <x v="213"/>
  </r>
  <r>
    <x v="825"/>
    <x v="166"/>
    <x v="44"/>
    <x v="24"/>
    <x v="85"/>
    <x v="80"/>
    <x v="0"/>
    <x v="267"/>
    <x v="598"/>
    <x v="1458"/>
    <x v="1474"/>
    <x v="0"/>
    <x v="1490"/>
    <x v="1"/>
    <x v="4"/>
    <x v="5"/>
    <x v="1"/>
    <x v="5"/>
    <x v="213"/>
  </r>
  <r>
    <x v="826"/>
    <x v="257"/>
    <x v="6"/>
    <x v="49"/>
    <x v="157"/>
    <x v="156"/>
    <x v="0"/>
    <x v="517"/>
    <x v="844"/>
    <x v="356"/>
    <x v="371"/>
    <x v="0"/>
    <x v="1035"/>
    <x v="1"/>
    <x v="1"/>
    <x v="0"/>
    <x v="0"/>
    <x v="5"/>
    <x v="213"/>
  </r>
  <r>
    <x v="827"/>
    <x v="34"/>
    <x v="28"/>
    <x v="49"/>
    <x v="128"/>
    <x v="125"/>
    <x v="0"/>
    <x v="659"/>
    <x v="726"/>
    <x v="1341"/>
    <x v="1459"/>
    <x v="0"/>
    <x v="1484"/>
    <x v="3"/>
    <x v="5"/>
    <x v="7"/>
    <x v="1"/>
    <x v="6"/>
    <x v="213"/>
  </r>
  <r>
    <x v="828"/>
    <x v="283"/>
    <x v="9"/>
    <x v="34"/>
    <x v="93"/>
    <x v="93"/>
    <x v="3"/>
    <x v="399"/>
    <x v="829"/>
    <x v="322"/>
    <x v="268"/>
    <x v="139"/>
    <x v="288"/>
    <x v="2"/>
    <x v="5"/>
    <x v="7"/>
    <x v="1"/>
    <x v="5"/>
    <x v="93"/>
  </r>
  <r>
    <x v="829"/>
    <x v="97"/>
    <x v="33"/>
    <x v="64"/>
    <x v="56"/>
    <x v="51"/>
    <x v="3"/>
    <x v="207"/>
    <x v="979"/>
    <x v="1389"/>
    <x v="1397"/>
    <x v="769"/>
    <x v="913"/>
    <x v="2"/>
    <x v="5"/>
    <x v="0"/>
    <x v="2"/>
    <x v="4"/>
    <x v="50"/>
  </r>
  <r>
    <x v="830"/>
    <x v="39"/>
    <x v="23"/>
    <x v="59"/>
    <x v="209"/>
    <x v="209"/>
    <x v="0"/>
    <x v="370"/>
    <x v="987"/>
    <x v="298"/>
    <x v="279"/>
    <x v="128"/>
    <x v="425"/>
    <x v="2"/>
    <x v="5"/>
    <x v="6"/>
    <x v="1"/>
    <x v="6"/>
    <x v="207"/>
  </r>
  <r>
    <x v="831"/>
    <x v="228"/>
    <x v="18"/>
    <x v="20"/>
    <x v="155"/>
    <x v="152"/>
    <x v="0"/>
    <x v="268"/>
    <x v="56"/>
    <x v="143"/>
    <x v="136"/>
    <x v="0"/>
    <x v="726"/>
    <x v="1"/>
    <x v="3"/>
    <x v="4"/>
    <x v="0"/>
    <x v="0"/>
    <x v="213"/>
  </r>
  <r>
    <x v="832"/>
    <x v="218"/>
    <x v="41"/>
    <x v="41"/>
    <x v="87"/>
    <x v="83"/>
    <x v="2"/>
    <x v="149"/>
    <x v="857"/>
    <x v="204"/>
    <x v="236"/>
    <x v="121"/>
    <x v="260"/>
    <x v="2"/>
    <x v="5"/>
    <x v="0"/>
    <x v="1"/>
    <x v="1"/>
    <x v="81"/>
  </r>
  <r>
    <x v="833"/>
    <x v="257"/>
    <x v="3"/>
    <x v="92"/>
    <x v="194"/>
    <x v="194"/>
    <x v="0"/>
    <x v="408"/>
    <x v="171"/>
    <x v="450"/>
    <x v="503"/>
    <x v="0"/>
    <x v="1091"/>
    <x v="3"/>
    <x v="5"/>
    <x v="3"/>
    <x v="0"/>
    <x v="6"/>
    <x v="213"/>
  </r>
  <r>
    <x v="834"/>
    <x v="169"/>
    <x v="5"/>
    <x v="52"/>
    <x v="38"/>
    <x v="38"/>
    <x v="3"/>
    <x v="625"/>
    <x v="192"/>
    <x v="1410"/>
    <x v="1274"/>
    <x v="772"/>
    <x v="453"/>
    <x v="2"/>
    <x v="5"/>
    <x v="5"/>
    <x v="2"/>
    <x v="2"/>
    <x v="37"/>
  </r>
  <r>
    <x v="835"/>
    <x v="104"/>
    <x v="28"/>
    <x v="20"/>
    <x v="139"/>
    <x v="139"/>
    <x v="1"/>
    <x v="635"/>
    <x v="683"/>
    <x v="952"/>
    <x v="927"/>
    <x v="475"/>
    <x v="814"/>
    <x v="2"/>
    <x v="5"/>
    <x v="1"/>
    <x v="0"/>
    <x v="6"/>
    <x v="133"/>
  </r>
  <r>
    <x v="836"/>
    <x v="113"/>
    <x v="30"/>
    <x v="5"/>
    <x v="19"/>
    <x v="14"/>
    <x v="1"/>
    <x v="182"/>
    <x v="607"/>
    <x v="33"/>
    <x v="36"/>
    <x v="0"/>
    <x v="326"/>
    <x v="3"/>
    <x v="5"/>
    <x v="14"/>
    <x v="0"/>
    <x v="1"/>
    <x v="213"/>
  </r>
  <r>
    <x v="837"/>
    <x v="248"/>
    <x v="1"/>
    <x v="85"/>
    <x v="39"/>
    <x v="35"/>
    <x v="2"/>
    <x v="451"/>
    <x v="185"/>
    <x v="548"/>
    <x v="584"/>
    <x v="316"/>
    <x v="513"/>
    <x v="2"/>
    <x v="5"/>
    <x v="4"/>
    <x v="0"/>
    <x v="6"/>
    <x v="37"/>
  </r>
  <r>
    <x v="838"/>
    <x v="256"/>
    <x v="10"/>
    <x v="50"/>
    <x v="150"/>
    <x v="150"/>
    <x v="0"/>
    <x v="124"/>
    <x v="1352"/>
    <x v="850"/>
    <x v="686"/>
    <x v="421"/>
    <x v="324"/>
    <x v="2"/>
    <x v="5"/>
    <x v="5"/>
    <x v="0"/>
    <x v="4"/>
    <x v="148"/>
  </r>
  <r>
    <x v="839"/>
    <x v="129"/>
    <x v="21"/>
    <x v="25"/>
    <x v="194"/>
    <x v="190"/>
    <x v="3"/>
    <x v="217"/>
    <x v="1010"/>
    <x v="814"/>
    <x v="828"/>
    <x v="426"/>
    <x v="767"/>
    <x v="2"/>
    <x v="5"/>
    <x v="3"/>
    <x v="0"/>
    <x v="4"/>
    <x v="190"/>
  </r>
  <r>
    <x v="840"/>
    <x v="102"/>
    <x v="11"/>
    <x v="14"/>
    <x v="76"/>
    <x v="73"/>
    <x v="1"/>
    <x v="321"/>
    <x v="280"/>
    <x v="886"/>
    <x v="965"/>
    <x v="564"/>
    <x v="609"/>
    <x v="2"/>
    <x v="5"/>
    <x v="6"/>
    <x v="1"/>
    <x v="1"/>
    <x v="76"/>
  </r>
  <r>
    <x v="841"/>
    <x v="152"/>
    <x v="23"/>
    <x v="59"/>
    <x v="53"/>
    <x v="52"/>
    <x v="1"/>
    <x v="538"/>
    <x v="601"/>
    <x v="1083"/>
    <x v="1026"/>
    <x v="0"/>
    <x v="1294"/>
    <x v="1"/>
    <x v="4"/>
    <x v="3"/>
    <x v="1"/>
    <x v="1"/>
    <x v="213"/>
  </r>
  <r>
    <x v="842"/>
    <x v="103"/>
    <x v="31"/>
    <x v="92"/>
    <x v="65"/>
    <x v="64"/>
    <x v="2"/>
    <x v="597"/>
    <x v="858"/>
    <x v="436"/>
    <x v="393"/>
    <x v="203"/>
    <x v="487"/>
    <x v="2"/>
    <x v="5"/>
    <x v="5"/>
    <x v="2"/>
    <x v="2"/>
    <x v="64"/>
  </r>
  <r>
    <x v="843"/>
    <x v="52"/>
    <x v="0"/>
    <x v="3"/>
    <x v="155"/>
    <x v="154"/>
    <x v="1"/>
    <x v="714"/>
    <x v="35"/>
    <x v="694"/>
    <x v="722"/>
    <x v="0"/>
    <x v="1179"/>
    <x v="1"/>
    <x v="2"/>
    <x v="3"/>
    <x v="2"/>
    <x v="0"/>
    <x v="213"/>
  </r>
  <r>
    <x v="844"/>
    <x v="95"/>
    <x v="27"/>
    <x v="94"/>
    <x v="80"/>
    <x v="77"/>
    <x v="3"/>
    <x v="58"/>
    <x v="734"/>
    <x v="826"/>
    <x v="717"/>
    <x v="343"/>
    <x v="765"/>
    <x v="2"/>
    <x v="5"/>
    <x v="3"/>
    <x v="2"/>
    <x v="4"/>
    <x v="77"/>
  </r>
  <r>
    <x v="845"/>
    <x v="102"/>
    <x v="7"/>
    <x v="81"/>
    <x v="7"/>
    <x v="5"/>
    <x v="1"/>
    <x v="392"/>
    <x v="461"/>
    <x v="1348"/>
    <x v="1249"/>
    <x v="0"/>
    <x v="1397"/>
    <x v="1"/>
    <x v="0"/>
    <x v="4"/>
    <x v="0"/>
    <x v="0"/>
    <x v="213"/>
  </r>
  <r>
    <x v="846"/>
    <x v="11"/>
    <x v="44"/>
    <x v="72"/>
    <x v="27"/>
    <x v="22"/>
    <x v="2"/>
    <x v="48"/>
    <x v="399"/>
    <x v="1298"/>
    <x v="1337"/>
    <x v="776"/>
    <x v="699"/>
    <x v="2"/>
    <x v="5"/>
    <x v="4"/>
    <x v="0"/>
    <x v="0"/>
    <x v="26"/>
  </r>
  <r>
    <x v="847"/>
    <x v="6"/>
    <x v="36"/>
    <x v="5"/>
    <x v="106"/>
    <x v="101"/>
    <x v="1"/>
    <x v="641"/>
    <x v="737"/>
    <x v="44"/>
    <x v="45"/>
    <x v="23"/>
    <x v="72"/>
    <x v="2"/>
    <x v="5"/>
    <x v="2"/>
    <x v="1"/>
    <x v="3"/>
    <x v="101"/>
  </r>
  <r>
    <x v="848"/>
    <x v="118"/>
    <x v="44"/>
    <x v="57"/>
    <x v="187"/>
    <x v="184"/>
    <x v="1"/>
    <x v="540"/>
    <x v="130"/>
    <x v="379"/>
    <x v="402"/>
    <x v="256"/>
    <x v="30"/>
    <x v="2"/>
    <x v="5"/>
    <x v="3"/>
    <x v="1"/>
    <x v="1"/>
    <x v="183"/>
  </r>
  <r>
    <x v="849"/>
    <x v="144"/>
    <x v="23"/>
    <x v="11"/>
    <x v="115"/>
    <x v="111"/>
    <x v="3"/>
    <x v="379"/>
    <x v="1215"/>
    <x v="707"/>
    <x v="629"/>
    <x v="0"/>
    <x v="1147"/>
    <x v="0"/>
    <x v="5"/>
    <x v="0"/>
    <x v="1"/>
    <x v="6"/>
    <x v="213"/>
  </r>
  <r>
    <x v="850"/>
    <x v="204"/>
    <x v="11"/>
    <x v="74"/>
    <x v="100"/>
    <x v="95"/>
    <x v="2"/>
    <x v="308"/>
    <x v="1199"/>
    <x v="1071"/>
    <x v="1123"/>
    <x v="0"/>
    <x v="1337"/>
    <x v="1"/>
    <x v="1"/>
    <x v="5"/>
    <x v="2"/>
    <x v="1"/>
    <x v="213"/>
  </r>
  <r>
    <x v="851"/>
    <x v="217"/>
    <x v="5"/>
    <x v="77"/>
    <x v="75"/>
    <x v="74"/>
    <x v="3"/>
    <x v="110"/>
    <x v="872"/>
    <x v="1119"/>
    <x v="1143"/>
    <x v="0"/>
    <x v="1345"/>
    <x v="1"/>
    <x v="1"/>
    <x v="6"/>
    <x v="2"/>
    <x v="4"/>
    <x v="213"/>
  </r>
  <r>
    <x v="852"/>
    <x v="255"/>
    <x v="40"/>
    <x v="18"/>
    <x v="122"/>
    <x v="119"/>
    <x v="3"/>
    <x v="444"/>
    <x v="424"/>
    <x v="1279"/>
    <x v="1146"/>
    <x v="0"/>
    <x v="1346"/>
    <x v="1"/>
    <x v="1"/>
    <x v="0"/>
    <x v="1"/>
    <x v="6"/>
    <x v="213"/>
  </r>
  <r>
    <x v="853"/>
    <x v="274"/>
    <x v="2"/>
    <x v="66"/>
    <x v="209"/>
    <x v="208"/>
    <x v="1"/>
    <x v="476"/>
    <x v="12"/>
    <x v="559"/>
    <x v="639"/>
    <x v="0"/>
    <x v="1150"/>
    <x v="1"/>
    <x v="4"/>
    <x v="1"/>
    <x v="2"/>
    <x v="5"/>
    <x v="213"/>
  </r>
  <r>
    <x v="854"/>
    <x v="57"/>
    <x v="20"/>
    <x v="93"/>
    <x v="171"/>
    <x v="170"/>
    <x v="3"/>
    <x v="449"/>
    <x v="1014"/>
    <x v="1011"/>
    <x v="1157"/>
    <x v="0"/>
    <x v="1352"/>
    <x v="3"/>
    <x v="5"/>
    <x v="10"/>
    <x v="1"/>
    <x v="4"/>
    <x v="213"/>
  </r>
  <r>
    <x v="855"/>
    <x v="113"/>
    <x v="40"/>
    <x v="82"/>
    <x v="212"/>
    <x v="209"/>
    <x v="2"/>
    <x v="127"/>
    <x v="500"/>
    <x v="488"/>
    <x v="483"/>
    <x v="293"/>
    <x v="228"/>
    <x v="2"/>
    <x v="5"/>
    <x v="1"/>
    <x v="1"/>
    <x v="0"/>
    <x v="205"/>
  </r>
  <r>
    <x v="856"/>
    <x v="203"/>
    <x v="19"/>
    <x v="26"/>
    <x v="207"/>
    <x v="203"/>
    <x v="1"/>
    <x v="679"/>
    <x v="507"/>
    <x v="719"/>
    <x v="854"/>
    <x v="0"/>
    <x v="1230"/>
    <x v="1"/>
    <x v="3"/>
    <x v="4"/>
    <x v="0"/>
    <x v="0"/>
    <x v="213"/>
  </r>
  <r>
    <x v="857"/>
    <x v="227"/>
    <x v="7"/>
    <x v="54"/>
    <x v="9"/>
    <x v="7"/>
    <x v="3"/>
    <x v="549"/>
    <x v="1035"/>
    <x v="269"/>
    <x v="306"/>
    <x v="144"/>
    <x v="438"/>
    <x v="2"/>
    <x v="5"/>
    <x v="4"/>
    <x v="0"/>
    <x v="4"/>
    <x v="9"/>
  </r>
  <r>
    <x v="858"/>
    <x v="21"/>
    <x v="43"/>
    <x v="62"/>
    <x v="154"/>
    <x v="152"/>
    <x v="1"/>
    <x v="410"/>
    <x v="839"/>
    <x v="523"/>
    <x v="493"/>
    <x v="290"/>
    <x v="314"/>
    <x v="2"/>
    <x v="5"/>
    <x v="7"/>
    <x v="2"/>
    <x v="0"/>
    <x v="154"/>
  </r>
  <r>
    <x v="859"/>
    <x v="175"/>
    <x v="43"/>
    <x v="62"/>
    <x v="70"/>
    <x v="65"/>
    <x v="1"/>
    <x v="314"/>
    <x v="111"/>
    <x v="1187"/>
    <x v="1318"/>
    <x v="800"/>
    <x v="443"/>
    <x v="2"/>
    <x v="5"/>
    <x v="6"/>
    <x v="2"/>
    <x v="1"/>
    <x v="70"/>
  </r>
  <r>
    <x v="860"/>
    <x v="228"/>
    <x v="24"/>
    <x v="95"/>
    <x v="25"/>
    <x v="22"/>
    <x v="3"/>
    <x v="201"/>
    <x v="1205"/>
    <x v="125"/>
    <x v="112"/>
    <x v="74"/>
    <x v="44"/>
    <x v="2"/>
    <x v="5"/>
    <x v="1"/>
    <x v="0"/>
    <x v="3"/>
    <x v="21"/>
  </r>
  <r>
    <x v="861"/>
    <x v="5"/>
    <x v="43"/>
    <x v="16"/>
    <x v="83"/>
    <x v="79"/>
    <x v="1"/>
    <x v="417"/>
    <x v="1139"/>
    <x v="1266"/>
    <x v="1164"/>
    <x v="0"/>
    <x v="1355"/>
    <x v="1"/>
    <x v="2"/>
    <x v="6"/>
    <x v="0"/>
    <x v="5"/>
    <x v="213"/>
  </r>
  <r>
    <x v="862"/>
    <x v="127"/>
    <x v="37"/>
    <x v="15"/>
    <x v="49"/>
    <x v="46"/>
    <x v="2"/>
    <x v="145"/>
    <x v="1160"/>
    <x v="822"/>
    <x v="949"/>
    <x v="560"/>
    <x v="576"/>
    <x v="2"/>
    <x v="5"/>
    <x v="0"/>
    <x v="2"/>
    <x v="1"/>
    <x v="43"/>
  </r>
  <r>
    <x v="863"/>
    <x v="99"/>
    <x v="30"/>
    <x v="62"/>
    <x v="41"/>
    <x v="41"/>
    <x v="0"/>
    <x v="4"/>
    <x v="999"/>
    <x v="463"/>
    <x v="396"/>
    <x v="207"/>
    <x v="504"/>
    <x v="2"/>
    <x v="5"/>
    <x v="1"/>
    <x v="1"/>
    <x v="1"/>
    <x v="36"/>
  </r>
  <r>
    <x v="864"/>
    <x v="248"/>
    <x v="14"/>
    <x v="91"/>
    <x v="168"/>
    <x v="167"/>
    <x v="2"/>
    <x v="673"/>
    <x v="302"/>
    <x v="53"/>
    <x v="46"/>
    <x v="0"/>
    <x v="422"/>
    <x v="1"/>
    <x v="4"/>
    <x v="5"/>
    <x v="0"/>
    <x v="6"/>
    <x v="213"/>
  </r>
  <r>
    <x v="865"/>
    <x v="250"/>
    <x v="23"/>
    <x v="89"/>
    <x v="36"/>
    <x v="35"/>
    <x v="2"/>
    <x v="14"/>
    <x v="1327"/>
    <x v="1420"/>
    <x v="1407"/>
    <x v="0"/>
    <x v="1463"/>
    <x v="3"/>
    <x v="5"/>
    <x v="10"/>
    <x v="1"/>
    <x v="3"/>
    <x v="213"/>
  </r>
  <r>
    <x v="866"/>
    <x v="34"/>
    <x v="4"/>
    <x v="11"/>
    <x v="166"/>
    <x v="162"/>
    <x v="3"/>
    <x v="733"/>
    <x v="928"/>
    <x v="672"/>
    <x v="622"/>
    <x v="358"/>
    <x v="434"/>
    <x v="2"/>
    <x v="5"/>
    <x v="6"/>
    <x v="2"/>
    <x v="2"/>
    <x v="165"/>
  </r>
  <r>
    <x v="867"/>
    <x v="288"/>
    <x v="11"/>
    <x v="85"/>
    <x v="130"/>
    <x v="129"/>
    <x v="0"/>
    <x v="369"/>
    <x v="1384"/>
    <x v="1307"/>
    <x v="1142"/>
    <x v="0"/>
    <x v="1344"/>
    <x v="1"/>
    <x v="2"/>
    <x v="2"/>
    <x v="2"/>
    <x v="5"/>
    <x v="213"/>
  </r>
  <r>
    <x v="868"/>
    <x v="116"/>
    <x v="12"/>
    <x v="18"/>
    <x v="70"/>
    <x v="67"/>
    <x v="3"/>
    <x v="106"/>
    <x v="1006"/>
    <x v="1170"/>
    <x v="1048"/>
    <x v="615"/>
    <x v="709"/>
    <x v="2"/>
    <x v="5"/>
    <x v="0"/>
    <x v="0"/>
    <x v="3"/>
    <x v="64"/>
  </r>
  <r>
    <x v="869"/>
    <x v="68"/>
    <x v="20"/>
    <x v="31"/>
    <x v="19"/>
    <x v="15"/>
    <x v="2"/>
    <x v="666"/>
    <x v="562"/>
    <x v="155"/>
    <x v="170"/>
    <x v="0"/>
    <x v="813"/>
    <x v="1"/>
    <x v="1"/>
    <x v="0"/>
    <x v="0"/>
    <x v="4"/>
    <x v="213"/>
  </r>
  <r>
    <x v="870"/>
    <x v="72"/>
    <x v="42"/>
    <x v="16"/>
    <x v="124"/>
    <x v="121"/>
    <x v="0"/>
    <x v="718"/>
    <x v="186"/>
    <x v="132"/>
    <x v="131"/>
    <x v="79"/>
    <x v="105"/>
    <x v="2"/>
    <x v="5"/>
    <x v="1"/>
    <x v="2"/>
    <x v="5"/>
    <x v="118"/>
  </r>
  <r>
    <x v="871"/>
    <x v="132"/>
    <x v="26"/>
    <x v="7"/>
    <x v="22"/>
    <x v="18"/>
    <x v="2"/>
    <x v="32"/>
    <x v="841"/>
    <x v="923"/>
    <x v="915"/>
    <x v="550"/>
    <x v="484"/>
    <x v="2"/>
    <x v="5"/>
    <x v="3"/>
    <x v="2"/>
    <x v="0"/>
    <x v="20"/>
  </r>
  <r>
    <x v="872"/>
    <x v="63"/>
    <x v="30"/>
    <x v="78"/>
    <x v="54"/>
    <x v="49"/>
    <x v="2"/>
    <x v="536"/>
    <x v="411"/>
    <x v="518"/>
    <x v="524"/>
    <x v="0"/>
    <x v="1102"/>
    <x v="3"/>
    <x v="5"/>
    <x v="6"/>
    <x v="0"/>
    <x v="5"/>
    <x v="213"/>
  </r>
  <r>
    <x v="873"/>
    <x v="72"/>
    <x v="49"/>
    <x v="82"/>
    <x v="135"/>
    <x v="133"/>
    <x v="1"/>
    <x v="306"/>
    <x v="728"/>
    <x v="96"/>
    <x v="106"/>
    <x v="61"/>
    <x v="148"/>
    <x v="2"/>
    <x v="5"/>
    <x v="1"/>
    <x v="2"/>
    <x v="3"/>
    <x v="129"/>
  </r>
  <r>
    <x v="874"/>
    <x v="236"/>
    <x v="32"/>
    <x v="62"/>
    <x v="123"/>
    <x v="118"/>
    <x v="2"/>
    <x v="630"/>
    <x v="352"/>
    <x v="1377"/>
    <x v="1279"/>
    <x v="0"/>
    <x v="1409"/>
    <x v="1"/>
    <x v="1"/>
    <x v="5"/>
    <x v="2"/>
    <x v="3"/>
    <x v="213"/>
  </r>
  <r>
    <x v="875"/>
    <x v="135"/>
    <x v="17"/>
    <x v="36"/>
    <x v="28"/>
    <x v="23"/>
    <x v="0"/>
    <x v="261"/>
    <x v="849"/>
    <x v="478"/>
    <x v="487"/>
    <x v="288"/>
    <x v="304"/>
    <x v="2"/>
    <x v="5"/>
    <x v="4"/>
    <x v="0"/>
    <x v="5"/>
    <x v="27"/>
  </r>
  <r>
    <x v="876"/>
    <x v="140"/>
    <x v="16"/>
    <x v="76"/>
    <x v="50"/>
    <x v="48"/>
    <x v="2"/>
    <x v="556"/>
    <x v="500"/>
    <x v="281"/>
    <x v="263"/>
    <x v="0"/>
    <x v="952"/>
    <x v="0"/>
    <x v="5"/>
    <x v="6"/>
    <x v="1"/>
    <x v="1"/>
    <x v="213"/>
  </r>
  <r>
    <x v="877"/>
    <x v="102"/>
    <x v="29"/>
    <x v="74"/>
    <x v="40"/>
    <x v="35"/>
    <x v="0"/>
    <x v="93"/>
    <x v="771"/>
    <x v="1018"/>
    <x v="982"/>
    <x v="590"/>
    <x v="584"/>
    <x v="2"/>
    <x v="5"/>
    <x v="5"/>
    <x v="1"/>
    <x v="6"/>
    <x v="39"/>
  </r>
  <r>
    <x v="878"/>
    <x v="123"/>
    <x v="25"/>
    <x v="61"/>
    <x v="56"/>
    <x v="52"/>
    <x v="3"/>
    <x v="468"/>
    <x v="1176"/>
    <x v="1234"/>
    <x v="1110"/>
    <x v="0"/>
    <x v="1330"/>
    <x v="1"/>
    <x v="1"/>
    <x v="7"/>
    <x v="1"/>
    <x v="3"/>
    <x v="213"/>
  </r>
  <r>
    <x v="879"/>
    <x v="197"/>
    <x v="0"/>
    <x v="8"/>
    <x v="39"/>
    <x v="37"/>
    <x v="0"/>
    <x v="677"/>
    <x v="668"/>
    <x v="360"/>
    <x v="423"/>
    <x v="0"/>
    <x v="1057"/>
    <x v="3"/>
    <x v="5"/>
    <x v="11"/>
    <x v="2"/>
    <x v="2"/>
    <x v="213"/>
  </r>
  <r>
    <x v="880"/>
    <x v="214"/>
    <x v="40"/>
    <x v="62"/>
    <x v="144"/>
    <x v="140"/>
    <x v="1"/>
    <x v="392"/>
    <x v="1119"/>
    <x v="740"/>
    <x v="719"/>
    <x v="0"/>
    <x v="1177"/>
    <x v="1"/>
    <x v="2"/>
    <x v="4"/>
    <x v="2"/>
    <x v="3"/>
    <x v="213"/>
  </r>
  <r>
    <x v="881"/>
    <x v="140"/>
    <x v="6"/>
    <x v="70"/>
    <x v="31"/>
    <x v="30"/>
    <x v="3"/>
    <x v="101"/>
    <x v="254"/>
    <x v="501"/>
    <x v="574"/>
    <x v="282"/>
    <x v="686"/>
    <x v="2"/>
    <x v="5"/>
    <x v="1"/>
    <x v="1"/>
    <x v="4"/>
    <x v="27"/>
  </r>
  <r>
    <x v="882"/>
    <x v="143"/>
    <x v="27"/>
    <x v="30"/>
    <x v="109"/>
    <x v="108"/>
    <x v="0"/>
    <x v="183"/>
    <x v="702"/>
    <x v="977"/>
    <x v="808"/>
    <x v="410"/>
    <x v="789"/>
    <x v="2"/>
    <x v="5"/>
    <x v="4"/>
    <x v="1"/>
    <x v="3"/>
    <x v="106"/>
  </r>
  <r>
    <x v="883"/>
    <x v="102"/>
    <x v="34"/>
    <x v="78"/>
    <x v="61"/>
    <x v="60"/>
    <x v="1"/>
    <x v="132"/>
    <x v="241"/>
    <x v="851"/>
    <x v="971"/>
    <x v="507"/>
    <x v="825"/>
    <x v="2"/>
    <x v="5"/>
    <x v="6"/>
    <x v="1"/>
    <x v="4"/>
    <x v="61"/>
  </r>
  <r>
    <x v="884"/>
    <x v="121"/>
    <x v="29"/>
    <x v="78"/>
    <x v="159"/>
    <x v="157"/>
    <x v="0"/>
    <x v="144"/>
    <x v="579"/>
    <x v="174"/>
    <x v="156"/>
    <x v="0"/>
    <x v="782"/>
    <x v="1"/>
    <x v="3"/>
    <x v="6"/>
    <x v="2"/>
    <x v="0"/>
    <x v="213"/>
  </r>
  <r>
    <x v="885"/>
    <x v="224"/>
    <x v="13"/>
    <x v="29"/>
    <x v="1"/>
    <x v="0"/>
    <x v="1"/>
    <x v="705"/>
    <x v="224"/>
    <x v="611"/>
    <x v="718"/>
    <x v="0"/>
    <x v="1176"/>
    <x v="3"/>
    <x v="5"/>
    <x v="9"/>
    <x v="2"/>
    <x v="4"/>
    <x v="213"/>
  </r>
  <r>
    <x v="886"/>
    <x v="273"/>
    <x v="48"/>
    <x v="34"/>
    <x v="116"/>
    <x v="113"/>
    <x v="0"/>
    <x v="558"/>
    <x v="1259"/>
    <x v="1335"/>
    <x v="1434"/>
    <x v="848"/>
    <x v="516"/>
    <x v="2"/>
    <x v="5"/>
    <x v="0"/>
    <x v="2"/>
    <x v="1"/>
    <x v="109"/>
  </r>
  <r>
    <x v="887"/>
    <x v="186"/>
    <x v="9"/>
    <x v="90"/>
    <x v="136"/>
    <x v="134"/>
    <x v="1"/>
    <x v="498"/>
    <x v="984"/>
    <x v="723"/>
    <x v="768"/>
    <x v="496"/>
    <x v="226"/>
    <x v="2"/>
    <x v="5"/>
    <x v="3"/>
    <x v="0"/>
    <x v="1"/>
    <x v="132"/>
  </r>
  <r>
    <x v="888"/>
    <x v="190"/>
    <x v="38"/>
    <x v="60"/>
    <x v="104"/>
    <x v="103"/>
    <x v="1"/>
    <x v="568"/>
    <x v="629"/>
    <x v="491"/>
    <x v="463"/>
    <x v="269"/>
    <x v="239"/>
    <x v="2"/>
    <x v="5"/>
    <x v="3"/>
    <x v="1"/>
    <x v="4"/>
    <x v="100"/>
  </r>
  <r>
    <x v="889"/>
    <x v="191"/>
    <x v="1"/>
    <x v="62"/>
    <x v="19"/>
    <x v="16"/>
    <x v="2"/>
    <x v="601"/>
    <x v="1140"/>
    <x v="27"/>
    <x v="30"/>
    <x v="0"/>
    <x v="306"/>
    <x v="3"/>
    <x v="5"/>
    <x v="8"/>
    <x v="2"/>
    <x v="0"/>
    <x v="213"/>
  </r>
  <r>
    <x v="890"/>
    <x v="84"/>
    <x v="14"/>
    <x v="74"/>
    <x v="113"/>
    <x v="111"/>
    <x v="0"/>
    <x v="704"/>
    <x v="104"/>
    <x v="383"/>
    <x v="442"/>
    <x v="226"/>
    <x v="494"/>
    <x v="2"/>
    <x v="5"/>
    <x v="2"/>
    <x v="2"/>
    <x v="3"/>
    <x v="108"/>
  </r>
  <r>
    <x v="891"/>
    <x v="126"/>
    <x v="5"/>
    <x v="67"/>
    <x v="13"/>
    <x v="12"/>
    <x v="3"/>
    <x v="375"/>
    <x v="389"/>
    <x v="1374"/>
    <x v="1177"/>
    <x v="715"/>
    <x v="495"/>
    <x v="2"/>
    <x v="5"/>
    <x v="0"/>
    <x v="2"/>
    <x v="6"/>
    <x v="9"/>
  </r>
  <r>
    <x v="892"/>
    <x v="34"/>
    <x v="14"/>
    <x v="11"/>
    <x v="113"/>
    <x v="111"/>
    <x v="1"/>
    <x v="473"/>
    <x v="467"/>
    <x v="271"/>
    <x v="264"/>
    <x v="0"/>
    <x v="953"/>
    <x v="1"/>
    <x v="4"/>
    <x v="2"/>
    <x v="2"/>
    <x v="5"/>
    <x v="213"/>
  </r>
  <r>
    <x v="893"/>
    <x v="38"/>
    <x v="4"/>
    <x v="98"/>
    <x v="123"/>
    <x v="120"/>
    <x v="1"/>
    <x v="224"/>
    <x v="476"/>
    <x v="335"/>
    <x v="383"/>
    <x v="0"/>
    <x v="1040"/>
    <x v="1"/>
    <x v="4"/>
    <x v="3"/>
    <x v="1"/>
    <x v="0"/>
    <x v="213"/>
  </r>
  <r>
    <x v="894"/>
    <x v="123"/>
    <x v="0"/>
    <x v="41"/>
    <x v="202"/>
    <x v="199"/>
    <x v="0"/>
    <x v="637"/>
    <x v="715"/>
    <x v="511"/>
    <x v="465"/>
    <x v="259"/>
    <x v="352"/>
    <x v="2"/>
    <x v="5"/>
    <x v="2"/>
    <x v="1"/>
    <x v="1"/>
    <x v="197"/>
  </r>
  <r>
    <x v="895"/>
    <x v="65"/>
    <x v="15"/>
    <x v="77"/>
    <x v="9"/>
    <x v="5"/>
    <x v="3"/>
    <x v="474"/>
    <x v="731"/>
    <x v="70"/>
    <x v="58"/>
    <x v="26"/>
    <x v="157"/>
    <x v="2"/>
    <x v="5"/>
    <x v="2"/>
    <x v="2"/>
    <x v="6"/>
    <x v="7"/>
  </r>
  <r>
    <x v="896"/>
    <x v="21"/>
    <x v="4"/>
    <x v="48"/>
    <x v="117"/>
    <x v="116"/>
    <x v="0"/>
    <x v="0"/>
    <x v="755"/>
    <x v="1054"/>
    <x v="936"/>
    <x v="0"/>
    <x v="1260"/>
    <x v="3"/>
    <x v="5"/>
    <x v="12"/>
    <x v="2"/>
    <x v="5"/>
    <x v="213"/>
  </r>
  <r>
    <x v="897"/>
    <x v="264"/>
    <x v="29"/>
    <x v="82"/>
    <x v="207"/>
    <x v="204"/>
    <x v="3"/>
    <x v="655"/>
    <x v="1042"/>
    <x v="555"/>
    <x v="573"/>
    <x v="0"/>
    <x v="1126"/>
    <x v="3"/>
    <x v="5"/>
    <x v="9"/>
    <x v="2"/>
    <x v="5"/>
    <x v="213"/>
  </r>
  <r>
    <x v="898"/>
    <x v="149"/>
    <x v="7"/>
    <x v="77"/>
    <x v="105"/>
    <x v="104"/>
    <x v="2"/>
    <x v="316"/>
    <x v="978"/>
    <x v="725"/>
    <x v="826"/>
    <x v="430"/>
    <x v="742"/>
    <x v="2"/>
    <x v="5"/>
    <x v="5"/>
    <x v="2"/>
    <x v="3"/>
    <x v="103"/>
  </r>
  <r>
    <x v="899"/>
    <x v="226"/>
    <x v="37"/>
    <x v="97"/>
    <x v="8"/>
    <x v="6"/>
    <x v="0"/>
    <x v="539"/>
    <x v="792"/>
    <x v="1116"/>
    <x v="1009"/>
    <x v="645"/>
    <x v="344"/>
    <x v="2"/>
    <x v="5"/>
    <x v="2"/>
    <x v="2"/>
    <x v="6"/>
    <x v="6"/>
  </r>
  <r>
    <x v="900"/>
    <x v="234"/>
    <x v="23"/>
    <x v="26"/>
    <x v="36"/>
    <x v="36"/>
    <x v="2"/>
    <x v="103"/>
    <x v="1069"/>
    <x v="1355"/>
    <x v="1229"/>
    <x v="0"/>
    <x v="1388"/>
    <x v="1"/>
    <x v="0"/>
    <x v="6"/>
    <x v="0"/>
    <x v="6"/>
    <x v="213"/>
  </r>
  <r>
    <x v="901"/>
    <x v="217"/>
    <x v="4"/>
    <x v="76"/>
    <x v="42"/>
    <x v="37"/>
    <x v="3"/>
    <x v="293"/>
    <x v="1308"/>
    <x v="417"/>
    <x v="351"/>
    <x v="0"/>
    <x v="1022"/>
    <x v="1"/>
    <x v="0"/>
    <x v="7"/>
    <x v="1"/>
    <x v="2"/>
    <x v="213"/>
  </r>
  <r>
    <x v="902"/>
    <x v="50"/>
    <x v="9"/>
    <x v="95"/>
    <x v="13"/>
    <x v="10"/>
    <x v="3"/>
    <x v="46"/>
    <x v="72"/>
    <x v="464"/>
    <x v="435"/>
    <x v="240"/>
    <x v="354"/>
    <x v="2"/>
    <x v="5"/>
    <x v="0"/>
    <x v="1"/>
    <x v="6"/>
    <x v="9"/>
  </r>
  <r>
    <x v="903"/>
    <x v="164"/>
    <x v="18"/>
    <x v="47"/>
    <x v="165"/>
    <x v="161"/>
    <x v="1"/>
    <x v="666"/>
    <x v="1315"/>
    <x v="631"/>
    <x v="601"/>
    <x v="348"/>
    <x v="369"/>
    <x v="2"/>
    <x v="5"/>
    <x v="5"/>
    <x v="1"/>
    <x v="0"/>
    <x v="163"/>
  </r>
  <r>
    <x v="904"/>
    <x v="76"/>
    <x v="24"/>
    <x v="42"/>
    <x v="115"/>
    <x v="112"/>
    <x v="2"/>
    <x v="609"/>
    <x v="705"/>
    <x v="745"/>
    <x v="806"/>
    <x v="473"/>
    <x v="512"/>
    <x v="2"/>
    <x v="5"/>
    <x v="1"/>
    <x v="0"/>
    <x v="6"/>
    <x v="109"/>
  </r>
  <r>
    <x v="905"/>
    <x v="6"/>
    <x v="8"/>
    <x v="24"/>
    <x v="196"/>
    <x v="195"/>
    <x v="2"/>
    <x v="469"/>
    <x v="514"/>
    <x v="538"/>
    <x v="527"/>
    <x v="250"/>
    <x v="659"/>
    <x v="2"/>
    <x v="5"/>
    <x v="4"/>
    <x v="2"/>
    <x v="1"/>
    <x v="193"/>
  </r>
  <r>
    <x v="906"/>
    <x v="81"/>
    <x v="2"/>
    <x v="33"/>
    <x v="41"/>
    <x v="38"/>
    <x v="2"/>
    <x v="655"/>
    <x v="179"/>
    <x v="365"/>
    <x v="419"/>
    <x v="208"/>
    <x v="594"/>
    <x v="2"/>
    <x v="5"/>
    <x v="1"/>
    <x v="0"/>
    <x v="2"/>
    <x v="36"/>
  </r>
  <r>
    <x v="907"/>
    <x v="236"/>
    <x v="16"/>
    <x v="73"/>
    <x v="47"/>
    <x v="42"/>
    <x v="3"/>
    <x v="524"/>
    <x v="856"/>
    <x v="107"/>
    <x v="108"/>
    <x v="70"/>
    <x v="23"/>
    <x v="2"/>
    <x v="5"/>
    <x v="5"/>
    <x v="1"/>
    <x v="6"/>
    <x v="46"/>
  </r>
  <r>
    <x v="908"/>
    <x v="11"/>
    <x v="27"/>
    <x v="61"/>
    <x v="175"/>
    <x v="170"/>
    <x v="3"/>
    <x v="273"/>
    <x v="1302"/>
    <x v="859"/>
    <x v="951"/>
    <x v="0"/>
    <x v="1270"/>
    <x v="1"/>
    <x v="3"/>
    <x v="3"/>
    <x v="2"/>
    <x v="2"/>
    <x v="213"/>
  </r>
  <r>
    <x v="909"/>
    <x v="280"/>
    <x v="14"/>
    <x v="28"/>
    <x v="188"/>
    <x v="185"/>
    <x v="0"/>
    <x v="385"/>
    <x v="398"/>
    <x v="862"/>
    <x v="995"/>
    <x v="534"/>
    <x v="788"/>
    <x v="2"/>
    <x v="5"/>
    <x v="2"/>
    <x v="0"/>
    <x v="4"/>
    <x v="183"/>
  </r>
  <r>
    <x v="910"/>
    <x v="122"/>
    <x v="10"/>
    <x v="79"/>
    <x v="142"/>
    <x v="138"/>
    <x v="2"/>
    <x v="550"/>
    <x v="180"/>
    <x v="1099"/>
    <x v="1092"/>
    <x v="624"/>
    <x v="783"/>
    <x v="2"/>
    <x v="5"/>
    <x v="1"/>
    <x v="2"/>
    <x v="0"/>
    <x v="136"/>
  </r>
  <r>
    <x v="911"/>
    <x v="185"/>
    <x v="7"/>
    <x v="39"/>
    <x v="114"/>
    <x v="111"/>
    <x v="0"/>
    <x v="400"/>
    <x v="1260"/>
    <x v="221"/>
    <x v="221"/>
    <x v="0"/>
    <x v="904"/>
    <x v="1"/>
    <x v="1"/>
    <x v="0"/>
    <x v="2"/>
    <x v="5"/>
    <x v="213"/>
  </r>
  <r>
    <x v="912"/>
    <x v="79"/>
    <x v="38"/>
    <x v="41"/>
    <x v="57"/>
    <x v="54"/>
    <x v="2"/>
    <x v="710"/>
    <x v="226"/>
    <x v="334"/>
    <x v="312"/>
    <x v="186"/>
    <x v="124"/>
    <x v="2"/>
    <x v="5"/>
    <x v="5"/>
    <x v="0"/>
    <x v="0"/>
    <x v="56"/>
  </r>
  <r>
    <x v="913"/>
    <x v="26"/>
    <x v="0"/>
    <x v="60"/>
    <x v="26"/>
    <x v="21"/>
    <x v="0"/>
    <x v="23"/>
    <x v="344"/>
    <x v="793"/>
    <x v="797"/>
    <x v="399"/>
    <x v="792"/>
    <x v="2"/>
    <x v="5"/>
    <x v="2"/>
    <x v="2"/>
    <x v="1"/>
    <x v="23"/>
  </r>
  <r>
    <x v="914"/>
    <x v="43"/>
    <x v="2"/>
    <x v="21"/>
    <x v="98"/>
    <x v="93"/>
    <x v="3"/>
    <x v="275"/>
    <x v="266"/>
    <x v="1228"/>
    <x v="1188"/>
    <x v="0"/>
    <x v="1369"/>
    <x v="3"/>
    <x v="5"/>
    <x v="12"/>
    <x v="0"/>
    <x v="5"/>
    <x v="213"/>
  </r>
  <r>
    <x v="915"/>
    <x v="196"/>
    <x v="31"/>
    <x v="13"/>
    <x v="21"/>
    <x v="21"/>
    <x v="3"/>
    <x v="491"/>
    <x v="770"/>
    <x v="1221"/>
    <x v="1102"/>
    <x v="0"/>
    <x v="1325"/>
    <x v="3"/>
    <x v="5"/>
    <x v="5"/>
    <x v="1"/>
    <x v="1"/>
    <x v="213"/>
  </r>
  <r>
    <x v="916"/>
    <x v="259"/>
    <x v="6"/>
    <x v="63"/>
    <x v="134"/>
    <x v="134"/>
    <x v="0"/>
    <x v="570"/>
    <x v="745"/>
    <x v="398"/>
    <x v="341"/>
    <x v="0"/>
    <x v="1018"/>
    <x v="1"/>
    <x v="3"/>
    <x v="4"/>
    <x v="0"/>
    <x v="2"/>
    <x v="213"/>
  </r>
  <r>
    <x v="917"/>
    <x v="147"/>
    <x v="41"/>
    <x v="90"/>
    <x v="91"/>
    <x v="86"/>
    <x v="2"/>
    <x v="346"/>
    <x v="612"/>
    <x v="669"/>
    <x v="671"/>
    <x v="444"/>
    <x v="67"/>
    <x v="2"/>
    <x v="5"/>
    <x v="4"/>
    <x v="2"/>
    <x v="4"/>
    <x v="89"/>
  </r>
  <r>
    <x v="918"/>
    <x v="73"/>
    <x v="6"/>
    <x v="57"/>
    <x v="84"/>
    <x v="83"/>
    <x v="0"/>
    <x v="121"/>
    <x v="201"/>
    <x v="213"/>
    <x v="177"/>
    <x v="88"/>
    <x v="295"/>
    <x v="2"/>
    <x v="5"/>
    <x v="1"/>
    <x v="2"/>
    <x v="1"/>
    <x v="79"/>
  </r>
  <r>
    <x v="919"/>
    <x v="105"/>
    <x v="30"/>
    <x v="83"/>
    <x v="90"/>
    <x v="85"/>
    <x v="1"/>
    <x v="302"/>
    <x v="408"/>
    <x v="337"/>
    <x v="342"/>
    <x v="187"/>
    <x v="332"/>
    <x v="2"/>
    <x v="5"/>
    <x v="4"/>
    <x v="2"/>
    <x v="6"/>
    <x v="88"/>
  </r>
  <r>
    <x v="920"/>
    <x v="233"/>
    <x v="42"/>
    <x v="50"/>
    <x v="88"/>
    <x v="88"/>
    <x v="3"/>
    <x v="373"/>
    <x v="343"/>
    <x v="1253"/>
    <x v="1370"/>
    <x v="773"/>
    <x v="854"/>
    <x v="2"/>
    <x v="5"/>
    <x v="7"/>
    <x v="2"/>
    <x v="4"/>
    <x v="89"/>
  </r>
  <r>
    <x v="921"/>
    <x v="92"/>
    <x v="0"/>
    <x v="21"/>
    <x v="184"/>
    <x v="181"/>
    <x v="3"/>
    <x v="343"/>
    <x v="248"/>
    <x v="1436"/>
    <x v="1460"/>
    <x v="0"/>
    <x v="1485"/>
    <x v="3"/>
    <x v="5"/>
    <x v="14"/>
    <x v="2"/>
    <x v="3"/>
    <x v="213"/>
  </r>
  <r>
    <x v="922"/>
    <x v="90"/>
    <x v="26"/>
    <x v="4"/>
    <x v="37"/>
    <x v="37"/>
    <x v="1"/>
    <x v="524"/>
    <x v="939"/>
    <x v="339"/>
    <x v="362"/>
    <x v="0"/>
    <x v="1029"/>
    <x v="1"/>
    <x v="3"/>
    <x v="4"/>
    <x v="1"/>
    <x v="3"/>
    <x v="213"/>
  </r>
  <r>
    <x v="923"/>
    <x v="106"/>
    <x v="9"/>
    <x v="42"/>
    <x v="208"/>
    <x v="204"/>
    <x v="3"/>
    <x v="435"/>
    <x v="1006"/>
    <x v="3"/>
    <x v="4"/>
    <x v="4"/>
    <x v="6"/>
    <x v="2"/>
    <x v="5"/>
    <x v="3"/>
    <x v="1"/>
    <x v="5"/>
    <x v="203"/>
  </r>
  <r>
    <x v="924"/>
    <x v="271"/>
    <x v="48"/>
    <x v="58"/>
    <x v="160"/>
    <x v="156"/>
    <x v="1"/>
    <x v="237"/>
    <x v="870"/>
    <x v="1147"/>
    <x v="1260"/>
    <x v="647"/>
    <x v="972"/>
    <x v="2"/>
    <x v="5"/>
    <x v="4"/>
    <x v="0"/>
    <x v="2"/>
    <x v="157"/>
  </r>
  <r>
    <x v="925"/>
    <x v="233"/>
    <x v="38"/>
    <x v="73"/>
    <x v="155"/>
    <x v="150"/>
    <x v="0"/>
    <x v="263"/>
    <x v="584"/>
    <x v="83"/>
    <x v="94"/>
    <x v="0"/>
    <x v="625"/>
    <x v="0"/>
    <x v="5"/>
    <x v="6"/>
    <x v="2"/>
    <x v="3"/>
    <x v="213"/>
  </r>
  <r>
    <x v="926"/>
    <x v="133"/>
    <x v="0"/>
    <x v="67"/>
    <x v="81"/>
    <x v="76"/>
    <x v="0"/>
    <x v="30"/>
    <x v="580"/>
    <x v="1215"/>
    <x v="1311"/>
    <x v="0"/>
    <x v="1425"/>
    <x v="1"/>
    <x v="0"/>
    <x v="4"/>
    <x v="2"/>
    <x v="6"/>
    <x v="213"/>
  </r>
  <r>
    <x v="927"/>
    <x v="8"/>
    <x v="32"/>
    <x v="93"/>
    <x v="101"/>
    <x v="101"/>
    <x v="3"/>
    <x v="640"/>
    <x v="147"/>
    <x v="1438"/>
    <x v="1468"/>
    <x v="822"/>
    <x v="967"/>
    <x v="2"/>
    <x v="5"/>
    <x v="6"/>
    <x v="2"/>
    <x v="5"/>
    <x v="100"/>
  </r>
  <r>
    <x v="928"/>
    <x v="195"/>
    <x v="35"/>
    <x v="92"/>
    <x v="58"/>
    <x v="54"/>
    <x v="3"/>
    <x v="148"/>
    <x v="1378"/>
    <x v="401"/>
    <x v="352"/>
    <x v="0"/>
    <x v="1023"/>
    <x v="3"/>
    <x v="5"/>
    <x v="6"/>
    <x v="1"/>
    <x v="6"/>
    <x v="213"/>
  </r>
  <r>
    <x v="929"/>
    <x v="64"/>
    <x v="47"/>
    <x v="93"/>
    <x v="8"/>
    <x v="3"/>
    <x v="3"/>
    <x v="140"/>
    <x v="773"/>
    <x v="458"/>
    <x v="418"/>
    <x v="230"/>
    <x v="361"/>
    <x v="2"/>
    <x v="5"/>
    <x v="1"/>
    <x v="1"/>
    <x v="3"/>
    <x v="5"/>
  </r>
  <r>
    <x v="930"/>
    <x v="155"/>
    <x v="34"/>
    <x v="88"/>
    <x v="107"/>
    <x v="106"/>
    <x v="1"/>
    <x v="59"/>
    <x v="404"/>
    <x v="297"/>
    <x v="259"/>
    <x v="0"/>
    <x v="947"/>
    <x v="1"/>
    <x v="1"/>
    <x v="1"/>
    <x v="0"/>
    <x v="1"/>
    <x v="213"/>
  </r>
  <r>
    <x v="931"/>
    <x v="56"/>
    <x v="48"/>
    <x v="57"/>
    <x v="1"/>
    <x v="0"/>
    <x v="3"/>
    <x v="96"/>
    <x v="1280"/>
    <x v="1149"/>
    <x v="1276"/>
    <x v="697"/>
    <x v="886"/>
    <x v="2"/>
    <x v="5"/>
    <x v="2"/>
    <x v="1"/>
    <x v="2"/>
    <x v="0"/>
  </r>
  <r>
    <x v="932"/>
    <x v="176"/>
    <x v="11"/>
    <x v="49"/>
    <x v="130"/>
    <x v="130"/>
    <x v="0"/>
    <x v="447"/>
    <x v="653"/>
    <x v="905"/>
    <x v="1030"/>
    <x v="579"/>
    <x v="734"/>
    <x v="2"/>
    <x v="5"/>
    <x v="1"/>
    <x v="1"/>
    <x v="0"/>
    <x v="124"/>
  </r>
  <r>
    <x v="933"/>
    <x v="241"/>
    <x v="48"/>
    <x v="80"/>
    <x v="158"/>
    <x v="158"/>
    <x v="3"/>
    <x v="20"/>
    <x v="891"/>
    <x v="235"/>
    <x v="220"/>
    <x v="0"/>
    <x v="903"/>
    <x v="0"/>
    <x v="5"/>
    <x v="3"/>
    <x v="2"/>
    <x v="1"/>
    <x v="213"/>
  </r>
  <r>
    <x v="934"/>
    <x v="243"/>
    <x v="49"/>
    <x v="75"/>
    <x v="196"/>
    <x v="193"/>
    <x v="1"/>
    <x v="619"/>
    <x v="595"/>
    <x v="743"/>
    <x v="853"/>
    <x v="445"/>
    <x v="753"/>
    <x v="2"/>
    <x v="5"/>
    <x v="3"/>
    <x v="1"/>
    <x v="1"/>
    <x v="192"/>
  </r>
  <r>
    <x v="935"/>
    <x v="18"/>
    <x v="28"/>
    <x v="24"/>
    <x v="130"/>
    <x v="126"/>
    <x v="1"/>
    <x v="471"/>
    <x v="924"/>
    <x v="547"/>
    <x v="587"/>
    <x v="0"/>
    <x v="1131"/>
    <x v="1"/>
    <x v="2"/>
    <x v="3"/>
    <x v="0"/>
    <x v="4"/>
    <x v="213"/>
  </r>
  <r>
    <x v="936"/>
    <x v="42"/>
    <x v="8"/>
    <x v="12"/>
    <x v="100"/>
    <x v="95"/>
    <x v="1"/>
    <x v="491"/>
    <x v="349"/>
    <x v="1110"/>
    <x v="917"/>
    <x v="502"/>
    <x v="717"/>
    <x v="2"/>
    <x v="5"/>
    <x v="7"/>
    <x v="2"/>
    <x v="2"/>
    <x v="100"/>
  </r>
  <r>
    <x v="937"/>
    <x v="159"/>
    <x v="15"/>
    <x v="39"/>
    <x v="145"/>
    <x v="141"/>
    <x v="2"/>
    <x v="243"/>
    <x v="113"/>
    <x v="475"/>
    <x v="505"/>
    <x v="0"/>
    <x v="1092"/>
    <x v="3"/>
    <x v="5"/>
    <x v="3"/>
    <x v="0"/>
    <x v="0"/>
    <x v="213"/>
  </r>
  <r>
    <x v="938"/>
    <x v="76"/>
    <x v="17"/>
    <x v="43"/>
    <x v="81"/>
    <x v="76"/>
    <x v="2"/>
    <x v="57"/>
    <x v="1342"/>
    <x v="197"/>
    <x v="171"/>
    <x v="0"/>
    <x v="818"/>
    <x v="0"/>
    <x v="5"/>
    <x v="6"/>
    <x v="2"/>
    <x v="0"/>
    <x v="213"/>
  </r>
  <r>
    <x v="939"/>
    <x v="164"/>
    <x v="11"/>
    <x v="91"/>
    <x v="129"/>
    <x v="127"/>
    <x v="1"/>
    <x v="726"/>
    <x v="353"/>
    <x v="576"/>
    <x v="474"/>
    <x v="0"/>
    <x v="1077"/>
    <x v="3"/>
    <x v="5"/>
    <x v="7"/>
    <x v="1"/>
    <x v="5"/>
    <x v="213"/>
  </r>
  <r>
    <x v="940"/>
    <x v="91"/>
    <x v="36"/>
    <x v="27"/>
    <x v="153"/>
    <x v="153"/>
    <x v="1"/>
    <x v="191"/>
    <x v="143"/>
    <x v="130"/>
    <x v="122"/>
    <x v="65"/>
    <x v="173"/>
    <x v="2"/>
    <x v="5"/>
    <x v="1"/>
    <x v="2"/>
    <x v="3"/>
    <x v="147"/>
  </r>
  <r>
    <x v="941"/>
    <x v="149"/>
    <x v="6"/>
    <x v="51"/>
    <x v="198"/>
    <x v="194"/>
    <x v="1"/>
    <x v="260"/>
    <x v="1084"/>
    <x v="1372"/>
    <x v="1168"/>
    <x v="0"/>
    <x v="1358"/>
    <x v="1"/>
    <x v="4"/>
    <x v="4"/>
    <x v="0"/>
    <x v="4"/>
    <x v="213"/>
  </r>
  <r>
    <x v="942"/>
    <x v="2"/>
    <x v="6"/>
    <x v="61"/>
    <x v="87"/>
    <x v="85"/>
    <x v="1"/>
    <x v="389"/>
    <x v="941"/>
    <x v="196"/>
    <x v="164"/>
    <x v="0"/>
    <x v="793"/>
    <x v="3"/>
    <x v="5"/>
    <x v="12"/>
    <x v="2"/>
    <x v="5"/>
    <x v="213"/>
  </r>
  <r>
    <x v="943"/>
    <x v="84"/>
    <x v="11"/>
    <x v="83"/>
    <x v="29"/>
    <x v="27"/>
    <x v="1"/>
    <x v="523"/>
    <x v="54"/>
    <x v="1408"/>
    <x v="1478"/>
    <x v="824"/>
    <x v="975"/>
    <x v="2"/>
    <x v="5"/>
    <x v="5"/>
    <x v="2"/>
    <x v="6"/>
    <x v="29"/>
  </r>
  <r>
    <x v="944"/>
    <x v="204"/>
    <x v="0"/>
    <x v="87"/>
    <x v="191"/>
    <x v="186"/>
    <x v="3"/>
    <x v="477"/>
    <x v="497"/>
    <x v="1090"/>
    <x v="1247"/>
    <x v="746"/>
    <x v="537"/>
    <x v="2"/>
    <x v="5"/>
    <x v="3"/>
    <x v="2"/>
    <x v="5"/>
    <x v="187"/>
  </r>
  <r>
    <x v="945"/>
    <x v="172"/>
    <x v="8"/>
    <x v="51"/>
    <x v="60"/>
    <x v="60"/>
    <x v="2"/>
    <x v="479"/>
    <x v="757"/>
    <x v="903"/>
    <x v="877"/>
    <x v="565"/>
    <x v="255"/>
    <x v="2"/>
    <x v="5"/>
    <x v="4"/>
    <x v="2"/>
    <x v="6"/>
    <x v="58"/>
  </r>
  <r>
    <x v="946"/>
    <x v="56"/>
    <x v="25"/>
    <x v="75"/>
    <x v="157"/>
    <x v="157"/>
    <x v="0"/>
    <x v="621"/>
    <x v="664"/>
    <x v="364"/>
    <x v="384"/>
    <x v="0"/>
    <x v="1042"/>
    <x v="3"/>
    <x v="5"/>
    <x v="3"/>
    <x v="1"/>
    <x v="6"/>
    <x v="213"/>
  </r>
  <r>
    <x v="947"/>
    <x v="20"/>
    <x v="14"/>
    <x v="31"/>
    <x v="148"/>
    <x v="147"/>
    <x v="1"/>
    <x v="608"/>
    <x v="196"/>
    <x v="846"/>
    <x v="1034"/>
    <x v="0"/>
    <x v="1298"/>
    <x v="1"/>
    <x v="3"/>
    <x v="3"/>
    <x v="1"/>
    <x v="2"/>
    <x v="213"/>
  </r>
  <r>
    <x v="948"/>
    <x v="7"/>
    <x v="26"/>
    <x v="13"/>
    <x v="35"/>
    <x v="34"/>
    <x v="3"/>
    <x v="172"/>
    <x v="1145"/>
    <x v="154"/>
    <x v="126"/>
    <x v="67"/>
    <x v="213"/>
    <x v="2"/>
    <x v="5"/>
    <x v="1"/>
    <x v="0"/>
    <x v="6"/>
    <x v="30"/>
  </r>
  <r>
    <x v="949"/>
    <x v="261"/>
    <x v="43"/>
    <x v="35"/>
    <x v="190"/>
    <x v="185"/>
    <x v="2"/>
    <x v="551"/>
    <x v="534"/>
    <x v="1294"/>
    <x v="1220"/>
    <x v="0"/>
    <x v="1384"/>
    <x v="1"/>
    <x v="0"/>
    <x v="6"/>
    <x v="1"/>
    <x v="6"/>
    <x v="213"/>
  </r>
  <r>
    <x v="950"/>
    <x v="246"/>
    <x v="17"/>
    <x v="55"/>
    <x v="55"/>
    <x v="52"/>
    <x v="1"/>
    <x v="211"/>
    <x v="9"/>
    <x v="1299"/>
    <x v="1422"/>
    <x v="837"/>
    <x v="632"/>
    <x v="2"/>
    <x v="5"/>
    <x v="7"/>
    <x v="2"/>
    <x v="2"/>
    <x v="56"/>
  </r>
  <r>
    <x v="951"/>
    <x v="207"/>
    <x v="7"/>
    <x v="36"/>
    <x v="40"/>
    <x v="40"/>
    <x v="0"/>
    <x v="236"/>
    <x v="732"/>
    <x v="1243"/>
    <x v="1348"/>
    <x v="0"/>
    <x v="1441"/>
    <x v="1"/>
    <x v="3"/>
    <x v="4"/>
    <x v="0"/>
    <x v="2"/>
    <x v="213"/>
  </r>
  <r>
    <x v="952"/>
    <x v="112"/>
    <x v="28"/>
    <x v="25"/>
    <x v="196"/>
    <x v="196"/>
    <x v="3"/>
    <x v="699"/>
    <x v="1228"/>
    <x v="1133"/>
    <x v="960"/>
    <x v="548"/>
    <x v="651"/>
    <x v="2"/>
    <x v="5"/>
    <x v="4"/>
    <x v="2"/>
    <x v="3"/>
    <x v="193"/>
  </r>
  <r>
    <x v="953"/>
    <x v="192"/>
    <x v="14"/>
    <x v="70"/>
    <x v="44"/>
    <x v="41"/>
    <x v="0"/>
    <x v="87"/>
    <x v="706"/>
    <x v="1358"/>
    <x v="1128"/>
    <x v="618"/>
    <x v="848"/>
    <x v="2"/>
    <x v="5"/>
    <x v="7"/>
    <x v="1"/>
    <x v="3"/>
    <x v="45"/>
  </r>
  <r>
    <x v="954"/>
    <x v="202"/>
    <x v="1"/>
    <x v="8"/>
    <x v="135"/>
    <x v="133"/>
    <x v="1"/>
    <x v="201"/>
    <x v="742"/>
    <x v="388"/>
    <x v="408"/>
    <x v="0"/>
    <x v="1052"/>
    <x v="3"/>
    <x v="5"/>
    <x v="7"/>
    <x v="2"/>
    <x v="1"/>
    <x v="213"/>
  </r>
  <r>
    <x v="955"/>
    <x v="266"/>
    <x v="0"/>
    <x v="19"/>
    <x v="67"/>
    <x v="62"/>
    <x v="1"/>
    <x v="272"/>
    <x v="1082"/>
    <x v="1267"/>
    <x v="1323"/>
    <x v="0"/>
    <x v="1430"/>
    <x v="1"/>
    <x v="0"/>
    <x v="2"/>
    <x v="1"/>
    <x v="3"/>
    <x v="213"/>
  </r>
  <r>
    <x v="956"/>
    <x v="137"/>
    <x v="37"/>
    <x v="25"/>
    <x v="3"/>
    <x v="0"/>
    <x v="2"/>
    <x v="556"/>
    <x v="926"/>
    <x v="144"/>
    <x v="138"/>
    <x v="86"/>
    <x v="73"/>
    <x v="2"/>
    <x v="5"/>
    <x v="4"/>
    <x v="0"/>
    <x v="2"/>
    <x v="3"/>
  </r>
  <r>
    <x v="957"/>
    <x v="121"/>
    <x v="34"/>
    <x v="42"/>
    <x v="124"/>
    <x v="120"/>
    <x v="2"/>
    <x v="187"/>
    <x v="1107"/>
    <x v="349"/>
    <x v="295"/>
    <x v="159"/>
    <x v="320"/>
    <x v="2"/>
    <x v="5"/>
    <x v="7"/>
    <x v="1"/>
    <x v="0"/>
    <x v="124"/>
  </r>
  <r>
    <x v="958"/>
    <x v="235"/>
    <x v="26"/>
    <x v="68"/>
    <x v="176"/>
    <x v="176"/>
    <x v="1"/>
    <x v="83"/>
    <x v="1388"/>
    <x v="1344"/>
    <x v="1209"/>
    <x v="761"/>
    <x v="269"/>
    <x v="2"/>
    <x v="5"/>
    <x v="3"/>
    <x v="2"/>
    <x v="4"/>
    <x v="172"/>
  </r>
  <r>
    <x v="959"/>
    <x v="5"/>
    <x v="37"/>
    <x v="52"/>
    <x v="35"/>
    <x v="34"/>
    <x v="1"/>
    <x v="234"/>
    <x v="1155"/>
    <x v="313"/>
    <x v="274"/>
    <x v="0"/>
    <x v="965"/>
    <x v="3"/>
    <x v="5"/>
    <x v="7"/>
    <x v="0"/>
    <x v="0"/>
    <x v="213"/>
  </r>
  <r>
    <x v="960"/>
    <x v="270"/>
    <x v="47"/>
    <x v="80"/>
    <x v="88"/>
    <x v="87"/>
    <x v="0"/>
    <x v="34"/>
    <x v="1224"/>
    <x v="127"/>
    <x v="115"/>
    <x v="0"/>
    <x v="671"/>
    <x v="3"/>
    <x v="5"/>
    <x v="12"/>
    <x v="1"/>
    <x v="3"/>
    <x v="213"/>
  </r>
  <r>
    <x v="961"/>
    <x v="108"/>
    <x v="26"/>
    <x v="42"/>
    <x v="139"/>
    <x v="138"/>
    <x v="1"/>
    <x v="70"/>
    <x v="1288"/>
    <x v="1029"/>
    <x v="838"/>
    <x v="0"/>
    <x v="1223"/>
    <x v="3"/>
    <x v="5"/>
    <x v="10"/>
    <x v="1"/>
    <x v="6"/>
    <x v="213"/>
  </r>
  <r>
    <x v="962"/>
    <x v="13"/>
    <x v="47"/>
    <x v="12"/>
    <x v="149"/>
    <x v="147"/>
    <x v="1"/>
    <x v="554"/>
    <x v="721"/>
    <x v="1031"/>
    <x v="1221"/>
    <x v="745"/>
    <x v="442"/>
    <x v="2"/>
    <x v="5"/>
    <x v="2"/>
    <x v="0"/>
    <x v="6"/>
    <x v="144"/>
  </r>
  <r>
    <x v="963"/>
    <x v="65"/>
    <x v="18"/>
    <x v="58"/>
    <x v="211"/>
    <x v="210"/>
    <x v="1"/>
    <x v="549"/>
    <x v="1154"/>
    <x v="54"/>
    <x v="48"/>
    <x v="29"/>
    <x v="22"/>
    <x v="2"/>
    <x v="5"/>
    <x v="3"/>
    <x v="0"/>
    <x v="5"/>
    <x v="206"/>
  </r>
  <r>
    <x v="964"/>
    <x v="217"/>
    <x v="9"/>
    <x v="88"/>
    <x v="34"/>
    <x v="34"/>
    <x v="1"/>
    <x v="693"/>
    <x v="421"/>
    <x v="1369"/>
    <x v="1218"/>
    <x v="728"/>
    <x v="591"/>
    <x v="2"/>
    <x v="5"/>
    <x v="4"/>
    <x v="2"/>
    <x v="2"/>
    <x v="32"/>
  </r>
  <r>
    <x v="965"/>
    <x v="42"/>
    <x v="48"/>
    <x v="20"/>
    <x v="2"/>
    <x v="1"/>
    <x v="0"/>
    <x v="56"/>
    <x v="401"/>
    <x v="778"/>
    <x v="849"/>
    <x v="559"/>
    <x v="168"/>
    <x v="2"/>
    <x v="5"/>
    <x v="1"/>
    <x v="2"/>
    <x v="0"/>
    <x v="0"/>
  </r>
  <r>
    <x v="966"/>
    <x v="280"/>
    <x v="43"/>
    <x v="67"/>
    <x v="112"/>
    <x v="111"/>
    <x v="3"/>
    <x v="375"/>
    <x v="412"/>
    <x v="239"/>
    <x v="271"/>
    <x v="0"/>
    <x v="960"/>
    <x v="3"/>
    <x v="5"/>
    <x v="14"/>
    <x v="1"/>
    <x v="5"/>
    <x v="213"/>
  </r>
  <r>
    <x v="967"/>
    <x v="140"/>
    <x v="20"/>
    <x v="33"/>
    <x v="173"/>
    <x v="169"/>
    <x v="0"/>
    <x v="611"/>
    <x v="64"/>
    <x v="632"/>
    <x v="552"/>
    <x v="344"/>
    <x v="181"/>
    <x v="2"/>
    <x v="5"/>
    <x v="7"/>
    <x v="0"/>
    <x v="2"/>
    <x v="173"/>
  </r>
  <r>
    <x v="968"/>
    <x v="27"/>
    <x v="14"/>
    <x v="94"/>
    <x v="78"/>
    <x v="75"/>
    <x v="1"/>
    <x v="461"/>
    <x v="1233"/>
    <x v="652"/>
    <x v="550"/>
    <x v="0"/>
    <x v="1115"/>
    <x v="1"/>
    <x v="3"/>
    <x v="1"/>
    <x v="2"/>
    <x v="4"/>
    <x v="213"/>
  </r>
  <r>
    <x v="969"/>
    <x v="116"/>
    <x v="8"/>
    <x v="30"/>
    <x v="153"/>
    <x v="148"/>
    <x v="1"/>
    <x v="418"/>
    <x v="1375"/>
    <x v="195"/>
    <x v="190"/>
    <x v="0"/>
    <x v="858"/>
    <x v="3"/>
    <x v="5"/>
    <x v="11"/>
    <x v="0"/>
    <x v="6"/>
    <x v="213"/>
  </r>
  <r>
    <x v="970"/>
    <x v="89"/>
    <x v="2"/>
    <x v="54"/>
    <x v="141"/>
    <x v="137"/>
    <x v="2"/>
    <x v="708"/>
    <x v="539"/>
    <x v="763"/>
    <x v="636"/>
    <x v="329"/>
    <x v="630"/>
    <x v="2"/>
    <x v="5"/>
    <x v="2"/>
    <x v="0"/>
    <x v="1"/>
    <x v="136"/>
  </r>
  <r>
    <x v="971"/>
    <x v="35"/>
    <x v="27"/>
    <x v="92"/>
    <x v="203"/>
    <x v="202"/>
    <x v="1"/>
    <x v="615"/>
    <x v="845"/>
    <x v="119"/>
    <x v="103"/>
    <x v="0"/>
    <x v="644"/>
    <x v="3"/>
    <x v="5"/>
    <x v="10"/>
    <x v="2"/>
    <x v="6"/>
    <x v="213"/>
  </r>
  <r>
    <x v="972"/>
    <x v="13"/>
    <x v="49"/>
    <x v="85"/>
    <x v="176"/>
    <x v="174"/>
    <x v="1"/>
    <x v="720"/>
    <x v="85"/>
    <x v="472"/>
    <x v="394"/>
    <x v="0"/>
    <x v="1046"/>
    <x v="0"/>
    <x v="5"/>
    <x v="0"/>
    <x v="0"/>
    <x v="3"/>
    <x v="213"/>
  </r>
  <r>
    <x v="973"/>
    <x v="49"/>
    <x v="28"/>
    <x v="68"/>
    <x v="47"/>
    <x v="42"/>
    <x v="3"/>
    <x v="43"/>
    <x v="74"/>
    <x v="854"/>
    <x v="712"/>
    <x v="0"/>
    <x v="1172"/>
    <x v="1"/>
    <x v="0"/>
    <x v="3"/>
    <x v="1"/>
    <x v="6"/>
    <x v="213"/>
  </r>
  <r>
    <x v="974"/>
    <x v="131"/>
    <x v="10"/>
    <x v="10"/>
    <x v="92"/>
    <x v="90"/>
    <x v="0"/>
    <x v="497"/>
    <x v="1361"/>
    <x v="159"/>
    <x v="187"/>
    <x v="109"/>
    <x v="147"/>
    <x v="2"/>
    <x v="5"/>
    <x v="4"/>
    <x v="2"/>
    <x v="3"/>
    <x v="90"/>
  </r>
  <r>
    <x v="975"/>
    <x v="21"/>
    <x v="20"/>
    <x v="48"/>
    <x v="129"/>
    <x v="125"/>
    <x v="2"/>
    <x v="30"/>
    <x v="1296"/>
    <x v="100"/>
    <x v="85"/>
    <x v="0"/>
    <x v="589"/>
    <x v="1"/>
    <x v="4"/>
    <x v="4"/>
    <x v="2"/>
    <x v="2"/>
    <x v="213"/>
  </r>
  <r>
    <x v="976"/>
    <x v="189"/>
    <x v="22"/>
    <x v="81"/>
    <x v="6"/>
    <x v="6"/>
    <x v="3"/>
    <x v="70"/>
    <x v="942"/>
    <x v="4"/>
    <x v="1"/>
    <x v="0"/>
    <x v="136"/>
    <x v="3"/>
    <x v="5"/>
    <x v="6"/>
    <x v="1"/>
    <x v="5"/>
    <x v="213"/>
  </r>
  <r>
    <x v="977"/>
    <x v="257"/>
    <x v="14"/>
    <x v="41"/>
    <x v="74"/>
    <x v="70"/>
    <x v="3"/>
    <x v="549"/>
    <x v="142"/>
    <x v="529"/>
    <x v="464"/>
    <x v="246"/>
    <x v="431"/>
    <x v="2"/>
    <x v="5"/>
    <x v="4"/>
    <x v="2"/>
    <x v="3"/>
    <x v="72"/>
  </r>
  <r>
    <x v="978"/>
    <x v="27"/>
    <x v="26"/>
    <x v="26"/>
    <x v="211"/>
    <x v="210"/>
    <x v="0"/>
    <x v="339"/>
    <x v="1179"/>
    <x v="525"/>
    <x v="437"/>
    <x v="0"/>
    <x v="1065"/>
    <x v="1"/>
    <x v="0"/>
    <x v="0"/>
    <x v="1"/>
    <x v="3"/>
    <x v="213"/>
  </r>
  <r>
    <x v="979"/>
    <x v="33"/>
    <x v="3"/>
    <x v="34"/>
    <x v="201"/>
    <x v="201"/>
    <x v="1"/>
    <x v="97"/>
    <x v="1008"/>
    <x v="1156"/>
    <x v="1350"/>
    <x v="0"/>
    <x v="1443"/>
    <x v="1"/>
    <x v="3"/>
    <x v="2"/>
    <x v="2"/>
    <x v="1"/>
    <x v="213"/>
  </r>
  <r>
    <x v="980"/>
    <x v="88"/>
    <x v="35"/>
    <x v="60"/>
    <x v="135"/>
    <x v="135"/>
    <x v="2"/>
    <x v="207"/>
    <x v="1312"/>
    <x v="1373"/>
    <x v="1429"/>
    <x v="0"/>
    <x v="1473"/>
    <x v="1"/>
    <x v="1"/>
    <x v="4"/>
    <x v="0"/>
    <x v="2"/>
    <x v="213"/>
  </r>
  <r>
    <x v="981"/>
    <x v="70"/>
    <x v="44"/>
    <x v="51"/>
    <x v="184"/>
    <x v="183"/>
    <x v="3"/>
    <x v="603"/>
    <x v="453"/>
    <x v="84"/>
    <x v="70"/>
    <x v="35"/>
    <x v="162"/>
    <x v="2"/>
    <x v="5"/>
    <x v="1"/>
    <x v="1"/>
    <x v="5"/>
    <x v="178"/>
  </r>
  <r>
    <x v="982"/>
    <x v="122"/>
    <x v="26"/>
    <x v="96"/>
    <x v="170"/>
    <x v="165"/>
    <x v="0"/>
    <x v="305"/>
    <x v="1334"/>
    <x v="432"/>
    <x v="399"/>
    <x v="0"/>
    <x v="1049"/>
    <x v="3"/>
    <x v="5"/>
    <x v="3"/>
    <x v="2"/>
    <x v="6"/>
    <x v="213"/>
  </r>
  <r>
    <x v="983"/>
    <x v="195"/>
    <x v="18"/>
    <x v="80"/>
    <x v="28"/>
    <x v="26"/>
    <x v="2"/>
    <x v="128"/>
    <x v="920"/>
    <x v="359"/>
    <x v="357"/>
    <x v="0"/>
    <x v="1026"/>
    <x v="0"/>
    <x v="5"/>
    <x v="0"/>
    <x v="2"/>
    <x v="1"/>
    <x v="213"/>
  </r>
  <r>
    <x v="984"/>
    <x v="147"/>
    <x v="12"/>
    <x v="93"/>
    <x v="74"/>
    <x v="74"/>
    <x v="1"/>
    <x v="555"/>
    <x v="231"/>
    <x v="1166"/>
    <x v="1292"/>
    <x v="718"/>
    <x v="829"/>
    <x v="2"/>
    <x v="5"/>
    <x v="2"/>
    <x v="2"/>
    <x v="2"/>
    <x v="70"/>
  </r>
  <r>
    <x v="985"/>
    <x v="53"/>
    <x v="23"/>
    <x v="30"/>
    <x v="81"/>
    <x v="78"/>
    <x v="0"/>
    <x v="690"/>
    <x v="723"/>
    <x v="1283"/>
    <x v="1308"/>
    <x v="0"/>
    <x v="1423"/>
    <x v="1"/>
    <x v="3"/>
    <x v="0"/>
    <x v="2"/>
    <x v="4"/>
    <x v="213"/>
  </r>
  <r>
    <x v="986"/>
    <x v="19"/>
    <x v="18"/>
    <x v="87"/>
    <x v="37"/>
    <x v="34"/>
    <x v="1"/>
    <x v="710"/>
    <x v="769"/>
    <x v="1034"/>
    <x v="1136"/>
    <x v="0"/>
    <x v="1342"/>
    <x v="3"/>
    <x v="5"/>
    <x v="8"/>
    <x v="0"/>
    <x v="6"/>
    <x v="213"/>
  </r>
  <r>
    <x v="987"/>
    <x v="158"/>
    <x v="45"/>
    <x v="15"/>
    <x v="56"/>
    <x v="55"/>
    <x v="2"/>
    <x v="605"/>
    <x v="582"/>
    <x v="1226"/>
    <x v="1107"/>
    <x v="0"/>
    <x v="1328"/>
    <x v="0"/>
    <x v="5"/>
    <x v="4"/>
    <x v="0"/>
    <x v="1"/>
    <x v="213"/>
  </r>
  <r>
    <x v="988"/>
    <x v="274"/>
    <x v="3"/>
    <x v="77"/>
    <x v="26"/>
    <x v="26"/>
    <x v="0"/>
    <x v="200"/>
    <x v="243"/>
    <x v="877"/>
    <x v="913"/>
    <x v="568"/>
    <x v="386"/>
    <x v="2"/>
    <x v="5"/>
    <x v="1"/>
    <x v="1"/>
    <x v="4"/>
    <x v="22"/>
  </r>
  <r>
    <x v="989"/>
    <x v="17"/>
    <x v="46"/>
    <x v="9"/>
    <x v="53"/>
    <x v="50"/>
    <x v="1"/>
    <x v="625"/>
    <x v="1293"/>
    <x v="574"/>
    <x v="538"/>
    <x v="277"/>
    <x v="579"/>
    <x v="2"/>
    <x v="5"/>
    <x v="6"/>
    <x v="2"/>
    <x v="1"/>
    <x v="53"/>
  </r>
  <r>
    <x v="990"/>
    <x v="5"/>
    <x v="11"/>
    <x v="26"/>
    <x v="86"/>
    <x v="83"/>
    <x v="1"/>
    <x v="676"/>
    <x v="83"/>
    <x v="1440"/>
    <x v="1481"/>
    <x v="862"/>
    <x v="502"/>
    <x v="2"/>
    <x v="5"/>
    <x v="0"/>
    <x v="1"/>
    <x v="0"/>
    <x v="80"/>
  </r>
  <r>
    <x v="991"/>
    <x v="189"/>
    <x v="21"/>
    <x v="60"/>
    <x v="88"/>
    <x v="85"/>
    <x v="2"/>
    <x v="221"/>
    <x v="744"/>
    <x v="183"/>
    <x v="184"/>
    <x v="118"/>
    <x v="29"/>
    <x v="2"/>
    <x v="5"/>
    <x v="3"/>
    <x v="1"/>
    <x v="0"/>
    <x v="85"/>
  </r>
  <r>
    <x v="992"/>
    <x v="173"/>
    <x v="8"/>
    <x v="7"/>
    <x v="188"/>
    <x v="185"/>
    <x v="1"/>
    <x v="259"/>
    <x v="194"/>
    <x v="1326"/>
    <x v="1374"/>
    <x v="0"/>
    <x v="1452"/>
    <x v="1"/>
    <x v="1"/>
    <x v="6"/>
    <x v="0"/>
    <x v="1"/>
    <x v="213"/>
  </r>
  <r>
    <x v="993"/>
    <x v="199"/>
    <x v="33"/>
    <x v="61"/>
    <x v="139"/>
    <x v="134"/>
    <x v="3"/>
    <x v="698"/>
    <x v="75"/>
    <x v="400"/>
    <x v="413"/>
    <x v="0"/>
    <x v="1053"/>
    <x v="1"/>
    <x v="3"/>
    <x v="3"/>
    <x v="1"/>
    <x v="6"/>
    <x v="213"/>
  </r>
  <r>
    <x v="994"/>
    <x v="36"/>
    <x v="15"/>
    <x v="57"/>
    <x v="196"/>
    <x v="193"/>
    <x v="3"/>
    <x v="278"/>
    <x v="885"/>
    <x v="1212"/>
    <x v="1070"/>
    <x v="574"/>
    <x v="840"/>
    <x v="2"/>
    <x v="5"/>
    <x v="2"/>
    <x v="2"/>
    <x v="0"/>
    <x v="191"/>
  </r>
  <r>
    <x v="995"/>
    <x v="262"/>
    <x v="34"/>
    <x v="52"/>
    <x v="25"/>
    <x v="23"/>
    <x v="1"/>
    <x v="689"/>
    <x v="958"/>
    <x v="1028"/>
    <x v="1198"/>
    <x v="0"/>
    <x v="1375"/>
    <x v="1"/>
    <x v="3"/>
    <x v="4"/>
    <x v="1"/>
    <x v="0"/>
    <x v="213"/>
  </r>
  <r>
    <x v="996"/>
    <x v="261"/>
    <x v="44"/>
    <x v="12"/>
    <x v="201"/>
    <x v="199"/>
    <x v="1"/>
    <x v="621"/>
    <x v="336"/>
    <x v="1403"/>
    <x v="1346"/>
    <x v="836"/>
    <x v="91"/>
    <x v="2"/>
    <x v="5"/>
    <x v="0"/>
    <x v="2"/>
    <x v="1"/>
    <x v="194"/>
  </r>
  <r>
    <x v="997"/>
    <x v="195"/>
    <x v="25"/>
    <x v="77"/>
    <x v="4"/>
    <x v="4"/>
    <x v="1"/>
    <x v="682"/>
    <x v="76"/>
    <x v="1305"/>
    <x v="1104"/>
    <x v="0"/>
    <x v="1327"/>
    <x v="1"/>
    <x v="1"/>
    <x v="3"/>
    <x v="2"/>
    <x v="6"/>
    <x v="213"/>
  </r>
  <r>
    <x v="998"/>
    <x v="128"/>
    <x v="21"/>
    <x v="45"/>
    <x v="178"/>
    <x v="175"/>
    <x v="1"/>
    <x v="682"/>
    <x v="1104"/>
    <x v="1412"/>
    <x v="1263"/>
    <x v="804"/>
    <x v="114"/>
    <x v="2"/>
    <x v="5"/>
    <x v="3"/>
    <x v="1"/>
    <x v="5"/>
    <x v="174"/>
  </r>
  <r>
    <x v="999"/>
    <x v="105"/>
    <x v="33"/>
    <x v="33"/>
    <x v="49"/>
    <x v="46"/>
    <x v="3"/>
    <x v="624"/>
    <x v="119"/>
    <x v="702"/>
    <x v="811"/>
    <x v="458"/>
    <x v="618"/>
    <x v="2"/>
    <x v="5"/>
    <x v="2"/>
    <x v="0"/>
    <x v="6"/>
    <x v="45"/>
  </r>
  <r>
    <x v="1000"/>
    <x v="119"/>
    <x v="30"/>
    <x v="85"/>
    <x v="81"/>
    <x v="77"/>
    <x v="0"/>
    <x v="336"/>
    <x v="136"/>
    <x v="766"/>
    <x v="759"/>
    <x v="393"/>
    <x v="719"/>
    <x v="2"/>
    <x v="5"/>
    <x v="4"/>
    <x v="0"/>
    <x v="6"/>
    <x v="79"/>
  </r>
  <r>
    <x v="1001"/>
    <x v="227"/>
    <x v="44"/>
    <x v="88"/>
    <x v="167"/>
    <x v="165"/>
    <x v="1"/>
    <x v="502"/>
    <x v="139"/>
    <x v="173"/>
    <x v="140"/>
    <x v="0"/>
    <x v="750"/>
    <x v="3"/>
    <x v="5"/>
    <x v="8"/>
    <x v="1"/>
    <x v="3"/>
    <x v="213"/>
  </r>
  <r>
    <x v="1002"/>
    <x v="8"/>
    <x v="45"/>
    <x v="57"/>
    <x v="148"/>
    <x v="144"/>
    <x v="3"/>
    <x v="483"/>
    <x v="441"/>
    <x v="1197"/>
    <x v="1124"/>
    <x v="0"/>
    <x v="1338"/>
    <x v="3"/>
    <x v="5"/>
    <x v="5"/>
    <x v="2"/>
    <x v="1"/>
    <x v="213"/>
  </r>
  <r>
    <x v="1003"/>
    <x v="148"/>
    <x v="35"/>
    <x v="82"/>
    <x v="158"/>
    <x v="153"/>
    <x v="2"/>
    <x v="71"/>
    <x v="1324"/>
    <x v="1414"/>
    <x v="1353"/>
    <x v="803"/>
    <x v="648"/>
    <x v="2"/>
    <x v="5"/>
    <x v="6"/>
    <x v="2"/>
    <x v="6"/>
    <x v="157"/>
  </r>
  <r>
    <x v="1004"/>
    <x v="147"/>
    <x v="1"/>
    <x v="98"/>
    <x v="139"/>
    <x v="137"/>
    <x v="3"/>
    <x v="470"/>
    <x v="517"/>
    <x v="941"/>
    <x v="987"/>
    <x v="510"/>
    <x v="843"/>
    <x v="2"/>
    <x v="5"/>
    <x v="1"/>
    <x v="0"/>
    <x v="6"/>
    <x v="133"/>
  </r>
  <r>
    <x v="1005"/>
    <x v="202"/>
    <x v="36"/>
    <x v="71"/>
    <x v="28"/>
    <x v="27"/>
    <x v="1"/>
    <x v="336"/>
    <x v="68"/>
    <x v="1203"/>
    <x v="1097"/>
    <x v="0"/>
    <x v="1321"/>
    <x v="1"/>
    <x v="0"/>
    <x v="2"/>
    <x v="1"/>
    <x v="2"/>
    <x v="213"/>
  </r>
  <r>
    <x v="1006"/>
    <x v="222"/>
    <x v="11"/>
    <x v="95"/>
    <x v="42"/>
    <x v="39"/>
    <x v="0"/>
    <x v="257"/>
    <x v="596"/>
    <x v="641"/>
    <x v="635"/>
    <x v="0"/>
    <x v="1148"/>
    <x v="3"/>
    <x v="5"/>
    <x v="3"/>
    <x v="1"/>
    <x v="5"/>
    <x v="213"/>
  </r>
  <r>
    <x v="1007"/>
    <x v="262"/>
    <x v="8"/>
    <x v="84"/>
    <x v="58"/>
    <x v="56"/>
    <x v="1"/>
    <x v="696"/>
    <x v="750"/>
    <x v="883"/>
    <x v="850"/>
    <x v="0"/>
    <x v="1228"/>
    <x v="3"/>
    <x v="5"/>
    <x v="6"/>
    <x v="0"/>
    <x v="3"/>
    <x v="213"/>
  </r>
  <r>
    <x v="1008"/>
    <x v="15"/>
    <x v="35"/>
    <x v="18"/>
    <x v="109"/>
    <x v="104"/>
    <x v="2"/>
    <x v="489"/>
    <x v="933"/>
    <x v="206"/>
    <x v="222"/>
    <x v="127"/>
    <x v="172"/>
    <x v="2"/>
    <x v="5"/>
    <x v="5"/>
    <x v="1"/>
    <x v="4"/>
    <x v="107"/>
  </r>
  <r>
    <x v="1009"/>
    <x v="189"/>
    <x v="22"/>
    <x v="52"/>
    <x v="40"/>
    <x v="37"/>
    <x v="1"/>
    <x v="689"/>
    <x v="569"/>
    <x v="126"/>
    <x v="133"/>
    <x v="0"/>
    <x v="715"/>
    <x v="3"/>
    <x v="5"/>
    <x v="12"/>
    <x v="0"/>
    <x v="5"/>
    <x v="213"/>
  </r>
  <r>
    <x v="1010"/>
    <x v="288"/>
    <x v="21"/>
    <x v="96"/>
    <x v="126"/>
    <x v="123"/>
    <x v="1"/>
    <x v="210"/>
    <x v="510"/>
    <x v="1235"/>
    <x v="1385"/>
    <x v="832"/>
    <x v="476"/>
    <x v="2"/>
    <x v="5"/>
    <x v="5"/>
    <x v="2"/>
    <x v="2"/>
    <x v="124"/>
  </r>
  <r>
    <x v="1011"/>
    <x v="15"/>
    <x v="10"/>
    <x v="61"/>
    <x v="139"/>
    <x v="138"/>
    <x v="0"/>
    <x v="1"/>
    <x v="20"/>
    <x v="1183"/>
    <x v="1127"/>
    <x v="662"/>
    <x v="665"/>
    <x v="2"/>
    <x v="5"/>
    <x v="0"/>
    <x v="1"/>
    <x v="1"/>
    <x v="132"/>
  </r>
  <r>
    <x v="1012"/>
    <x v="57"/>
    <x v="48"/>
    <x v="49"/>
    <x v="134"/>
    <x v="131"/>
    <x v="0"/>
    <x v="57"/>
    <x v="222"/>
    <x v="1362"/>
    <x v="1312"/>
    <x v="0"/>
    <x v="1426"/>
    <x v="3"/>
    <x v="5"/>
    <x v="3"/>
    <x v="1"/>
    <x v="6"/>
    <x v="213"/>
  </r>
  <r>
    <x v="1013"/>
    <x v="188"/>
    <x v="33"/>
    <x v="7"/>
    <x v="212"/>
    <x v="208"/>
    <x v="3"/>
    <x v="63"/>
    <x v="776"/>
    <x v="1455"/>
    <x v="1486"/>
    <x v="808"/>
    <x v="1034"/>
    <x v="2"/>
    <x v="5"/>
    <x v="1"/>
    <x v="1"/>
    <x v="5"/>
    <x v="205"/>
  </r>
  <r>
    <x v="1014"/>
    <x v="294"/>
    <x v="28"/>
    <x v="82"/>
    <x v="23"/>
    <x v="18"/>
    <x v="2"/>
    <x v="520"/>
    <x v="372"/>
    <x v="638"/>
    <x v="729"/>
    <x v="472"/>
    <x v="191"/>
    <x v="2"/>
    <x v="5"/>
    <x v="3"/>
    <x v="0"/>
    <x v="4"/>
    <x v="21"/>
  </r>
  <r>
    <x v="1015"/>
    <x v="222"/>
    <x v="38"/>
    <x v="36"/>
    <x v="95"/>
    <x v="94"/>
    <x v="2"/>
    <x v="134"/>
    <x v="160"/>
    <x v="384"/>
    <x v="439"/>
    <x v="0"/>
    <x v="1066"/>
    <x v="3"/>
    <x v="5"/>
    <x v="10"/>
    <x v="1"/>
    <x v="2"/>
    <x v="213"/>
  </r>
  <r>
    <x v="1016"/>
    <x v="9"/>
    <x v="35"/>
    <x v="11"/>
    <x v="40"/>
    <x v="35"/>
    <x v="2"/>
    <x v="602"/>
    <x v="1218"/>
    <x v="1282"/>
    <x v="1357"/>
    <x v="802"/>
    <x v="669"/>
    <x v="2"/>
    <x v="5"/>
    <x v="5"/>
    <x v="2"/>
    <x v="0"/>
    <x v="39"/>
  </r>
  <r>
    <x v="1017"/>
    <x v="11"/>
    <x v="25"/>
    <x v="67"/>
    <x v="45"/>
    <x v="41"/>
    <x v="3"/>
    <x v="52"/>
    <x v="522"/>
    <x v="881"/>
    <x v="1004"/>
    <x v="0"/>
    <x v="1288"/>
    <x v="3"/>
    <x v="5"/>
    <x v="7"/>
    <x v="0"/>
    <x v="6"/>
    <x v="213"/>
  </r>
  <r>
    <x v="1018"/>
    <x v="101"/>
    <x v="22"/>
    <x v="51"/>
    <x v="117"/>
    <x v="116"/>
    <x v="1"/>
    <x v="387"/>
    <x v="1377"/>
    <x v="190"/>
    <x v="229"/>
    <x v="116"/>
    <x v="259"/>
    <x v="2"/>
    <x v="5"/>
    <x v="2"/>
    <x v="0"/>
    <x v="2"/>
    <x v="112"/>
  </r>
  <r>
    <x v="1019"/>
    <x v="81"/>
    <x v="0"/>
    <x v="48"/>
    <x v="3"/>
    <x v="2"/>
    <x v="1"/>
    <x v="182"/>
    <x v="1091"/>
    <x v="1349"/>
    <x v="1191"/>
    <x v="0"/>
    <x v="1370"/>
    <x v="1"/>
    <x v="2"/>
    <x v="1"/>
    <x v="0"/>
    <x v="1"/>
    <x v="213"/>
  </r>
  <r>
    <x v="1020"/>
    <x v="60"/>
    <x v="12"/>
    <x v="27"/>
    <x v="136"/>
    <x v="131"/>
    <x v="2"/>
    <x v="57"/>
    <x v="1379"/>
    <x v="659"/>
    <x v="692"/>
    <x v="461"/>
    <x v="33"/>
    <x v="2"/>
    <x v="5"/>
    <x v="6"/>
    <x v="2"/>
    <x v="3"/>
    <x v="135"/>
  </r>
  <r>
    <x v="1021"/>
    <x v="198"/>
    <x v="18"/>
    <x v="65"/>
    <x v="71"/>
    <x v="67"/>
    <x v="1"/>
    <x v="682"/>
    <x v="252"/>
    <x v="1442"/>
    <x v="1484"/>
    <x v="838"/>
    <x v="945"/>
    <x v="2"/>
    <x v="5"/>
    <x v="2"/>
    <x v="2"/>
    <x v="3"/>
    <x v="67"/>
  </r>
  <r>
    <x v="1022"/>
    <x v="269"/>
    <x v="6"/>
    <x v="18"/>
    <x v="72"/>
    <x v="72"/>
    <x v="2"/>
    <x v="617"/>
    <x v="1277"/>
    <x v="299"/>
    <x v="275"/>
    <x v="131"/>
    <x v="395"/>
    <x v="2"/>
    <x v="5"/>
    <x v="7"/>
    <x v="1"/>
    <x v="5"/>
    <x v="73"/>
  </r>
  <r>
    <x v="1023"/>
    <x v="51"/>
    <x v="40"/>
    <x v="24"/>
    <x v="44"/>
    <x v="43"/>
    <x v="3"/>
    <x v="426"/>
    <x v="1083"/>
    <x v="1244"/>
    <x v="1320"/>
    <x v="814"/>
    <x v="267"/>
    <x v="2"/>
    <x v="5"/>
    <x v="2"/>
    <x v="0"/>
    <x v="5"/>
    <x v="40"/>
  </r>
  <r>
    <x v="1024"/>
    <x v="220"/>
    <x v="14"/>
    <x v="97"/>
    <x v="141"/>
    <x v="139"/>
    <x v="2"/>
    <x v="723"/>
    <x v="604"/>
    <x v="712"/>
    <x v="788"/>
    <x v="0"/>
    <x v="1204"/>
    <x v="3"/>
    <x v="5"/>
    <x v="12"/>
    <x v="1"/>
    <x v="6"/>
    <x v="213"/>
  </r>
  <r>
    <x v="1025"/>
    <x v="289"/>
    <x v="48"/>
    <x v="57"/>
    <x v="33"/>
    <x v="29"/>
    <x v="1"/>
    <x v="404"/>
    <x v="1376"/>
    <x v="1007"/>
    <x v="958"/>
    <x v="467"/>
    <x v="887"/>
    <x v="2"/>
    <x v="5"/>
    <x v="3"/>
    <x v="1"/>
    <x v="4"/>
    <x v="30"/>
  </r>
  <r>
    <x v="1026"/>
    <x v="31"/>
    <x v="25"/>
    <x v="63"/>
    <x v="112"/>
    <x v="109"/>
    <x v="0"/>
    <x v="333"/>
    <x v="1316"/>
    <x v="1486"/>
    <x v="1412"/>
    <x v="0"/>
    <x v="1467"/>
    <x v="3"/>
    <x v="5"/>
    <x v="14"/>
    <x v="0"/>
    <x v="1"/>
    <x v="213"/>
  </r>
  <r>
    <x v="1027"/>
    <x v="90"/>
    <x v="14"/>
    <x v="80"/>
    <x v="202"/>
    <x v="202"/>
    <x v="3"/>
    <x v="272"/>
    <x v="422"/>
    <x v="1"/>
    <x v="3"/>
    <x v="2"/>
    <x v="34"/>
    <x v="2"/>
    <x v="5"/>
    <x v="2"/>
    <x v="0"/>
    <x v="2"/>
    <x v="197"/>
  </r>
  <r>
    <x v="1028"/>
    <x v="133"/>
    <x v="25"/>
    <x v="72"/>
    <x v="178"/>
    <x v="173"/>
    <x v="0"/>
    <x v="610"/>
    <x v="198"/>
    <x v="1155"/>
    <x v="1196"/>
    <x v="689"/>
    <x v="733"/>
    <x v="2"/>
    <x v="5"/>
    <x v="1"/>
    <x v="1"/>
    <x v="4"/>
    <x v="172"/>
  </r>
  <r>
    <x v="1029"/>
    <x v="20"/>
    <x v="35"/>
    <x v="75"/>
    <x v="198"/>
    <x v="197"/>
    <x v="3"/>
    <x v="194"/>
    <x v="1105"/>
    <x v="832"/>
    <x v="784"/>
    <x v="439"/>
    <x v="623"/>
    <x v="2"/>
    <x v="5"/>
    <x v="7"/>
    <x v="1"/>
    <x v="5"/>
    <x v="198"/>
  </r>
  <r>
    <x v="1030"/>
    <x v="166"/>
    <x v="2"/>
    <x v="77"/>
    <x v="140"/>
    <x v="138"/>
    <x v="0"/>
    <x v="550"/>
    <x v="1369"/>
    <x v="1292"/>
    <x v="1442"/>
    <x v="0"/>
    <x v="1478"/>
    <x v="1"/>
    <x v="2"/>
    <x v="2"/>
    <x v="2"/>
    <x v="4"/>
    <x v="213"/>
  </r>
  <r>
    <x v="1031"/>
    <x v="149"/>
    <x v="38"/>
    <x v="43"/>
    <x v="158"/>
    <x v="153"/>
    <x v="1"/>
    <x v="537"/>
    <x v="229"/>
    <x v="736"/>
    <x v="675"/>
    <x v="0"/>
    <x v="1160"/>
    <x v="3"/>
    <x v="5"/>
    <x v="5"/>
    <x v="2"/>
    <x v="3"/>
    <x v="213"/>
  </r>
  <r>
    <x v="1032"/>
    <x v="45"/>
    <x v="22"/>
    <x v="22"/>
    <x v="120"/>
    <x v="115"/>
    <x v="0"/>
    <x v="446"/>
    <x v="1029"/>
    <x v="642"/>
    <x v="750"/>
    <x v="497"/>
    <x v="131"/>
    <x v="2"/>
    <x v="5"/>
    <x v="7"/>
    <x v="2"/>
    <x v="2"/>
    <x v="120"/>
  </r>
  <r>
    <x v="1033"/>
    <x v="138"/>
    <x v="24"/>
    <x v="99"/>
    <x v="123"/>
    <x v="122"/>
    <x v="1"/>
    <x v="508"/>
    <x v="169"/>
    <x v="1457"/>
    <x v="1295"/>
    <x v="810"/>
    <x v="161"/>
    <x v="2"/>
    <x v="5"/>
    <x v="7"/>
    <x v="1"/>
    <x v="4"/>
    <x v="123"/>
  </r>
  <r>
    <x v="1034"/>
    <x v="254"/>
    <x v="31"/>
    <x v="91"/>
    <x v="172"/>
    <x v="169"/>
    <x v="0"/>
    <x v="697"/>
    <x v="338"/>
    <x v="774"/>
    <x v="740"/>
    <x v="379"/>
    <x v="732"/>
    <x v="2"/>
    <x v="5"/>
    <x v="6"/>
    <x v="2"/>
    <x v="5"/>
    <x v="171"/>
  </r>
  <r>
    <x v="1035"/>
    <x v="200"/>
    <x v="41"/>
    <x v="23"/>
    <x v="148"/>
    <x v="147"/>
    <x v="0"/>
    <x v="305"/>
    <x v="149"/>
    <x v="1111"/>
    <x v="1252"/>
    <x v="729"/>
    <x v="689"/>
    <x v="2"/>
    <x v="5"/>
    <x v="0"/>
    <x v="1"/>
    <x v="3"/>
    <x v="141"/>
  </r>
  <r>
    <x v="1036"/>
    <x v="166"/>
    <x v="43"/>
    <x v="58"/>
    <x v="12"/>
    <x v="7"/>
    <x v="1"/>
    <x v="21"/>
    <x v="329"/>
    <x v="499"/>
    <x v="614"/>
    <x v="0"/>
    <x v="1143"/>
    <x v="1"/>
    <x v="4"/>
    <x v="6"/>
    <x v="0"/>
    <x v="3"/>
    <x v="213"/>
  </r>
  <r>
    <x v="1037"/>
    <x v="264"/>
    <x v="25"/>
    <x v="58"/>
    <x v="139"/>
    <x v="138"/>
    <x v="2"/>
    <x v="164"/>
    <x v="362"/>
    <x v="479"/>
    <x v="467"/>
    <x v="0"/>
    <x v="1074"/>
    <x v="1"/>
    <x v="3"/>
    <x v="4"/>
    <x v="2"/>
    <x v="1"/>
    <x v="213"/>
  </r>
  <r>
    <x v="1038"/>
    <x v="196"/>
    <x v="14"/>
    <x v="24"/>
    <x v="212"/>
    <x v="208"/>
    <x v="1"/>
    <x v="283"/>
    <x v="1041"/>
    <x v="945"/>
    <x v="1011"/>
    <x v="524"/>
    <x v="860"/>
    <x v="2"/>
    <x v="5"/>
    <x v="4"/>
    <x v="0"/>
    <x v="3"/>
    <x v="208"/>
  </r>
  <r>
    <x v="1039"/>
    <x v="243"/>
    <x v="11"/>
    <x v="43"/>
    <x v="25"/>
    <x v="20"/>
    <x v="2"/>
    <x v="139"/>
    <x v="456"/>
    <x v="456"/>
    <x v="472"/>
    <x v="0"/>
    <x v="1076"/>
    <x v="3"/>
    <x v="5"/>
    <x v="8"/>
    <x v="2"/>
    <x v="5"/>
    <x v="213"/>
  </r>
  <r>
    <x v="1040"/>
    <x v="254"/>
    <x v="6"/>
    <x v="71"/>
    <x v="61"/>
    <x v="56"/>
    <x v="2"/>
    <x v="306"/>
    <x v="955"/>
    <x v="769"/>
    <x v="874"/>
    <x v="488"/>
    <x v="673"/>
    <x v="2"/>
    <x v="5"/>
    <x v="3"/>
    <x v="0"/>
    <x v="4"/>
    <x v="58"/>
  </r>
  <r>
    <x v="1041"/>
    <x v="245"/>
    <x v="49"/>
    <x v="87"/>
    <x v="129"/>
    <x v="125"/>
    <x v="3"/>
    <x v="686"/>
    <x v="685"/>
    <x v="545"/>
    <x v="628"/>
    <x v="333"/>
    <x v="585"/>
    <x v="2"/>
    <x v="5"/>
    <x v="5"/>
    <x v="0"/>
    <x v="0"/>
    <x v="127"/>
  </r>
  <r>
    <x v="1042"/>
    <x v="291"/>
    <x v="4"/>
    <x v="14"/>
    <x v="51"/>
    <x v="49"/>
    <x v="2"/>
    <x v="496"/>
    <x v="1244"/>
    <x v="170"/>
    <x v="178"/>
    <x v="0"/>
    <x v="835"/>
    <x v="3"/>
    <x v="5"/>
    <x v="11"/>
    <x v="0"/>
    <x v="0"/>
    <x v="213"/>
  </r>
  <r>
    <x v="1043"/>
    <x v="182"/>
    <x v="13"/>
    <x v="50"/>
    <x v="54"/>
    <x v="50"/>
    <x v="3"/>
    <x v="70"/>
    <x v="852"/>
    <x v="467"/>
    <x v="426"/>
    <x v="0"/>
    <x v="1060"/>
    <x v="1"/>
    <x v="2"/>
    <x v="0"/>
    <x v="2"/>
    <x v="2"/>
    <x v="213"/>
  </r>
  <r>
    <x v="1044"/>
    <x v="107"/>
    <x v="26"/>
    <x v="60"/>
    <x v="29"/>
    <x v="27"/>
    <x v="1"/>
    <x v="197"/>
    <x v="1099"/>
    <x v="295"/>
    <x v="267"/>
    <x v="0"/>
    <x v="956"/>
    <x v="1"/>
    <x v="1"/>
    <x v="2"/>
    <x v="2"/>
    <x v="1"/>
    <x v="213"/>
  </r>
  <r>
    <x v="1045"/>
    <x v="143"/>
    <x v="49"/>
    <x v="11"/>
    <x v="81"/>
    <x v="81"/>
    <x v="1"/>
    <x v="646"/>
    <x v="916"/>
    <x v="917"/>
    <x v="1105"/>
    <x v="582"/>
    <x v="889"/>
    <x v="2"/>
    <x v="5"/>
    <x v="1"/>
    <x v="0"/>
    <x v="2"/>
    <x v="76"/>
  </r>
  <r>
    <x v="1046"/>
    <x v="65"/>
    <x v="48"/>
    <x v="61"/>
    <x v="102"/>
    <x v="98"/>
    <x v="1"/>
    <x v="227"/>
    <x v="940"/>
    <x v="1496"/>
    <x v="1472"/>
    <x v="849"/>
    <x v="806"/>
    <x v="2"/>
    <x v="5"/>
    <x v="0"/>
    <x v="0"/>
    <x v="6"/>
    <x v="95"/>
  </r>
  <r>
    <x v="1047"/>
    <x v="281"/>
    <x v="49"/>
    <x v="54"/>
    <x v="135"/>
    <x v="131"/>
    <x v="2"/>
    <x v="44"/>
    <x v="850"/>
    <x v="1141"/>
    <x v="1125"/>
    <x v="717"/>
    <x v="216"/>
    <x v="2"/>
    <x v="5"/>
    <x v="5"/>
    <x v="1"/>
    <x v="5"/>
    <x v="133"/>
  </r>
  <r>
    <x v="1048"/>
    <x v="257"/>
    <x v="21"/>
    <x v="94"/>
    <x v="109"/>
    <x v="106"/>
    <x v="3"/>
    <x v="445"/>
    <x v="887"/>
    <x v="392"/>
    <x v="458"/>
    <x v="221"/>
    <x v="559"/>
    <x v="2"/>
    <x v="5"/>
    <x v="5"/>
    <x v="1"/>
    <x v="5"/>
    <x v="107"/>
  </r>
  <r>
    <x v="1049"/>
    <x v="253"/>
    <x v="8"/>
    <x v="38"/>
    <x v="110"/>
    <x v="108"/>
    <x v="1"/>
    <x v="65"/>
    <x v="1102"/>
    <x v="441"/>
    <x v="485"/>
    <x v="0"/>
    <x v="1082"/>
    <x v="1"/>
    <x v="3"/>
    <x v="4"/>
    <x v="2"/>
    <x v="0"/>
    <x v="213"/>
  </r>
  <r>
    <x v="1050"/>
    <x v="116"/>
    <x v="4"/>
    <x v="30"/>
    <x v="34"/>
    <x v="34"/>
    <x v="0"/>
    <x v="533"/>
    <x v="301"/>
    <x v="50"/>
    <x v="61"/>
    <x v="0"/>
    <x v="488"/>
    <x v="1"/>
    <x v="3"/>
    <x v="5"/>
    <x v="2"/>
    <x v="1"/>
    <x v="213"/>
  </r>
  <r>
    <x v="1051"/>
    <x v="280"/>
    <x v="47"/>
    <x v="23"/>
    <x v="81"/>
    <x v="81"/>
    <x v="1"/>
    <x v="236"/>
    <x v="795"/>
    <x v="449"/>
    <x v="462"/>
    <x v="255"/>
    <x v="358"/>
    <x v="2"/>
    <x v="5"/>
    <x v="6"/>
    <x v="2"/>
    <x v="1"/>
    <x v="81"/>
  </r>
  <r>
    <x v="1052"/>
    <x v="247"/>
    <x v="9"/>
    <x v="63"/>
    <x v="137"/>
    <x v="133"/>
    <x v="0"/>
    <x v="351"/>
    <x v="1151"/>
    <x v="542"/>
    <x v="576"/>
    <x v="0"/>
    <x v="1127"/>
    <x v="3"/>
    <x v="5"/>
    <x v="14"/>
    <x v="1"/>
    <x v="1"/>
    <x v="213"/>
  </r>
  <r>
    <x v="1053"/>
    <x v="183"/>
    <x v="32"/>
    <x v="94"/>
    <x v="117"/>
    <x v="112"/>
    <x v="0"/>
    <x v="305"/>
    <x v="758"/>
    <x v="954"/>
    <x v="824"/>
    <x v="0"/>
    <x v="1216"/>
    <x v="1"/>
    <x v="3"/>
    <x v="0"/>
    <x v="0"/>
    <x v="0"/>
    <x v="213"/>
  </r>
  <r>
    <x v="1054"/>
    <x v="95"/>
    <x v="4"/>
    <x v="16"/>
    <x v="135"/>
    <x v="134"/>
    <x v="0"/>
    <x v="503"/>
    <x v="370"/>
    <x v="249"/>
    <x v="258"/>
    <x v="0"/>
    <x v="943"/>
    <x v="1"/>
    <x v="3"/>
    <x v="1"/>
    <x v="1"/>
    <x v="0"/>
    <x v="213"/>
  </r>
  <r>
    <x v="1055"/>
    <x v="262"/>
    <x v="15"/>
    <x v="53"/>
    <x v="162"/>
    <x v="160"/>
    <x v="3"/>
    <x v="402"/>
    <x v="427"/>
    <x v="76"/>
    <x v="82"/>
    <x v="0"/>
    <x v="581"/>
    <x v="3"/>
    <x v="5"/>
    <x v="4"/>
    <x v="0"/>
    <x v="4"/>
    <x v="213"/>
  </r>
  <r>
    <x v="1056"/>
    <x v="229"/>
    <x v="11"/>
    <x v="23"/>
    <x v="144"/>
    <x v="141"/>
    <x v="3"/>
    <x v="396"/>
    <x v="1189"/>
    <x v="775"/>
    <x v="875"/>
    <x v="494"/>
    <x v="656"/>
    <x v="2"/>
    <x v="5"/>
    <x v="1"/>
    <x v="2"/>
    <x v="3"/>
    <x v="138"/>
  </r>
  <r>
    <x v="1057"/>
    <x v="163"/>
    <x v="9"/>
    <x v="79"/>
    <x v="193"/>
    <x v="191"/>
    <x v="1"/>
    <x v="419"/>
    <x v="1166"/>
    <x v="377"/>
    <x v="330"/>
    <x v="169"/>
    <x v="439"/>
    <x v="2"/>
    <x v="5"/>
    <x v="0"/>
    <x v="2"/>
    <x v="4"/>
    <x v="186"/>
  </r>
  <r>
    <x v="1058"/>
    <x v="221"/>
    <x v="7"/>
    <x v="82"/>
    <x v="142"/>
    <x v="141"/>
    <x v="2"/>
    <x v="146"/>
    <x v="167"/>
    <x v="552"/>
    <x v="568"/>
    <x v="0"/>
    <x v="1124"/>
    <x v="3"/>
    <x v="5"/>
    <x v="5"/>
    <x v="2"/>
    <x v="4"/>
    <x v="213"/>
  </r>
  <r>
    <x v="1059"/>
    <x v="14"/>
    <x v="20"/>
    <x v="23"/>
    <x v="56"/>
    <x v="55"/>
    <x v="0"/>
    <x v="126"/>
    <x v="564"/>
    <x v="1058"/>
    <x v="967"/>
    <x v="578"/>
    <x v="557"/>
    <x v="2"/>
    <x v="5"/>
    <x v="2"/>
    <x v="1"/>
    <x v="2"/>
    <x v="52"/>
  </r>
  <r>
    <x v="1060"/>
    <x v="37"/>
    <x v="40"/>
    <x v="38"/>
    <x v="43"/>
    <x v="43"/>
    <x v="0"/>
    <x v="454"/>
    <x v="374"/>
    <x v="1191"/>
    <x v="1277"/>
    <x v="0"/>
    <x v="1408"/>
    <x v="3"/>
    <x v="5"/>
    <x v="12"/>
    <x v="0"/>
    <x v="6"/>
    <x v="213"/>
  </r>
  <r>
    <x v="1061"/>
    <x v="160"/>
    <x v="35"/>
    <x v="39"/>
    <x v="88"/>
    <x v="83"/>
    <x v="3"/>
    <x v="345"/>
    <x v="322"/>
    <x v="1446"/>
    <x v="1469"/>
    <x v="863"/>
    <x v="353"/>
    <x v="2"/>
    <x v="5"/>
    <x v="3"/>
    <x v="2"/>
    <x v="4"/>
    <x v="85"/>
  </r>
  <r>
    <x v="1062"/>
    <x v="146"/>
    <x v="15"/>
    <x v="2"/>
    <x v="168"/>
    <x v="165"/>
    <x v="3"/>
    <x v="218"/>
    <x v="666"/>
    <x v="1327"/>
    <x v="1195"/>
    <x v="0"/>
    <x v="1373"/>
    <x v="3"/>
    <x v="5"/>
    <x v="9"/>
    <x v="1"/>
    <x v="1"/>
    <x v="213"/>
  </r>
  <r>
    <x v="1063"/>
    <x v="294"/>
    <x v="28"/>
    <x v="0"/>
    <x v="201"/>
    <x v="198"/>
    <x v="0"/>
    <x v="471"/>
    <x v="460"/>
    <x v="1065"/>
    <x v="961"/>
    <x v="0"/>
    <x v="1275"/>
    <x v="3"/>
    <x v="5"/>
    <x v="10"/>
    <x v="2"/>
    <x v="0"/>
    <x v="213"/>
  </r>
  <r>
    <x v="1064"/>
    <x v="55"/>
    <x v="13"/>
    <x v="62"/>
    <x v="41"/>
    <x v="41"/>
    <x v="3"/>
    <x v="111"/>
    <x v="1319"/>
    <x v="988"/>
    <x v="1041"/>
    <x v="663"/>
    <x v="374"/>
    <x v="2"/>
    <x v="5"/>
    <x v="7"/>
    <x v="0"/>
    <x v="6"/>
    <x v="42"/>
  </r>
  <r>
    <x v="1065"/>
    <x v="27"/>
    <x v="35"/>
    <x v="24"/>
    <x v="38"/>
    <x v="38"/>
    <x v="0"/>
    <x v="27"/>
    <x v="131"/>
    <x v="1122"/>
    <x v="963"/>
    <x v="0"/>
    <x v="1277"/>
    <x v="1"/>
    <x v="0"/>
    <x v="5"/>
    <x v="2"/>
    <x v="1"/>
    <x v="213"/>
  </r>
  <r>
    <x v="1066"/>
    <x v="253"/>
    <x v="32"/>
    <x v="72"/>
    <x v="144"/>
    <x v="141"/>
    <x v="2"/>
    <x v="288"/>
    <x v="552"/>
    <x v="1409"/>
    <x v="1473"/>
    <x v="0"/>
    <x v="1489"/>
    <x v="3"/>
    <x v="5"/>
    <x v="11"/>
    <x v="1"/>
    <x v="4"/>
    <x v="213"/>
  </r>
  <r>
    <x v="1067"/>
    <x v="197"/>
    <x v="3"/>
    <x v="96"/>
    <x v="189"/>
    <x v="184"/>
    <x v="1"/>
    <x v="169"/>
    <x v="58"/>
    <x v="990"/>
    <x v="953"/>
    <x v="0"/>
    <x v="1271"/>
    <x v="1"/>
    <x v="4"/>
    <x v="3"/>
    <x v="2"/>
    <x v="3"/>
    <x v="213"/>
  </r>
  <r>
    <x v="1068"/>
    <x v="161"/>
    <x v="7"/>
    <x v="58"/>
    <x v="63"/>
    <x v="60"/>
    <x v="1"/>
    <x v="287"/>
    <x v="436"/>
    <x v="1211"/>
    <x v="1360"/>
    <x v="0"/>
    <x v="1446"/>
    <x v="3"/>
    <x v="5"/>
    <x v="12"/>
    <x v="0"/>
    <x v="1"/>
    <x v="213"/>
  </r>
  <r>
    <x v="1069"/>
    <x v="83"/>
    <x v="49"/>
    <x v="93"/>
    <x v="190"/>
    <x v="186"/>
    <x v="3"/>
    <x v="551"/>
    <x v="69"/>
    <x v="1288"/>
    <x v="1073"/>
    <x v="0"/>
    <x v="1311"/>
    <x v="1"/>
    <x v="4"/>
    <x v="2"/>
    <x v="0"/>
    <x v="3"/>
    <x v="213"/>
  </r>
  <r>
    <x v="1070"/>
    <x v="2"/>
    <x v="36"/>
    <x v="53"/>
    <x v="53"/>
    <x v="50"/>
    <x v="2"/>
    <x v="65"/>
    <x v="551"/>
    <x v="1291"/>
    <x v="1314"/>
    <x v="678"/>
    <x v="977"/>
    <x v="2"/>
    <x v="5"/>
    <x v="3"/>
    <x v="1"/>
    <x v="5"/>
    <x v="50"/>
  </r>
  <r>
    <x v="1071"/>
    <x v="75"/>
    <x v="46"/>
    <x v="19"/>
    <x v="127"/>
    <x v="127"/>
    <x v="1"/>
    <x v="173"/>
    <x v="412"/>
    <x v="160"/>
    <x v="152"/>
    <x v="0"/>
    <x v="773"/>
    <x v="3"/>
    <x v="5"/>
    <x v="13"/>
    <x v="0"/>
    <x v="1"/>
    <x v="213"/>
  </r>
  <r>
    <x v="1072"/>
    <x v="27"/>
    <x v="7"/>
    <x v="77"/>
    <x v="180"/>
    <x v="175"/>
    <x v="1"/>
    <x v="92"/>
    <x v="296"/>
    <x v="580"/>
    <x v="647"/>
    <x v="0"/>
    <x v="1153"/>
    <x v="0"/>
    <x v="5"/>
    <x v="2"/>
    <x v="2"/>
    <x v="2"/>
    <x v="213"/>
  </r>
  <r>
    <x v="1073"/>
    <x v="67"/>
    <x v="46"/>
    <x v="43"/>
    <x v="27"/>
    <x v="26"/>
    <x v="2"/>
    <x v="207"/>
    <x v="527"/>
    <x v="48"/>
    <x v="52"/>
    <x v="0"/>
    <x v="465"/>
    <x v="1"/>
    <x v="0"/>
    <x v="0"/>
    <x v="1"/>
    <x v="4"/>
    <x v="213"/>
  </r>
  <r>
    <x v="1074"/>
    <x v="89"/>
    <x v="29"/>
    <x v="83"/>
    <x v="187"/>
    <x v="186"/>
    <x v="3"/>
    <x v="647"/>
    <x v="1322"/>
    <x v="833"/>
    <x v="823"/>
    <x v="450"/>
    <x v="672"/>
    <x v="2"/>
    <x v="5"/>
    <x v="0"/>
    <x v="0"/>
    <x v="6"/>
    <x v="180"/>
  </r>
  <r>
    <x v="1075"/>
    <x v="264"/>
    <x v="8"/>
    <x v="43"/>
    <x v="197"/>
    <x v="195"/>
    <x v="1"/>
    <x v="477"/>
    <x v="857"/>
    <x v="120"/>
    <x v="96"/>
    <x v="56"/>
    <x v="103"/>
    <x v="2"/>
    <x v="5"/>
    <x v="6"/>
    <x v="0"/>
    <x v="6"/>
    <x v="196"/>
  </r>
  <r>
    <x v="1076"/>
    <x v="175"/>
    <x v="46"/>
    <x v="48"/>
    <x v="154"/>
    <x v="152"/>
    <x v="1"/>
    <x v="675"/>
    <x v="3"/>
    <x v="20"/>
    <x v="27"/>
    <x v="15"/>
    <x v="71"/>
    <x v="2"/>
    <x v="5"/>
    <x v="5"/>
    <x v="0"/>
    <x v="4"/>
    <x v="152"/>
  </r>
  <r>
    <x v="1077"/>
    <x v="8"/>
    <x v="49"/>
    <x v="12"/>
    <x v="174"/>
    <x v="170"/>
    <x v="0"/>
    <x v="376"/>
    <x v="312"/>
    <x v="185"/>
    <x v="196"/>
    <x v="0"/>
    <x v="863"/>
    <x v="3"/>
    <x v="5"/>
    <x v="10"/>
    <x v="0"/>
    <x v="3"/>
    <x v="213"/>
  </r>
  <r>
    <x v="1078"/>
    <x v="64"/>
    <x v="13"/>
    <x v="3"/>
    <x v="51"/>
    <x v="48"/>
    <x v="3"/>
    <x v="57"/>
    <x v="407"/>
    <x v="804"/>
    <x v="827"/>
    <x v="0"/>
    <x v="1218"/>
    <x v="1"/>
    <x v="1"/>
    <x v="6"/>
    <x v="0"/>
    <x v="6"/>
    <x v="213"/>
  </r>
  <r>
    <x v="1079"/>
    <x v="140"/>
    <x v="3"/>
    <x v="21"/>
    <x v="123"/>
    <x v="123"/>
    <x v="1"/>
    <x v="367"/>
    <x v="234"/>
    <x v="502"/>
    <x v="449"/>
    <x v="224"/>
    <x v="508"/>
    <x v="2"/>
    <x v="5"/>
    <x v="7"/>
    <x v="2"/>
    <x v="2"/>
    <x v="123"/>
  </r>
  <r>
    <x v="1080"/>
    <x v="171"/>
    <x v="20"/>
    <x v="33"/>
    <x v="151"/>
    <x v="151"/>
    <x v="0"/>
    <x v="687"/>
    <x v="26"/>
    <x v="187"/>
    <x v="217"/>
    <x v="119"/>
    <x v="200"/>
    <x v="2"/>
    <x v="5"/>
    <x v="1"/>
    <x v="0"/>
    <x v="4"/>
    <x v="145"/>
  </r>
  <r>
    <x v="1081"/>
    <x v="250"/>
    <x v="36"/>
    <x v="98"/>
    <x v="183"/>
    <x v="181"/>
    <x v="2"/>
    <x v="305"/>
    <x v="1095"/>
    <x v="75"/>
    <x v="56"/>
    <x v="30"/>
    <x v="100"/>
    <x v="2"/>
    <x v="5"/>
    <x v="6"/>
    <x v="2"/>
    <x v="5"/>
    <x v="182"/>
  </r>
  <r>
    <x v="1082"/>
    <x v="86"/>
    <x v="15"/>
    <x v="32"/>
    <x v="18"/>
    <x v="16"/>
    <x v="2"/>
    <x v="701"/>
    <x v="278"/>
    <x v="1000"/>
    <x v="1214"/>
    <x v="688"/>
    <x v="805"/>
    <x v="2"/>
    <x v="5"/>
    <x v="6"/>
    <x v="0"/>
    <x v="1"/>
    <x v="19"/>
  </r>
  <r>
    <x v="1083"/>
    <x v="259"/>
    <x v="7"/>
    <x v="4"/>
    <x v="209"/>
    <x v="207"/>
    <x v="0"/>
    <x v="18"/>
    <x v="1062"/>
    <x v="2"/>
    <x v="0"/>
    <x v="1"/>
    <x v="27"/>
    <x v="2"/>
    <x v="5"/>
    <x v="1"/>
    <x v="1"/>
    <x v="6"/>
    <x v="202"/>
  </r>
  <r>
    <x v="1084"/>
    <x v="274"/>
    <x v="0"/>
    <x v="66"/>
    <x v="28"/>
    <x v="25"/>
    <x v="1"/>
    <x v="677"/>
    <x v="956"/>
    <x v="1135"/>
    <x v="975"/>
    <x v="506"/>
    <x v="830"/>
    <x v="2"/>
    <x v="5"/>
    <x v="0"/>
    <x v="2"/>
    <x v="0"/>
    <x v="23"/>
  </r>
  <r>
    <x v="1085"/>
    <x v="42"/>
    <x v="12"/>
    <x v="65"/>
    <x v="41"/>
    <x v="37"/>
    <x v="1"/>
    <x v="337"/>
    <x v="1163"/>
    <x v="1060"/>
    <x v="1283"/>
    <x v="766"/>
    <x v="517"/>
    <x v="2"/>
    <x v="5"/>
    <x v="7"/>
    <x v="0"/>
    <x v="6"/>
    <x v="42"/>
  </r>
  <r>
    <x v="1086"/>
    <x v="180"/>
    <x v="33"/>
    <x v="35"/>
    <x v="16"/>
    <x v="13"/>
    <x v="2"/>
    <x v="250"/>
    <x v="530"/>
    <x v="465"/>
    <x v="551"/>
    <x v="0"/>
    <x v="1116"/>
    <x v="3"/>
    <x v="5"/>
    <x v="7"/>
    <x v="2"/>
    <x v="6"/>
    <x v="213"/>
  </r>
  <r>
    <x v="1087"/>
    <x v="224"/>
    <x v="27"/>
    <x v="90"/>
    <x v="34"/>
    <x v="29"/>
    <x v="2"/>
    <x v="494"/>
    <x v="665"/>
    <x v="22"/>
    <x v="17"/>
    <x v="12"/>
    <x v="50"/>
    <x v="2"/>
    <x v="5"/>
    <x v="5"/>
    <x v="2"/>
    <x v="0"/>
    <x v="33"/>
  </r>
  <r>
    <x v="1088"/>
    <x v="202"/>
    <x v="10"/>
    <x v="56"/>
    <x v="52"/>
    <x v="52"/>
    <x v="3"/>
    <x v="698"/>
    <x v="1120"/>
    <x v="469"/>
    <x v="561"/>
    <x v="347"/>
    <x v="214"/>
    <x v="2"/>
    <x v="5"/>
    <x v="3"/>
    <x v="2"/>
    <x v="2"/>
    <x v="49"/>
  </r>
  <r>
    <x v="1089"/>
    <x v="9"/>
    <x v="2"/>
    <x v="7"/>
    <x v="211"/>
    <x v="210"/>
    <x v="3"/>
    <x v="332"/>
    <x v="1068"/>
    <x v="853"/>
    <x v="883"/>
    <x v="572"/>
    <x v="250"/>
    <x v="2"/>
    <x v="5"/>
    <x v="7"/>
    <x v="2"/>
    <x v="0"/>
    <x v="210"/>
  </r>
  <r>
    <x v="1090"/>
    <x v="25"/>
    <x v="28"/>
    <x v="75"/>
    <x v="81"/>
    <x v="79"/>
    <x v="2"/>
    <x v="553"/>
    <x v="1198"/>
    <x v="35"/>
    <x v="23"/>
    <x v="0"/>
    <x v="281"/>
    <x v="3"/>
    <x v="5"/>
    <x v="4"/>
    <x v="0"/>
    <x v="3"/>
    <x v="213"/>
  </r>
  <r>
    <x v="1091"/>
    <x v="34"/>
    <x v="45"/>
    <x v="72"/>
    <x v="9"/>
    <x v="9"/>
    <x v="3"/>
    <x v="474"/>
    <x v="8"/>
    <x v="373"/>
    <x v="339"/>
    <x v="0"/>
    <x v="1017"/>
    <x v="3"/>
    <x v="5"/>
    <x v="11"/>
    <x v="2"/>
    <x v="6"/>
    <x v="213"/>
  </r>
  <r>
    <x v="1092"/>
    <x v="149"/>
    <x v="41"/>
    <x v="76"/>
    <x v="175"/>
    <x v="170"/>
    <x v="2"/>
    <x v="327"/>
    <x v="1338"/>
    <x v="1164"/>
    <x v="980"/>
    <x v="605"/>
    <x v="521"/>
    <x v="2"/>
    <x v="5"/>
    <x v="0"/>
    <x v="2"/>
    <x v="4"/>
    <x v="168"/>
  </r>
  <r>
    <x v="1093"/>
    <x v="191"/>
    <x v="38"/>
    <x v="71"/>
    <x v="62"/>
    <x v="57"/>
    <x v="3"/>
    <x v="82"/>
    <x v="1056"/>
    <x v="650"/>
    <x v="652"/>
    <x v="321"/>
    <x v="701"/>
    <x v="2"/>
    <x v="5"/>
    <x v="6"/>
    <x v="2"/>
    <x v="0"/>
    <x v="62"/>
  </r>
  <r>
    <x v="1094"/>
    <x v="117"/>
    <x v="11"/>
    <x v="97"/>
    <x v="39"/>
    <x v="38"/>
    <x v="3"/>
    <x v="361"/>
    <x v="484"/>
    <x v="1427"/>
    <x v="1380"/>
    <x v="811"/>
    <x v="706"/>
    <x v="2"/>
    <x v="5"/>
    <x v="3"/>
    <x v="0"/>
    <x v="4"/>
    <x v="36"/>
  </r>
  <r>
    <x v="1095"/>
    <x v="224"/>
    <x v="0"/>
    <x v="8"/>
    <x v="180"/>
    <x v="176"/>
    <x v="3"/>
    <x v="137"/>
    <x v="1107"/>
    <x v="872"/>
    <x v="921"/>
    <x v="0"/>
    <x v="1253"/>
    <x v="3"/>
    <x v="5"/>
    <x v="4"/>
    <x v="1"/>
    <x v="6"/>
    <x v="213"/>
  </r>
  <r>
    <x v="1096"/>
    <x v="52"/>
    <x v="5"/>
    <x v="52"/>
    <x v="7"/>
    <x v="6"/>
    <x v="1"/>
    <x v="701"/>
    <x v="417"/>
    <x v="747"/>
    <x v="863"/>
    <x v="509"/>
    <x v="543"/>
    <x v="2"/>
    <x v="5"/>
    <x v="2"/>
    <x v="1"/>
    <x v="4"/>
    <x v="5"/>
  </r>
  <r>
    <x v="1097"/>
    <x v="41"/>
    <x v="15"/>
    <x v="47"/>
    <x v="168"/>
    <x v="168"/>
    <x v="2"/>
    <x v="119"/>
    <x v="295"/>
    <x v="978"/>
    <x v="897"/>
    <x v="0"/>
    <x v="1243"/>
    <x v="3"/>
    <x v="5"/>
    <x v="11"/>
    <x v="0"/>
    <x v="2"/>
    <x v="213"/>
  </r>
  <r>
    <x v="1098"/>
    <x v="15"/>
    <x v="4"/>
    <x v="69"/>
    <x v="10"/>
    <x v="5"/>
    <x v="2"/>
    <x v="217"/>
    <x v="798"/>
    <x v="731"/>
    <x v="767"/>
    <x v="0"/>
    <x v="1196"/>
    <x v="1"/>
    <x v="4"/>
    <x v="4"/>
    <x v="1"/>
    <x v="6"/>
    <x v="213"/>
  </r>
  <r>
    <x v="1099"/>
    <x v="288"/>
    <x v="28"/>
    <x v="64"/>
    <x v="41"/>
    <x v="41"/>
    <x v="3"/>
    <x v="362"/>
    <x v="37"/>
    <x v="1320"/>
    <x v="1251"/>
    <x v="726"/>
    <x v="705"/>
    <x v="2"/>
    <x v="5"/>
    <x v="3"/>
    <x v="1"/>
    <x v="6"/>
    <x v="38"/>
  </r>
  <r>
    <x v="1100"/>
    <x v="90"/>
    <x v="12"/>
    <x v="48"/>
    <x v="15"/>
    <x v="15"/>
    <x v="1"/>
    <x v="249"/>
    <x v="1036"/>
    <x v="56"/>
    <x v="57"/>
    <x v="33"/>
    <x v="86"/>
    <x v="2"/>
    <x v="5"/>
    <x v="1"/>
    <x v="0"/>
    <x v="1"/>
    <x v="12"/>
  </r>
  <r>
    <x v="1101"/>
    <x v="82"/>
    <x v="38"/>
    <x v="85"/>
    <x v="170"/>
    <x v="165"/>
    <x v="2"/>
    <x v="461"/>
    <x v="1292"/>
    <x v="227"/>
    <x v="272"/>
    <x v="160"/>
    <x v="170"/>
    <x v="2"/>
    <x v="5"/>
    <x v="4"/>
    <x v="0"/>
    <x v="2"/>
    <x v="167"/>
  </r>
  <r>
    <x v="1102"/>
    <x v="134"/>
    <x v="2"/>
    <x v="75"/>
    <x v="188"/>
    <x v="185"/>
    <x v="3"/>
    <x v="188"/>
    <x v="306"/>
    <x v="1497"/>
    <x v="1498"/>
    <x v="859"/>
    <x v="874"/>
    <x v="2"/>
    <x v="5"/>
    <x v="0"/>
    <x v="2"/>
    <x v="1"/>
    <x v="181"/>
  </r>
  <r>
    <x v="1103"/>
    <x v="88"/>
    <x v="31"/>
    <x v="36"/>
    <x v="26"/>
    <x v="22"/>
    <x v="0"/>
    <x v="277"/>
    <x v="983"/>
    <x v="494"/>
    <x v="414"/>
    <x v="260"/>
    <x v="89"/>
    <x v="2"/>
    <x v="5"/>
    <x v="3"/>
    <x v="2"/>
    <x v="0"/>
    <x v="24"/>
  </r>
  <r>
    <x v="1104"/>
    <x v="199"/>
    <x v="11"/>
    <x v="37"/>
    <x v="202"/>
    <x v="199"/>
    <x v="1"/>
    <x v="501"/>
    <x v="1089"/>
    <x v="1275"/>
    <x v="1347"/>
    <x v="0"/>
    <x v="1440"/>
    <x v="3"/>
    <x v="5"/>
    <x v="13"/>
    <x v="1"/>
    <x v="4"/>
    <x v="213"/>
  </r>
  <r>
    <x v="1105"/>
    <x v="13"/>
    <x v="17"/>
    <x v="57"/>
    <x v="76"/>
    <x v="72"/>
    <x v="3"/>
    <x v="124"/>
    <x v="175"/>
    <x v="802"/>
    <x v="886"/>
    <x v="602"/>
    <x v="108"/>
    <x v="2"/>
    <x v="5"/>
    <x v="6"/>
    <x v="2"/>
    <x v="0"/>
    <x v="76"/>
  </r>
  <r>
    <x v="1106"/>
    <x v="204"/>
    <x v="17"/>
    <x v="69"/>
    <x v="43"/>
    <x v="39"/>
    <x v="0"/>
    <x v="0"/>
    <x v="1286"/>
    <x v="543"/>
    <x v="476"/>
    <x v="304"/>
    <x v="68"/>
    <x v="2"/>
    <x v="5"/>
    <x v="3"/>
    <x v="1"/>
    <x v="1"/>
    <x v="40"/>
  </r>
  <r>
    <x v="1107"/>
    <x v="219"/>
    <x v="8"/>
    <x v="33"/>
    <x v="200"/>
    <x v="199"/>
    <x v="2"/>
    <x v="396"/>
    <x v="394"/>
    <x v="565"/>
    <x v="615"/>
    <x v="318"/>
    <x v="639"/>
    <x v="2"/>
    <x v="5"/>
    <x v="0"/>
    <x v="1"/>
    <x v="2"/>
    <x v="193"/>
  </r>
  <r>
    <x v="1108"/>
    <x v="107"/>
    <x v="7"/>
    <x v="75"/>
    <x v="158"/>
    <x v="154"/>
    <x v="0"/>
    <x v="296"/>
    <x v="438"/>
    <x v="29"/>
    <x v="37"/>
    <x v="18"/>
    <x v="96"/>
    <x v="2"/>
    <x v="5"/>
    <x v="1"/>
    <x v="0"/>
    <x v="4"/>
    <x v="152"/>
  </r>
  <r>
    <x v="1109"/>
    <x v="125"/>
    <x v="2"/>
    <x v="32"/>
    <x v="104"/>
    <x v="104"/>
    <x v="3"/>
    <x v="457"/>
    <x v="1304"/>
    <x v="676"/>
    <x v="661"/>
    <x v="314"/>
    <x v="759"/>
    <x v="2"/>
    <x v="5"/>
    <x v="2"/>
    <x v="0"/>
    <x v="2"/>
    <x v="99"/>
  </r>
  <r>
    <x v="1110"/>
    <x v="249"/>
    <x v="9"/>
    <x v="33"/>
    <x v="90"/>
    <x v="85"/>
    <x v="1"/>
    <x v="511"/>
    <x v="259"/>
    <x v="238"/>
    <x v="284"/>
    <x v="145"/>
    <x v="331"/>
    <x v="2"/>
    <x v="5"/>
    <x v="4"/>
    <x v="2"/>
    <x v="3"/>
    <x v="88"/>
  </r>
  <r>
    <x v="1111"/>
    <x v="32"/>
    <x v="30"/>
    <x v="96"/>
    <x v="166"/>
    <x v="166"/>
    <x v="2"/>
    <x v="622"/>
    <x v="176"/>
    <x v="1032"/>
    <x v="962"/>
    <x v="0"/>
    <x v="1276"/>
    <x v="1"/>
    <x v="0"/>
    <x v="6"/>
    <x v="1"/>
    <x v="6"/>
    <x v="213"/>
  </r>
  <r>
    <x v="1112"/>
    <x v="275"/>
    <x v="34"/>
    <x v="93"/>
    <x v="181"/>
    <x v="179"/>
    <x v="1"/>
    <x v="723"/>
    <x v="1027"/>
    <x v="835"/>
    <x v="870"/>
    <x v="0"/>
    <x v="1234"/>
    <x v="3"/>
    <x v="5"/>
    <x v="3"/>
    <x v="2"/>
    <x v="1"/>
    <x v="213"/>
  </r>
  <r>
    <x v="1113"/>
    <x v="113"/>
    <x v="20"/>
    <x v="79"/>
    <x v="142"/>
    <x v="141"/>
    <x v="0"/>
    <x v="326"/>
    <x v="981"/>
    <x v="106"/>
    <x v="95"/>
    <x v="53"/>
    <x v="112"/>
    <x v="2"/>
    <x v="5"/>
    <x v="1"/>
    <x v="2"/>
    <x v="5"/>
    <x v="136"/>
  </r>
  <r>
    <x v="1114"/>
    <x v="293"/>
    <x v="25"/>
    <x v="89"/>
    <x v="112"/>
    <x v="108"/>
    <x v="2"/>
    <x v="260"/>
    <x v="1295"/>
    <x v="912"/>
    <x v="1082"/>
    <x v="0"/>
    <x v="1315"/>
    <x v="3"/>
    <x v="5"/>
    <x v="14"/>
    <x v="2"/>
    <x v="5"/>
    <x v="213"/>
  </r>
  <r>
    <x v="1115"/>
    <x v="25"/>
    <x v="7"/>
    <x v="15"/>
    <x v="84"/>
    <x v="79"/>
    <x v="0"/>
    <x v="599"/>
    <x v="479"/>
    <x v="122"/>
    <x v="117"/>
    <x v="0"/>
    <x v="676"/>
    <x v="1"/>
    <x v="1"/>
    <x v="4"/>
    <x v="0"/>
    <x v="1"/>
    <x v="213"/>
  </r>
  <r>
    <x v="1116"/>
    <x v="175"/>
    <x v="7"/>
    <x v="9"/>
    <x v="178"/>
    <x v="175"/>
    <x v="2"/>
    <x v="61"/>
    <x v="1092"/>
    <x v="350"/>
    <x v="407"/>
    <x v="0"/>
    <x v="1051"/>
    <x v="0"/>
    <x v="5"/>
    <x v="0"/>
    <x v="1"/>
    <x v="4"/>
    <x v="213"/>
  </r>
  <r>
    <x v="1117"/>
    <x v="211"/>
    <x v="20"/>
    <x v="31"/>
    <x v="16"/>
    <x v="15"/>
    <x v="2"/>
    <x v="588"/>
    <x v="330"/>
    <x v="789"/>
    <x v="887"/>
    <x v="0"/>
    <x v="1238"/>
    <x v="1"/>
    <x v="3"/>
    <x v="6"/>
    <x v="0"/>
    <x v="5"/>
    <x v="213"/>
  </r>
  <r>
    <x v="1118"/>
    <x v="289"/>
    <x v="19"/>
    <x v="17"/>
    <x v="150"/>
    <x v="148"/>
    <x v="3"/>
    <x v="435"/>
    <x v="652"/>
    <x v="875"/>
    <x v="851"/>
    <x v="413"/>
    <x v="851"/>
    <x v="2"/>
    <x v="5"/>
    <x v="0"/>
    <x v="0"/>
    <x v="0"/>
    <x v="143"/>
  </r>
  <r>
    <x v="1119"/>
    <x v="216"/>
    <x v="31"/>
    <x v="52"/>
    <x v="78"/>
    <x v="75"/>
    <x v="1"/>
    <x v="271"/>
    <x v="1117"/>
    <x v="1009"/>
    <x v="940"/>
    <x v="0"/>
    <x v="1263"/>
    <x v="0"/>
    <x v="5"/>
    <x v="6"/>
    <x v="2"/>
    <x v="6"/>
    <x v="213"/>
  </r>
  <r>
    <x v="1120"/>
    <x v="288"/>
    <x v="28"/>
    <x v="39"/>
    <x v="5"/>
    <x v="3"/>
    <x v="3"/>
    <x v="184"/>
    <x v="511"/>
    <x v="1286"/>
    <x v="1301"/>
    <x v="733"/>
    <x v="777"/>
    <x v="2"/>
    <x v="5"/>
    <x v="0"/>
    <x v="1"/>
    <x v="1"/>
    <x v="2"/>
  </r>
  <r>
    <x v="1121"/>
    <x v="191"/>
    <x v="8"/>
    <x v="81"/>
    <x v="155"/>
    <x v="155"/>
    <x v="0"/>
    <x v="641"/>
    <x v="1079"/>
    <x v="342"/>
    <x v="388"/>
    <x v="204"/>
    <x v="448"/>
    <x v="2"/>
    <x v="5"/>
    <x v="6"/>
    <x v="2"/>
    <x v="4"/>
    <x v="154"/>
  </r>
  <r>
    <x v="1122"/>
    <x v="4"/>
    <x v="44"/>
    <x v="86"/>
    <x v="74"/>
    <x v="74"/>
    <x v="2"/>
    <x v="132"/>
    <x v="493"/>
    <x v="934"/>
    <x v="993"/>
    <x v="551"/>
    <x v="729"/>
    <x v="2"/>
    <x v="5"/>
    <x v="0"/>
    <x v="0"/>
    <x v="6"/>
    <x v="68"/>
  </r>
  <r>
    <x v="1123"/>
    <x v="238"/>
    <x v="19"/>
    <x v="51"/>
    <x v="40"/>
    <x v="38"/>
    <x v="0"/>
    <x v="636"/>
    <x v="834"/>
    <x v="1132"/>
    <x v="1139"/>
    <x v="734"/>
    <x v="79"/>
    <x v="2"/>
    <x v="5"/>
    <x v="7"/>
    <x v="1"/>
    <x v="0"/>
    <x v="41"/>
  </r>
  <r>
    <x v="1124"/>
    <x v="253"/>
    <x v="16"/>
    <x v="68"/>
    <x v="99"/>
    <x v="99"/>
    <x v="2"/>
    <x v="46"/>
    <x v="19"/>
    <x v="254"/>
    <x v="283"/>
    <x v="134"/>
    <x v="404"/>
    <x v="2"/>
    <x v="5"/>
    <x v="5"/>
    <x v="1"/>
    <x v="0"/>
    <x v="97"/>
  </r>
  <r>
    <x v="1125"/>
    <x v="282"/>
    <x v="8"/>
    <x v="25"/>
    <x v="30"/>
    <x v="27"/>
    <x v="1"/>
    <x v="144"/>
    <x v="931"/>
    <x v="1473"/>
    <x v="1411"/>
    <x v="0"/>
    <x v="1466"/>
    <x v="3"/>
    <x v="5"/>
    <x v="10"/>
    <x v="2"/>
    <x v="1"/>
    <x v="213"/>
  </r>
  <r>
    <x v="1126"/>
    <x v="213"/>
    <x v="4"/>
    <x v="18"/>
    <x v="5"/>
    <x v="3"/>
    <x v="1"/>
    <x v="136"/>
    <x v="153"/>
    <x v="1485"/>
    <x v="1395"/>
    <x v="763"/>
    <x v="932"/>
    <x v="2"/>
    <x v="5"/>
    <x v="2"/>
    <x v="0"/>
    <x v="5"/>
    <x v="3"/>
  </r>
  <r>
    <x v="1127"/>
    <x v="173"/>
    <x v="44"/>
    <x v="75"/>
    <x v="65"/>
    <x v="64"/>
    <x v="2"/>
    <x v="723"/>
    <x v="1345"/>
    <x v="1330"/>
    <x v="1250"/>
    <x v="0"/>
    <x v="1398"/>
    <x v="3"/>
    <x v="5"/>
    <x v="9"/>
    <x v="0"/>
    <x v="2"/>
    <x v="213"/>
  </r>
  <r>
    <x v="1128"/>
    <x v="259"/>
    <x v="11"/>
    <x v="39"/>
    <x v="143"/>
    <x v="141"/>
    <x v="0"/>
    <x v="98"/>
    <x v="606"/>
    <x v="939"/>
    <x v="909"/>
    <x v="0"/>
    <x v="1248"/>
    <x v="0"/>
    <x v="5"/>
    <x v="4"/>
    <x v="1"/>
    <x v="3"/>
    <x v="213"/>
  </r>
  <r>
    <x v="1129"/>
    <x v="128"/>
    <x v="19"/>
    <x v="83"/>
    <x v="66"/>
    <x v="64"/>
    <x v="3"/>
    <x v="238"/>
    <x v="1197"/>
    <x v="1470"/>
    <x v="1336"/>
    <x v="0"/>
    <x v="1435"/>
    <x v="1"/>
    <x v="0"/>
    <x v="0"/>
    <x v="2"/>
    <x v="4"/>
    <x v="213"/>
  </r>
  <r>
    <x v="1130"/>
    <x v="225"/>
    <x v="18"/>
    <x v="98"/>
    <x v="38"/>
    <x v="37"/>
    <x v="2"/>
    <x v="565"/>
    <x v="232"/>
    <x v="101"/>
    <x v="81"/>
    <x v="0"/>
    <x v="580"/>
    <x v="1"/>
    <x v="3"/>
    <x v="3"/>
    <x v="2"/>
    <x v="2"/>
    <x v="213"/>
  </r>
  <r>
    <x v="1131"/>
    <x v="84"/>
    <x v="1"/>
    <x v="24"/>
    <x v="201"/>
    <x v="198"/>
    <x v="2"/>
    <x v="567"/>
    <x v="450"/>
    <x v="343"/>
    <x v="325"/>
    <x v="0"/>
    <x v="1008"/>
    <x v="1"/>
    <x v="0"/>
    <x v="2"/>
    <x v="0"/>
    <x v="2"/>
    <x v="213"/>
  </r>
  <r>
    <x v="1132"/>
    <x v="124"/>
    <x v="2"/>
    <x v="32"/>
    <x v="95"/>
    <x v="90"/>
    <x v="3"/>
    <x v="593"/>
    <x v="516"/>
    <x v="798"/>
    <x v="911"/>
    <x v="449"/>
    <x v="850"/>
    <x v="2"/>
    <x v="5"/>
    <x v="6"/>
    <x v="0"/>
    <x v="2"/>
    <x v="94"/>
  </r>
  <r>
    <x v="1133"/>
    <x v="166"/>
    <x v="14"/>
    <x v="39"/>
    <x v="156"/>
    <x v="155"/>
    <x v="1"/>
    <x v="25"/>
    <x v="274"/>
    <x v="800"/>
    <x v="922"/>
    <x v="495"/>
    <x v="751"/>
    <x v="2"/>
    <x v="5"/>
    <x v="3"/>
    <x v="1"/>
    <x v="0"/>
    <x v="152"/>
  </r>
  <r>
    <x v="1134"/>
    <x v="172"/>
    <x v="11"/>
    <x v="35"/>
    <x v="186"/>
    <x v="183"/>
    <x v="3"/>
    <x v="213"/>
    <x v="936"/>
    <x v="732"/>
    <x v="738"/>
    <x v="364"/>
    <x v="775"/>
    <x v="2"/>
    <x v="5"/>
    <x v="6"/>
    <x v="2"/>
    <x v="3"/>
    <x v="185"/>
  </r>
  <r>
    <x v="1135"/>
    <x v="239"/>
    <x v="38"/>
    <x v="79"/>
    <x v="109"/>
    <x v="109"/>
    <x v="0"/>
    <x v="374"/>
    <x v="282"/>
    <x v="304"/>
    <x v="314"/>
    <x v="0"/>
    <x v="996"/>
    <x v="1"/>
    <x v="2"/>
    <x v="5"/>
    <x v="0"/>
    <x v="4"/>
    <x v="213"/>
  </r>
  <r>
    <x v="1136"/>
    <x v="61"/>
    <x v="9"/>
    <x v="68"/>
    <x v="180"/>
    <x v="175"/>
    <x v="2"/>
    <x v="413"/>
    <x v="1307"/>
    <x v="1195"/>
    <x v="1286"/>
    <x v="0"/>
    <x v="1411"/>
    <x v="1"/>
    <x v="4"/>
    <x v="3"/>
    <x v="1"/>
    <x v="3"/>
    <x v="213"/>
  </r>
  <r>
    <x v="1137"/>
    <x v="31"/>
    <x v="19"/>
    <x v="40"/>
    <x v="142"/>
    <x v="137"/>
    <x v="2"/>
    <x v="479"/>
    <x v="342"/>
    <x v="919"/>
    <x v="968"/>
    <x v="655"/>
    <x v="21"/>
    <x v="2"/>
    <x v="5"/>
    <x v="2"/>
    <x v="2"/>
    <x v="0"/>
    <x v="137"/>
  </r>
  <r>
    <x v="1138"/>
    <x v="272"/>
    <x v="47"/>
    <x v="48"/>
    <x v="73"/>
    <x v="70"/>
    <x v="3"/>
    <x v="146"/>
    <x v="707"/>
    <x v="362"/>
    <x v="329"/>
    <x v="0"/>
    <x v="1011"/>
    <x v="3"/>
    <x v="5"/>
    <x v="4"/>
    <x v="0"/>
    <x v="6"/>
    <x v="213"/>
  </r>
  <r>
    <x v="1139"/>
    <x v="75"/>
    <x v="7"/>
    <x v="82"/>
    <x v="147"/>
    <x v="142"/>
    <x v="2"/>
    <x v="20"/>
    <x v="1009"/>
    <x v="634"/>
    <x v="653"/>
    <x v="337"/>
    <x v="652"/>
    <x v="2"/>
    <x v="5"/>
    <x v="1"/>
    <x v="0"/>
    <x v="5"/>
    <x v="141"/>
  </r>
  <r>
    <x v="1140"/>
    <x v="83"/>
    <x v="9"/>
    <x v="15"/>
    <x v="54"/>
    <x v="53"/>
    <x v="1"/>
    <x v="680"/>
    <x v="304"/>
    <x v="746"/>
    <x v="608"/>
    <x v="350"/>
    <x v="408"/>
    <x v="2"/>
    <x v="5"/>
    <x v="3"/>
    <x v="0"/>
    <x v="6"/>
    <x v="51"/>
  </r>
  <r>
    <x v="1141"/>
    <x v="218"/>
    <x v="24"/>
    <x v="14"/>
    <x v="59"/>
    <x v="58"/>
    <x v="1"/>
    <x v="20"/>
    <x v="1299"/>
    <x v="18"/>
    <x v="20"/>
    <x v="0"/>
    <x v="274"/>
    <x v="1"/>
    <x v="0"/>
    <x v="6"/>
    <x v="1"/>
    <x v="5"/>
    <x v="213"/>
  </r>
  <r>
    <x v="1142"/>
    <x v="276"/>
    <x v="5"/>
    <x v="37"/>
    <x v="175"/>
    <x v="171"/>
    <x v="0"/>
    <x v="308"/>
    <x v="991"/>
    <x v="998"/>
    <x v="1113"/>
    <x v="0"/>
    <x v="1332"/>
    <x v="1"/>
    <x v="2"/>
    <x v="1"/>
    <x v="0"/>
    <x v="3"/>
    <x v="213"/>
  </r>
  <r>
    <x v="1143"/>
    <x v="257"/>
    <x v="48"/>
    <x v="6"/>
    <x v="20"/>
    <x v="15"/>
    <x v="2"/>
    <x v="231"/>
    <x v="1088"/>
    <x v="809"/>
    <x v="973"/>
    <x v="607"/>
    <x v="482"/>
    <x v="2"/>
    <x v="5"/>
    <x v="1"/>
    <x v="1"/>
    <x v="4"/>
    <x v="16"/>
  </r>
  <r>
    <x v="1144"/>
    <x v="17"/>
    <x v="0"/>
    <x v="25"/>
    <x v="36"/>
    <x v="35"/>
    <x v="1"/>
    <x v="380"/>
    <x v="1039"/>
    <x v="577"/>
    <x v="702"/>
    <x v="382"/>
    <x v="636"/>
    <x v="2"/>
    <x v="5"/>
    <x v="1"/>
    <x v="0"/>
    <x v="0"/>
    <x v="31"/>
  </r>
  <r>
    <x v="1145"/>
    <x v="166"/>
    <x v="1"/>
    <x v="88"/>
    <x v="96"/>
    <x v="94"/>
    <x v="1"/>
    <x v="360"/>
    <x v="1111"/>
    <x v="1426"/>
    <x v="1418"/>
    <x v="0"/>
    <x v="1468"/>
    <x v="1"/>
    <x v="2"/>
    <x v="7"/>
    <x v="1"/>
    <x v="2"/>
    <x v="213"/>
  </r>
  <r>
    <x v="1146"/>
    <x v="43"/>
    <x v="45"/>
    <x v="11"/>
    <x v="110"/>
    <x v="108"/>
    <x v="0"/>
    <x v="235"/>
    <x v="4"/>
    <x v="13"/>
    <x v="15"/>
    <x v="13"/>
    <x v="5"/>
    <x v="2"/>
    <x v="5"/>
    <x v="4"/>
    <x v="2"/>
    <x v="5"/>
    <x v="107"/>
  </r>
  <r>
    <x v="1147"/>
    <x v="21"/>
    <x v="33"/>
    <x v="78"/>
    <x v="82"/>
    <x v="82"/>
    <x v="1"/>
    <x v="304"/>
    <x v="519"/>
    <x v="1218"/>
    <x v="1381"/>
    <x v="756"/>
    <x v="925"/>
    <x v="2"/>
    <x v="5"/>
    <x v="7"/>
    <x v="2"/>
    <x v="2"/>
    <x v="83"/>
  </r>
  <r>
    <x v="1148"/>
    <x v="79"/>
    <x v="24"/>
    <x v="77"/>
    <x v="141"/>
    <x v="140"/>
    <x v="2"/>
    <x v="653"/>
    <x v="46"/>
    <x v="203"/>
    <x v="204"/>
    <x v="113"/>
    <x v="182"/>
    <x v="2"/>
    <x v="5"/>
    <x v="6"/>
    <x v="1"/>
    <x v="6"/>
    <x v="140"/>
  </r>
  <r>
    <x v="1149"/>
    <x v="36"/>
    <x v="23"/>
    <x v="3"/>
    <x v="141"/>
    <x v="138"/>
    <x v="3"/>
    <x v="668"/>
    <x v="1103"/>
    <x v="755"/>
    <x v="807"/>
    <x v="409"/>
    <x v="786"/>
    <x v="2"/>
    <x v="5"/>
    <x v="7"/>
    <x v="0"/>
    <x v="3"/>
    <x v="141"/>
  </r>
  <r>
    <x v="1150"/>
    <x v="11"/>
    <x v="5"/>
    <x v="16"/>
    <x v="116"/>
    <x v="116"/>
    <x v="2"/>
    <x v="581"/>
    <x v="932"/>
    <x v="1346"/>
    <x v="1120"/>
    <x v="674"/>
    <x v="582"/>
    <x v="2"/>
    <x v="5"/>
    <x v="2"/>
    <x v="2"/>
    <x v="1"/>
    <x v="111"/>
  </r>
  <r>
    <x v="1151"/>
    <x v="279"/>
    <x v="0"/>
    <x v="97"/>
    <x v="165"/>
    <x v="161"/>
    <x v="3"/>
    <x v="112"/>
    <x v="198"/>
    <x v="1236"/>
    <x v="1114"/>
    <x v="553"/>
    <x v="939"/>
    <x v="2"/>
    <x v="5"/>
    <x v="1"/>
    <x v="2"/>
    <x v="3"/>
    <x v="159"/>
  </r>
  <r>
    <x v="1152"/>
    <x v="68"/>
    <x v="31"/>
    <x v="37"/>
    <x v="89"/>
    <x v="85"/>
    <x v="2"/>
    <x v="499"/>
    <x v="490"/>
    <x v="1433"/>
    <x v="1376"/>
    <x v="792"/>
    <x v="810"/>
    <x v="2"/>
    <x v="5"/>
    <x v="1"/>
    <x v="0"/>
    <x v="0"/>
    <x v="84"/>
  </r>
  <r>
    <x v="1153"/>
    <x v="202"/>
    <x v="8"/>
    <x v="55"/>
    <x v="143"/>
    <x v="138"/>
    <x v="3"/>
    <x v="148"/>
    <x v="435"/>
    <x v="956"/>
    <x v="825"/>
    <x v="0"/>
    <x v="1217"/>
    <x v="1"/>
    <x v="4"/>
    <x v="1"/>
    <x v="0"/>
    <x v="5"/>
    <x v="213"/>
  </r>
  <r>
    <x v="1154"/>
    <x v="183"/>
    <x v="17"/>
    <x v="16"/>
    <x v="124"/>
    <x v="122"/>
    <x v="1"/>
    <x v="685"/>
    <x v="906"/>
    <x v="95"/>
    <x v="75"/>
    <x v="47"/>
    <x v="60"/>
    <x v="2"/>
    <x v="5"/>
    <x v="4"/>
    <x v="1"/>
    <x v="3"/>
    <x v="121"/>
  </r>
  <r>
    <x v="1155"/>
    <x v="291"/>
    <x v="9"/>
    <x v="16"/>
    <x v="98"/>
    <x v="95"/>
    <x v="3"/>
    <x v="408"/>
    <x v="0"/>
    <x v="55"/>
    <x v="51"/>
    <x v="0"/>
    <x v="464"/>
    <x v="1"/>
    <x v="2"/>
    <x v="2"/>
    <x v="1"/>
    <x v="5"/>
    <x v="213"/>
  </r>
  <r>
    <x v="1156"/>
    <x v="205"/>
    <x v="17"/>
    <x v="6"/>
    <x v="9"/>
    <x v="4"/>
    <x v="2"/>
    <x v="142"/>
    <x v="555"/>
    <x v="933"/>
    <x v="837"/>
    <x v="519"/>
    <x v="381"/>
    <x v="2"/>
    <x v="5"/>
    <x v="5"/>
    <x v="0"/>
    <x v="3"/>
    <x v="10"/>
  </r>
  <r>
    <x v="1157"/>
    <x v="2"/>
    <x v="3"/>
    <x v="11"/>
    <x v="121"/>
    <x v="120"/>
    <x v="2"/>
    <x v="427"/>
    <x v="1313"/>
    <x v="1382"/>
    <x v="1391"/>
    <x v="846"/>
    <x v="270"/>
    <x v="2"/>
    <x v="5"/>
    <x v="4"/>
    <x v="0"/>
    <x v="6"/>
    <x v="118"/>
  </r>
  <r>
    <x v="1158"/>
    <x v="36"/>
    <x v="24"/>
    <x v="69"/>
    <x v="178"/>
    <x v="176"/>
    <x v="3"/>
    <x v="5"/>
    <x v="1240"/>
    <x v="341"/>
    <x v="307"/>
    <x v="0"/>
    <x v="992"/>
    <x v="3"/>
    <x v="5"/>
    <x v="9"/>
    <x v="0"/>
    <x v="0"/>
    <x v="213"/>
  </r>
  <r>
    <x v="1159"/>
    <x v="57"/>
    <x v="36"/>
    <x v="47"/>
    <x v="203"/>
    <x v="201"/>
    <x v="1"/>
    <x v="505"/>
    <x v="473"/>
    <x v="951"/>
    <x v="1057"/>
    <x v="0"/>
    <x v="1305"/>
    <x v="1"/>
    <x v="2"/>
    <x v="0"/>
    <x v="2"/>
    <x v="1"/>
    <x v="213"/>
  </r>
  <r>
    <x v="1160"/>
    <x v="114"/>
    <x v="28"/>
    <x v="6"/>
    <x v="32"/>
    <x v="27"/>
    <x v="0"/>
    <x v="167"/>
    <x v="129"/>
    <x v="270"/>
    <x v="226"/>
    <x v="140"/>
    <x v="57"/>
    <x v="2"/>
    <x v="5"/>
    <x v="5"/>
    <x v="0"/>
    <x v="2"/>
    <x v="31"/>
  </r>
  <r>
    <x v="1161"/>
    <x v="129"/>
    <x v="44"/>
    <x v="83"/>
    <x v="21"/>
    <x v="18"/>
    <x v="1"/>
    <x v="733"/>
    <x v="1290"/>
    <x v="1004"/>
    <x v="815"/>
    <x v="0"/>
    <x v="1213"/>
    <x v="3"/>
    <x v="5"/>
    <x v="10"/>
    <x v="1"/>
    <x v="1"/>
    <x v="213"/>
  </r>
  <r>
    <x v="1162"/>
    <x v="70"/>
    <x v="36"/>
    <x v="66"/>
    <x v="83"/>
    <x v="79"/>
    <x v="2"/>
    <x v="342"/>
    <x v="561"/>
    <x v="1038"/>
    <x v="944"/>
    <x v="0"/>
    <x v="1266"/>
    <x v="3"/>
    <x v="5"/>
    <x v="13"/>
    <x v="2"/>
    <x v="3"/>
    <x v="213"/>
  </r>
  <r>
    <x v="1163"/>
    <x v="259"/>
    <x v="9"/>
    <x v="60"/>
    <x v="37"/>
    <x v="33"/>
    <x v="0"/>
    <x v="670"/>
    <x v="817"/>
    <x v="1429"/>
    <x v="1463"/>
    <x v="835"/>
    <x v="884"/>
    <x v="2"/>
    <x v="5"/>
    <x v="1"/>
    <x v="1"/>
    <x v="0"/>
    <x v="32"/>
  </r>
  <r>
    <x v="1164"/>
    <x v="283"/>
    <x v="42"/>
    <x v="78"/>
    <x v="59"/>
    <x v="54"/>
    <x v="2"/>
    <x v="185"/>
    <x v="486"/>
    <x v="43"/>
    <x v="41"/>
    <x v="0"/>
    <x v="383"/>
    <x v="1"/>
    <x v="1"/>
    <x v="2"/>
    <x v="0"/>
    <x v="2"/>
    <x v="213"/>
  </r>
  <r>
    <x v="1165"/>
    <x v="129"/>
    <x v="33"/>
    <x v="97"/>
    <x v="76"/>
    <x v="75"/>
    <x v="0"/>
    <x v="280"/>
    <x v="395"/>
    <x v="1162"/>
    <x v="1285"/>
    <x v="0"/>
    <x v="1410"/>
    <x v="0"/>
    <x v="5"/>
    <x v="7"/>
    <x v="2"/>
    <x v="5"/>
    <x v="213"/>
  </r>
  <r>
    <x v="1166"/>
    <x v="97"/>
    <x v="37"/>
    <x v="70"/>
    <x v="18"/>
    <x v="15"/>
    <x v="0"/>
    <x v="596"/>
    <x v="658"/>
    <x v="1469"/>
    <x v="1387"/>
    <x v="0"/>
    <x v="1455"/>
    <x v="1"/>
    <x v="0"/>
    <x v="6"/>
    <x v="2"/>
    <x v="5"/>
    <x v="213"/>
  </r>
  <r>
    <x v="1167"/>
    <x v="203"/>
    <x v="8"/>
    <x v="69"/>
    <x v="129"/>
    <x v="128"/>
    <x v="1"/>
    <x v="275"/>
    <x v="875"/>
    <x v="1451"/>
    <x v="1340"/>
    <x v="722"/>
    <x v="929"/>
    <x v="2"/>
    <x v="5"/>
    <x v="4"/>
    <x v="0"/>
    <x v="2"/>
    <x v="126"/>
  </r>
  <r>
    <x v="1168"/>
    <x v="168"/>
    <x v="22"/>
    <x v="10"/>
    <x v="211"/>
    <x v="208"/>
    <x v="3"/>
    <x v="328"/>
    <x v="424"/>
    <x v="1045"/>
    <x v="1024"/>
    <x v="0"/>
    <x v="1292"/>
    <x v="1"/>
    <x v="4"/>
    <x v="7"/>
    <x v="0"/>
    <x v="5"/>
    <x v="213"/>
  </r>
  <r>
    <x v="1169"/>
    <x v="52"/>
    <x v="2"/>
    <x v="63"/>
    <x v="51"/>
    <x v="46"/>
    <x v="3"/>
    <x v="608"/>
    <x v="78"/>
    <x v="868"/>
    <x v="908"/>
    <x v="0"/>
    <x v="1247"/>
    <x v="1"/>
    <x v="1"/>
    <x v="5"/>
    <x v="1"/>
    <x v="5"/>
    <x v="213"/>
  </r>
  <r>
    <x v="1170"/>
    <x v="47"/>
    <x v="38"/>
    <x v="87"/>
    <x v="27"/>
    <x v="26"/>
    <x v="1"/>
    <x v="114"/>
    <x v="861"/>
    <x v="114"/>
    <x v="90"/>
    <x v="57"/>
    <x v="51"/>
    <x v="2"/>
    <x v="5"/>
    <x v="6"/>
    <x v="2"/>
    <x v="4"/>
    <x v="28"/>
  </r>
  <r>
    <x v="1171"/>
    <x v="185"/>
    <x v="14"/>
    <x v="40"/>
    <x v="118"/>
    <x v="113"/>
    <x v="3"/>
    <x v="578"/>
    <x v="227"/>
    <x v="1017"/>
    <x v="903"/>
    <x v="544"/>
    <x v="475"/>
    <x v="2"/>
    <x v="5"/>
    <x v="6"/>
    <x v="1"/>
    <x v="6"/>
    <x v="117"/>
  </r>
  <r>
    <x v="1172"/>
    <x v="178"/>
    <x v="3"/>
    <x v="1"/>
    <x v="0"/>
    <x v="0"/>
    <x v="0"/>
    <x v="717"/>
    <x v="1075"/>
    <x v="267"/>
    <x v="310"/>
    <x v="0"/>
    <x v="993"/>
    <x v="3"/>
    <x v="5"/>
    <x v="12"/>
    <x v="1"/>
    <x v="0"/>
    <x v="213"/>
  </r>
  <r>
    <x v="1173"/>
    <x v="130"/>
    <x v="28"/>
    <x v="81"/>
    <x v="22"/>
    <x v="20"/>
    <x v="3"/>
    <x v="22"/>
    <x v="1122"/>
    <x v="306"/>
    <x v="337"/>
    <x v="171"/>
    <x v="436"/>
    <x v="2"/>
    <x v="5"/>
    <x v="5"/>
    <x v="2"/>
    <x v="0"/>
    <x v="22"/>
  </r>
  <r>
    <x v="1174"/>
    <x v="277"/>
    <x v="3"/>
    <x v="45"/>
    <x v="126"/>
    <x v="126"/>
    <x v="3"/>
    <x v="534"/>
    <x v="79"/>
    <x v="1044"/>
    <x v="1204"/>
    <x v="0"/>
    <x v="1379"/>
    <x v="1"/>
    <x v="4"/>
    <x v="7"/>
    <x v="0"/>
    <x v="4"/>
    <x v="213"/>
  </r>
  <r>
    <x v="1175"/>
    <x v="152"/>
    <x v="49"/>
    <x v="92"/>
    <x v="192"/>
    <x v="192"/>
    <x v="1"/>
    <x v="171"/>
    <x v="311"/>
    <x v="1474"/>
    <x v="1342"/>
    <x v="805"/>
    <x v="573"/>
    <x v="2"/>
    <x v="5"/>
    <x v="3"/>
    <x v="0"/>
    <x v="3"/>
    <x v="188"/>
  </r>
  <r>
    <x v="1176"/>
    <x v="35"/>
    <x v="34"/>
    <x v="38"/>
    <x v="90"/>
    <x v="89"/>
    <x v="1"/>
    <x v="184"/>
    <x v="882"/>
    <x v="1315"/>
    <x v="1291"/>
    <x v="0"/>
    <x v="1414"/>
    <x v="1"/>
    <x v="2"/>
    <x v="4"/>
    <x v="1"/>
    <x v="5"/>
    <x v="213"/>
  </r>
  <r>
    <x v="1177"/>
    <x v="73"/>
    <x v="2"/>
    <x v="46"/>
    <x v="48"/>
    <x v="44"/>
    <x v="2"/>
    <x v="54"/>
    <x v="92"/>
    <x v="1128"/>
    <x v="1039"/>
    <x v="591"/>
    <x v="728"/>
    <x v="2"/>
    <x v="5"/>
    <x v="5"/>
    <x v="0"/>
    <x v="2"/>
    <x v="47"/>
  </r>
  <r>
    <x v="1178"/>
    <x v="30"/>
    <x v="4"/>
    <x v="69"/>
    <x v="128"/>
    <x v="124"/>
    <x v="2"/>
    <x v="596"/>
    <x v="1125"/>
    <x v="14"/>
    <x v="10"/>
    <x v="0"/>
    <x v="208"/>
    <x v="1"/>
    <x v="4"/>
    <x v="6"/>
    <x v="2"/>
    <x v="3"/>
    <x v="213"/>
  </r>
  <r>
    <x v="1179"/>
    <x v="97"/>
    <x v="36"/>
    <x v="36"/>
    <x v="16"/>
    <x v="11"/>
    <x v="3"/>
    <x v="481"/>
    <x v="975"/>
    <x v="1492"/>
    <x v="1427"/>
    <x v="0"/>
    <x v="1472"/>
    <x v="1"/>
    <x v="3"/>
    <x v="2"/>
    <x v="0"/>
    <x v="0"/>
    <x v="213"/>
  </r>
  <r>
    <x v="1180"/>
    <x v="4"/>
    <x v="13"/>
    <x v="20"/>
    <x v="3"/>
    <x v="0"/>
    <x v="3"/>
    <x v="688"/>
    <x v="34"/>
    <x v="528"/>
    <x v="611"/>
    <x v="311"/>
    <x v="668"/>
    <x v="2"/>
    <x v="5"/>
    <x v="5"/>
    <x v="0"/>
    <x v="2"/>
    <x v="4"/>
  </r>
  <r>
    <x v="1181"/>
    <x v="271"/>
    <x v="16"/>
    <x v="23"/>
    <x v="57"/>
    <x v="54"/>
    <x v="1"/>
    <x v="520"/>
    <x v="494"/>
    <x v="188"/>
    <x v="173"/>
    <x v="90"/>
    <x v="241"/>
    <x v="2"/>
    <x v="5"/>
    <x v="7"/>
    <x v="1"/>
    <x v="5"/>
    <x v="58"/>
  </r>
  <r>
    <x v="1182"/>
    <x v="16"/>
    <x v="36"/>
    <x v="5"/>
    <x v="180"/>
    <x v="179"/>
    <x v="2"/>
    <x v="699"/>
    <x v="138"/>
    <x v="316"/>
    <x v="308"/>
    <x v="147"/>
    <x v="432"/>
    <x v="2"/>
    <x v="5"/>
    <x v="0"/>
    <x v="2"/>
    <x v="6"/>
    <x v="173"/>
  </r>
  <r>
    <x v="1183"/>
    <x v="7"/>
    <x v="9"/>
    <x v="14"/>
    <x v="6"/>
    <x v="1"/>
    <x v="1"/>
    <x v="318"/>
    <x v="1010"/>
    <x v="794"/>
    <x v="943"/>
    <x v="0"/>
    <x v="1265"/>
    <x v="1"/>
    <x v="3"/>
    <x v="4"/>
    <x v="2"/>
    <x v="6"/>
    <x v="213"/>
  </r>
  <r>
    <x v="1184"/>
    <x v="229"/>
    <x v="21"/>
    <x v="96"/>
    <x v="204"/>
    <x v="203"/>
    <x v="2"/>
    <x v="269"/>
    <x v="491"/>
    <x v="8"/>
    <x v="11"/>
    <x v="0"/>
    <x v="209"/>
    <x v="3"/>
    <x v="5"/>
    <x v="8"/>
    <x v="0"/>
    <x v="6"/>
    <x v="213"/>
  </r>
  <r>
    <x v="1185"/>
    <x v="116"/>
    <x v="15"/>
    <x v="53"/>
    <x v="156"/>
    <x v="151"/>
    <x v="0"/>
    <x v="663"/>
    <x v="28"/>
    <x v="595"/>
    <x v="529"/>
    <x v="0"/>
    <x v="1104"/>
    <x v="3"/>
    <x v="5"/>
    <x v="3"/>
    <x v="1"/>
    <x v="6"/>
    <x v="213"/>
  </r>
  <r>
    <x v="1186"/>
    <x v="62"/>
    <x v="0"/>
    <x v="56"/>
    <x v="119"/>
    <x v="117"/>
    <x v="1"/>
    <x v="73"/>
    <x v="900"/>
    <x v="275"/>
    <x v="249"/>
    <x v="161"/>
    <x v="9"/>
    <x v="2"/>
    <x v="5"/>
    <x v="0"/>
    <x v="0"/>
    <x v="6"/>
    <x v="112"/>
  </r>
  <r>
    <x v="1187"/>
    <x v="34"/>
    <x v="22"/>
    <x v="67"/>
    <x v="186"/>
    <x v="182"/>
    <x v="1"/>
    <x v="429"/>
    <x v="1254"/>
    <x v="276"/>
    <x v="301"/>
    <x v="150"/>
    <x v="401"/>
    <x v="2"/>
    <x v="5"/>
    <x v="2"/>
    <x v="1"/>
    <x v="0"/>
    <x v="181"/>
  </r>
  <r>
    <x v="1188"/>
    <x v="270"/>
    <x v="23"/>
    <x v="42"/>
    <x v="177"/>
    <x v="175"/>
    <x v="1"/>
    <x v="607"/>
    <x v="824"/>
    <x v="609"/>
    <x v="694"/>
    <x v="404"/>
    <x v="501"/>
    <x v="2"/>
    <x v="5"/>
    <x v="3"/>
    <x v="1"/>
    <x v="4"/>
    <x v="173"/>
  </r>
  <r>
    <x v="1189"/>
    <x v="280"/>
    <x v="33"/>
    <x v="5"/>
    <x v="123"/>
    <x v="118"/>
    <x v="1"/>
    <x v="625"/>
    <x v="889"/>
    <x v="244"/>
    <x v="270"/>
    <x v="0"/>
    <x v="959"/>
    <x v="0"/>
    <x v="5"/>
    <x v="6"/>
    <x v="0"/>
    <x v="2"/>
    <x v="213"/>
  </r>
  <r>
    <x v="1190"/>
    <x v="77"/>
    <x v="32"/>
    <x v="74"/>
    <x v="141"/>
    <x v="136"/>
    <x v="2"/>
    <x v="143"/>
    <x v="1303"/>
    <x v="309"/>
    <x v="321"/>
    <x v="0"/>
    <x v="1004"/>
    <x v="3"/>
    <x v="5"/>
    <x v="9"/>
    <x v="2"/>
    <x v="3"/>
    <x v="213"/>
  </r>
  <r>
    <x v="1191"/>
    <x v="240"/>
    <x v="10"/>
    <x v="0"/>
    <x v="79"/>
    <x v="79"/>
    <x v="1"/>
    <x v="148"/>
    <x v="563"/>
    <x v="1489"/>
    <x v="1298"/>
    <x v="0"/>
    <x v="1417"/>
    <x v="3"/>
    <x v="5"/>
    <x v="14"/>
    <x v="1"/>
    <x v="3"/>
    <x v="213"/>
  </r>
  <r>
    <x v="1192"/>
    <x v="77"/>
    <x v="3"/>
    <x v="32"/>
    <x v="138"/>
    <x v="137"/>
    <x v="1"/>
    <x v="233"/>
    <x v="730"/>
    <x v="1250"/>
    <x v="1147"/>
    <x v="0"/>
    <x v="1347"/>
    <x v="3"/>
    <x v="5"/>
    <x v="13"/>
    <x v="2"/>
    <x v="3"/>
    <x v="213"/>
  </r>
  <r>
    <x v="1193"/>
    <x v="54"/>
    <x v="4"/>
    <x v="53"/>
    <x v="168"/>
    <x v="167"/>
    <x v="3"/>
    <x v="478"/>
    <x v="524"/>
    <x v="1392"/>
    <x v="1462"/>
    <x v="0"/>
    <x v="1486"/>
    <x v="3"/>
    <x v="5"/>
    <x v="14"/>
    <x v="1"/>
    <x v="0"/>
    <x v="213"/>
  </r>
  <r>
    <x v="1194"/>
    <x v="104"/>
    <x v="3"/>
    <x v="35"/>
    <x v="173"/>
    <x v="172"/>
    <x v="0"/>
    <x v="182"/>
    <x v="341"/>
    <x v="1081"/>
    <x v="950"/>
    <x v="0"/>
    <x v="1269"/>
    <x v="3"/>
    <x v="5"/>
    <x v="13"/>
    <x v="0"/>
    <x v="4"/>
    <x v="213"/>
  </r>
  <r>
    <x v="1195"/>
    <x v="97"/>
    <x v="2"/>
    <x v="99"/>
    <x v="115"/>
    <x v="112"/>
    <x v="0"/>
    <x v="414"/>
    <x v="249"/>
    <x v="1399"/>
    <x v="1430"/>
    <x v="758"/>
    <x v="999"/>
    <x v="2"/>
    <x v="5"/>
    <x v="5"/>
    <x v="2"/>
    <x v="3"/>
    <x v="113"/>
  </r>
  <r>
    <x v="1196"/>
    <x v="116"/>
    <x v="28"/>
    <x v="58"/>
    <x v="15"/>
    <x v="12"/>
    <x v="2"/>
    <x v="294"/>
    <x v="1018"/>
    <x v="287"/>
    <x v="311"/>
    <x v="190"/>
    <x v="107"/>
    <x v="2"/>
    <x v="5"/>
    <x v="5"/>
    <x v="1"/>
    <x v="0"/>
    <x v="15"/>
  </r>
  <r>
    <x v="1197"/>
    <x v="208"/>
    <x v="43"/>
    <x v="87"/>
    <x v="160"/>
    <x v="156"/>
    <x v="1"/>
    <x v="389"/>
    <x v="782"/>
    <x v="1145"/>
    <x v="1233"/>
    <x v="737"/>
    <x v="568"/>
    <x v="2"/>
    <x v="5"/>
    <x v="1"/>
    <x v="2"/>
    <x v="1"/>
    <x v="154"/>
  </r>
  <r>
    <x v="1198"/>
    <x v="14"/>
    <x v="16"/>
    <x v="31"/>
    <x v="155"/>
    <x v="155"/>
    <x v="3"/>
    <x v="52"/>
    <x v="998"/>
    <x v="229"/>
    <x v="257"/>
    <x v="0"/>
    <x v="941"/>
    <x v="1"/>
    <x v="2"/>
    <x v="3"/>
    <x v="2"/>
    <x v="6"/>
    <x v="213"/>
  </r>
  <r>
    <x v="1199"/>
    <x v="252"/>
    <x v="3"/>
    <x v="46"/>
    <x v="42"/>
    <x v="38"/>
    <x v="2"/>
    <x v="458"/>
    <x v="963"/>
    <x v="1293"/>
    <x v="1439"/>
    <x v="819"/>
    <x v="864"/>
    <x v="2"/>
    <x v="5"/>
    <x v="0"/>
    <x v="2"/>
    <x v="1"/>
    <x v="36"/>
  </r>
  <r>
    <x v="1200"/>
    <x v="197"/>
    <x v="9"/>
    <x v="10"/>
    <x v="103"/>
    <x v="100"/>
    <x v="2"/>
    <x v="300"/>
    <x v="943"/>
    <x v="1309"/>
    <x v="1101"/>
    <x v="0"/>
    <x v="1324"/>
    <x v="0"/>
    <x v="5"/>
    <x v="3"/>
    <x v="0"/>
    <x v="3"/>
    <x v="213"/>
  </r>
  <r>
    <x v="1201"/>
    <x v="216"/>
    <x v="25"/>
    <x v="25"/>
    <x v="150"/>
    <x v="148"/>
    <x v="3"/>
    <x v="501"/>
    <x v="501"/>
    <x v="1161"/>
    <x v="1100"/>
    <x v="0"/>
    <x v="1323"/>
    <x v="1"/>
    <x v="0"/>
    <x v="0"/>
    <x v="1"/>
    <x v="6"/>
    <x v="213"/>
  </r>
  <r>
    <x v="1202"/>
    <x v="64"/>
    <x v="10"/>
    <x v="49"/>
    <x v="148"/>
    <x v="145"/>
    <x v="0"/>
    <x v="358"/>
    <x v="305"/>
    <x v="428"/>
    <x v="448"/>
    <x v="220"/>
    <x v="542"/>
    <x v="2"/>
    <x v="5"/>
    <x v="3"/>
    <x v="0"/>
    <x v="3"/>
    <x v="144"/>
  </r>
  <r>
    <x v="1203"/>
    <x v="280"/>
    <x v="44"/>
    <x v="41"/>
    <x v="39"/>
    <x v="37"/>
    <x v="3"/>
    <x v="558"/>
    <x v="393"/>
    <x v="583"/>
    <x v="500"/>
    <x v="312"/>
    <x v="169"/>
    <x v="2"/>
    <x v="5"/>
    <x v="5"/>
    <x v="0"/>
    <x v="4"/>
    <x v="38"/>
  </r>
  <r>
    <x v="1204"/>
    <x v="49"/>
    <x v="47"/>
    <x v="79"/>
    <x v="135"/>
    <x v="131"/>
    <x v="2"/>
    <x v="120"/>
    <x v="620"/>
    <x v="1428"/>
    <x v="1405"/>
    <x v="0"/>
    <x v="1461"/>
    <x v="3"/>
    <x v="5"/>
    <x v="10"/>
    <x v="1"/>
    <x v="3"/>
    <x v="213"/>
  </r>
  <r>
    <x v="1205"/>
    <x v="282"/>
    <x v="21"/>
    <x v="30"/>
    <x v="215"/>
    <x v="210"/>
    <x v="0"/>
    <x v="597"/>
    <x v="738"/>
    <x v="879"/>
    <x v="972"/>
    <x v="521"/>
    <x v="770"/>
    <x v="2"/>
    <x v="5"/>
    <x v="3"/>
    <x v="2"/>
    <x v="6"/>
    <x v="210"/>
  </r>
  <r>
    <x v="1206"/>
    <x v="17"/>
    <x v="44"/>
    <x v="30"/>
    <x v="98"/>
    <x v="93"/>
    <x v="1"/>
    <x v="61"/>
    <x v="955"/>
    <x v="772"/>
    <x v="689"/>
    <x v="360"/>
    <x v="657"/>
    <x v="2"/>
    <x v="5"/>
    <x v="3"/>
    <x v="1"/>
    <x v="5"/>
    <x v="94"/>
  </r>
  <r>
    <x v="1207"/>
    <x v="284"/>
    <x v="43"/>
    <x v="34"/>
    <x v="130"/>
    <x v="127"/>
    <x v="2"/>
    <x v="275"/>
    <x v="1165"/>
    <x v="1471"/>
    <x v="1335"/>
    <x v="818"/>
    <x v="289"/>
    <x v="2"/>
    <x v="5"/>
    <x v="6"/>
    <x v="2"/>
    <x v="5"/>
    <x v="129"/>
  </r>
  <r>
    <x v="1208"/>
    <x v="180"/>
    <x v="15"/>
    <x v="55"/>
    <x v="187"/>
    <x v="182"/>
    <x v="3"/>
    <x v="465"/>
    <x v="1212"/>
    <x v="382"/>
    <x v="421"/>
    <x v="0"/>
    <x v="1055"/>
    <x v="1"/>
    <x v="3"/>
    <x v="5"/>
    <x v="2"/>
    <x v="2"/>
    <x v="213"/>
  </r>
  <r>
    <x v="1209"/>
    <x v="216"/>
    <x v="13"/>
    <x v="35"/>
    <x v="103"/>
    <x v="98"/>
    <x v="0"/>
    <x v="61"/>
    <x v="471"/>
    <x v="729"/>
    <x v="885"/>
    <x v="0"/>
    <x v="1237"/>
    <x v="3"/>
    <x v="5"/>
    <x v="4"/>
    <x v="2"/>
    <x v="3"/>
    <x v="213"/>
  </r>
  <r>
    <x v="1210"/>
    <x v="256"/>
    <x v="5"/>
    <x v="43"/>
    <x v="94"/>
    <x v="94"/>
    <x v="0"/>
    <x v="632"/>
    <x v="1021"/>
    <x v="1363"/>
    <x v="1366"/>
    <x v="840"/>
    <x v="196"/>
    <x v="2"/>
    <x v="5"/>
    <x v="4"/>
    <x v="1"/>
    <x v="6"/>
    <x v="91"/>
  </r>
  <r>
    <x v="1211"/>
    <x v="6"/>
    <x v="29"/>
    <x v="35"/>
    <x v="84"/>
    <x v="82"/>
    <x v="0"/>
    <x v="199"/>
    <x v="960"/>
    <x v="561"/>
    <x v="645"/>
    <x v="327"/>
    <x v="675"/>
    <x v="2"/>
    <x v="5"/>
    <x v="3"/>
    <x v="1"/>
    <x v="5"/>
    <x v="81"/>
  </r>
  <r>
    <x v="1212"/>
    <x v="274"/>
    <x v="37"/>
    <x v="25"/>
    <x v="32"/>
    <x v="30"/>
    <x v="0"/>
    <x v="660"/>
    <x v="413"/>
    <x v="171"/>
    <x v="194"/>
    <x v="91"/>
    <x v="319"/>
    <x v="2"/>
    <x v="5"/>
    <x v="4"/>
    <x v="2"/>
    <x v="1"/>
    <x v="30"/>
  </r>
  <r>
    <x v="1213"/>
    <x v="286"/>
    <x v="26"/>
    <x v="28"/>
    <x v="31"/>
    <x v="29"/>
    <x v="2"/>
    <x v="186"/>
    <x v="275"/>
    <x v="1332"/>
    <x v="1197"/>
    <x v="0"/>
    <x v="1374"/>
    <x v="1"/>
    <x v="0"/>
    <x v="0"/>
    <x v="1"/>
    <x v="0"/>
    <x v="213"/>
  </r>
  <r>
    <x v="1214"/>
    <x v="178"/>
    <x v="10"/>
    <x v="18"/>
    <x v="11"/>
    <x v="7"/>
    <x v="1"/>
    <x v="62"/>
    <x v="962"/>
    <x v="1078"/>
    <x v="1108"/>
    <x v="0"/>
    <x v="1329"/>
    <x v="3"/>
    <x v="5"/>
    <x v="11"/>
    <x v="1"/>
    <x v="5"/>
    <x v="213"/>
  </r>
  <r>
    <x v="1215"/>
    <x v="141"/>
    <x v="47"/>
    <x v="22"/>
    <x v="114"/>
    <x v="114"/>
    <x v="2"/>
    <x v="416"/>
    <x v="1182"/>
    <x v="816"/>
    <x v="761"/>
    <x v="0"/>
    <x v="1193"/>
    <x v="1"/>
    <x v="1"/>
    <x v="3"/>
    <x v="2"/>
    <x v="3"/>
    <x v="213"/>
  </r>
  <r>
    <x v="1216"/>
    <x v="12"/>
    <x v="44"/>
    <x v="67"/>
    <x v="179"/>
    <x v="174"/>
    <x v="2"/>
    <x v="662"/>
    <x v="895"/>
    <x v="722"/>
    <x v="605"/>
    <x v="0"/>
    <x v="1141"/>
    <x v="1"/>
    <x v="3"/>
    <x v="3"/>
    <x v="1"/>
    <x v="1"/>
    <x v="213"/>
  </r>
  <r>
    <x v="1217"/>
    <x v="162"/>
    <x v="26"/>
    <x v="24"/>
    <x v="38"/>
    <x v="37"/>
    <x v="0"/>
    <x v="388"/>
    <x v="10"/>
    <x v="648"/>
    <x v="559"/>
    <x v="0"/>
    <x v="1118"/>
    <x v="1"/>
    <x v="0"/>
    <x v="6"/>
    <x v="0"/>
    <x v="3"/>
    <x v="213"/>
  </r>
  <r>
    <x v="1218"/>
    <x v="220"/>
    <x v="34"/>
    <x v="8"/>
    <x v="20"/>
    <x v="15"/>
    <x v="1"/>
    <x v="304"/>
    <x v="853"/>
    <x v="1394"/>
    <x v="1410"/>
    <x v="0"/>
    <x v="1465"/>
    <x v="1"/>
    <x v="3"/>
    <x v="5"/>
    <x v="1"/>
    <x v="5"/>
    <x v="213"/>
  </r>
  <r>
    <x v="1219"/>
    <x v="33"/>
    <x v="19"/>
    <x v="23"/>
    <x v="168"/>
    <x v="168"/>
    <x v="3"/>
    <x v="384"/>
    <x v="520"/>
    <x v="1384"/>
    <x v="1354"/>
    <x v="809"/>
    <x v="571"/>
    <x v="2"/>
    <x v="5"/>
    <x v="2"/>
    <x v="0"/>
    <x v="2"/>
    <x v="163"/>
  </r>
  <r>
    <x v="1220"/>
    <x v="199"/>
    <x v="33"/>
    <x v="80"/>
    <x v="10"/>
    <x v="6"/>
    <x v="1"/>
    <x v="406"/>
    <x v="440"/>
    <x v="1450"/>
    <x v="1453"/>
    <x v="785"/>
    <x v="1003"/>
    <x v="2"/>
    <x v="5"/>
    <x v="3"/>
    <x v="0"/>
    <x v="6"/>
    <x v="9"/>
  </r>
  <r>
    <x v="1221"/>
    <x v="88"/>
    <x v="46"/>
    <x v="3"/>
    <x v="32"/>
    <x v="31"/>
    <x v="0"/>
    <x v="476"/>
    <x v="1246"/>
    <x v="484"/>
    <x v="534"/>
    <x v="303"/>
    <x v="410"/>
    <x v="2"/>
    <x v="5"/>
    <x v="6"/>
    <x v="0"/>
    <x v="3"/>
    <x v="32"/>
  </r>
  <r>
    <x v="1222"/>
    <x v="118"/>
    <x v="9"/>
    <x v="21"/>
    <x v="37"/>
    <x v="32"/>
    <x v="0"/>
    <x v="530"/>
    <x v="1131"/>
    <x v="906"/>
    <x v="1044"/>
    <x v="682"/>
    <x v="248"/>
    <x v="2"/>
    <x v="5"/>
    <x v="3"/>
    <x v="0"/>
    <x v="4"/>
    <x v="34"/>
  </r>
  <r>
    <x v="1223"/>
    <x v="238"/>
    <x v="44"/>
    <x v="88"/>
    <x v="158"/>
    <x v="157"/>
    <x v="0"/>
    <x v="652"/>
    <x v="918"/>
    <x v="887"/>
    <x v="775"/>
    <x v="0"/>
    <x v="1199"/>
    <x v="1"/>
    <x v="1"/>
    <x v="4"/>
    <x v="0"/>
    <x v="6"/>
    <x v="213"/>
  </r>
  <r>
    <x v="1224"/>
    <x v="25"/>
    <x v="35"/>
    <x v="58"/>
    <x v="61"/>
    <x v="58"/>
    <x v="1"/>
    <x v="419"/>
    <x v="496"/>
    <x v="735"/>
    <x v="893"/>
    <x v="515"/>
    <x v="619"/>
    <x v="2"/>
    <x v="5"/>
    <x v="1"/>
    <x v="2"/>
    <x v="5"/>
    <x v="56"/>
  </r>
  <r>
    <x v="1225"/>
    <x v="19"/>
    <x v="6"/>
    <x v="1"/>
    <x v="127"/>
    <x v="127"/>
    <x v="2"/>
    <x v="99"/>
    <x v="406"/>
    <x v="1202"/>
    <x v="1343"/>
    <x v="0"/>
    <x v="1439"/>
    <x v="1"/>
    <x v="0"/>
    <x v="3"/>
    <x v="2"/>
    <x v="0"/>
    <x v="213"/>
  </r>
  <r>
    <x v="1226"/>
    <x v="248"/>
    <x v="42"/>
    <x v="80"/>
    <x v="95"/>
    <x v="90"/>
    <x v="2"/>
    <x v="586"/>
    <x v="687"/>
    <x v="1225"/>
    <x v="1268"/>
    <x v="0"/>
    <x v="1405"/>
    <x v="1"/>
    <x v="2"/>
    <x v="2"/>
    <x v="1"/>
    <x v="1"/>
    <x v="213"/>
  </r>
  <r>
    <x v="1227"/>
    <x v="108"/>
    <x v="44"/>
    <x v="19"/>
    <x v="69"/>
    <x v="66"/>
    <x v="0"/>
    <x v="133"/>
    <x v="1300"/>
    <x v="451"/>
    <x v="502"/>
    <x v="247"/>
    <x v="612"/>
    <x v="2"/>
    <x v="5"/>
    <x v="3"/>
    <x v="0"/>
    <x v="4"/>
    <x v="66"/>
  </r>
  <r>
    <x v="1228"/>
    <x v="92"/>
    <x v="11"/>
    <x v="93"/>
    <x v="31"/>
    <x v="27"/>
    <x v="3"/>
    <x v="333"/>
    <x v="158"/>
    <x v="1495"/>
    <x v="1371"/>
    <x v="847"/>
    <x v="25"/>
    <x v="2"/>
    <x v="5"/>
    <x v="2"/>
    <x v="2"/>
    <x v="6"/>
    <x v="28"/>
  </r>
  <r>
    <x v="1229"/>
    <x v="195"/>
    <x v="15"/>
    <x v="81"/>
    <x v="214"/>
    <x v="210"/>
    <x v="2"/>
    <x v="722"/>
    <x v="634"/>
    <x v="471"/>
    <x v="460"/>
    <x v="0"/>
    <x v="1073"/>
    <x v="0"/>
    <x v="5"/>
    <x v="0"/>
    <x v="0"/>
    <x v="1"/>
    <x v="213"/>
  </r>
  <r>
    <x v="1230"/>
    <x v="118"/>
    <x v="0"/>
    <x v="62"/>
    <x v="165"/>
    <x v="165"/>
    <x v="3"/>
    <x v="188"/>
    <x v="802"/>
    <x v="387"/>
    <x v="412"/>
    <x v="227"/>
    <x v="345"/>
    <x v="2"/>
    <x v="5"/>
    <x v="1"/>
    <x v="0"/>
    <x v="4"/>
    <x v="159"/>
  </r>
  <r>
    <x v="1231"/>
    <x v="201"/>
    <x v="42"/>
    <x v="7"/>
    <x v="145"/>
    <x v="143"/>
    <x v="3"/>
    <x v="551"/>
    <x v="1023"/>
    <x v="1336"/>
    <x v="1137"/>
    <x v="705"/>
    <x v="380"/>
    <x v="2"/>
    <x v="5"/>
    <x v="2"/>
    <x v="0"/>
    <x v="5"/>
    <x v="140"/>
  </r>
  <r>
    <x v="1232"/>
    <x v="239"/>
    <x v="2"/>
    <x v="46"/>
    <x v="187"/>
    <x v="184"/>
    <x v="3"/>
    <x v="210"/>
    <x v="197"/>
    <x v="544"/>
    <x v="508"/>
    <x v="0"/>
    <x v="1094"/>
    <x v="3"/>
    <x v="5"/>
    <x v="7"/>
    <x v="0"/>
    <x v="4"/>
    <x v="213"/>
  </r>
  <r>
    <x v="1233"/>
    <x v="165"/>
    <x v="27"/>
    <x v="34"/>
    <x v="168"/>
    <x v="168"/>
    <x v="1"/>
    <x v="470"/>
    <x v="242"/>
    <x v="601"/>
    <x v="672"/>
    <x v="322"/>
    <x v="731"/>
    <x v="2"/>
    <x v="5"/>
    <x v="5"/>
    <x v="1"/>
    <x v="4"/>
    <x v="166"/>
  </r>
  <r>
    <x v="1234"/>
    <x v="179"/>
    <x v="11"/>
    <x v="7"/>
    <x v="100"/>
    <x v="96"/>
    <x v="2"/>
    <x v="668"/>
    <x v="1"/>
    <x v="860"/>
    <x v="865"/>
    <x v="0"/>
    <x v="1232"/>
    <x v="0"/>
    <x v="5"/>
    <x v="7"/>
    <x v="0"/>
    <x v="0"/>
    <x v="213"/>
  </r>
  <r>
    <x v="1235"/>
    <x v="48"/>
    <x v="8"/>
    <x v="93"/>
    <x v="65"/>
    <x v="64"/>
    <x v="1"/>
    <x v="122"/>
    <x v="811"/>
    <x v="228"/>
    <x v="175"/>
    <x v="101"/>
    <x v="149"/>
    <x v="2"/>
    <x v="5"/>
    <x v="7"/>
    <x v="0"/>
    <x v="6"/>
    <x v="66"/>
  </r>
  <r>
    <x v="1236"/>
    <x v="268"/>
    <x v="36"/>
    <x v="82"/>
    <x v="147"/>
    <x v="146"/>
    <x v="2"/>
    <x v="334"/>
    <x v="105"/>
    <x v="602"/>
    <x v="734"/>
    <x v="0"/>
    <x v="1185"/>
    <x v="1"/>
    <x v="0"/>
    <x v="6"/>
    <x v="1"/>
    <x v="5"/>
    <x v="213"/>
  </r>
  <r>
    <x v="1237"/>
    <x v="65"/>
    <x v="28"/>
    <x v="83"/>
    <x v="122"/>
    <x v="121"/>
    <x v="2"/>
    <x v="560"/>
    <x v="80"/>
    <x v="600"/>
    <x v="707"/>
    <x v="372"/>
    <x v="681"/>
    <x v="2"/>
    <x v="5"/>
    <x v="2"/>
    <x v="2"/>
    <x v="3"/>
    <x v="117"/>
  </r>
  <r>
    <x v="1238"/>
    <x v="176"/>
    <x v="15"/>
    <x v="81"/>
    <x v="182"/>
    <x v="178"/>
    <x v="0"/>
    <x v="524"/>
    <x v="814"/>
    <x v="781"/>
    <x v="780"/>
    <x v="0"/>
    <x v="1202"/>
    <x v="0"/>
    <x v="5"/>
    <x v="6"/>
    <x v="0"/>
    <x v="0"/>
    <x v="213"/>
  </r>
  <r>
    <x v="1239"/>
    <x v="258"/>
    <x v="43"/>
    <x v="92"/>
    <x v="154"/>
    <x v="154"/>
    <x v="3"/>
    <x v="152"/>
    <x v="608"/>
    <x v="536"/>
    <x v="501"/>
    <x v="0"/>
    <x v="1090"/>
    <x v="3"/>
    <x v="5"/>
    <x v="3"/>
    <x v="0"/>
    <x v="6"/>
    <x v="213"/>
  </r>
  <r>
    <x v="1240"/>
    <x v="189"/>
    <x v="17"/>
    <x v="36"/>
    <x v="12"/>
    <x v="11"/>
    <x v="2"/>
    <x v="665"/>
    <x v="748"/>
    <x v="91"/>
    <x v="109"/>
    <x v="69"/>
    <x v="59"/>
    <x v="2"/>
    <x v="5"/>
    <x v="7"/>
    <x v="2"/>
    <x v="0"/>
    <x v="14"/>
  </r>
  <r>
    <x v="1241"/>
    <x v="274"/>
    <x v="42"/>
    <x v="97"/>
    <x v="182"/>
    <x v="182"/>
    <x v="2"/>
    <x v="408"/>
    <x v="1028"/>
    <x v="591"/>
    <x v="616"/>
    <x v="336"/>
    <x v="538"/>
    <x v="2"/>
    <x v="5"/>
    <x v="4"/>
    <x v="2"/>
    <x v="5"/>
    <x v="179"/>
  </r>
  <r>
    <x v="1242"/>
    <x v="193"/>
    <x v="22"/>
    <x v="54"/>
    <x v="118"/>
    <x v="114"/>
    <x v="1"/>
    <x v="215"/>
    <x v="869"/>
    <x v="435"/>
    <x v="515"/>
    <x v="285"/>
    <x v="463"/>
    <x v="2"/>
    <x v="5"/>
    <x v="3"/>
    <x v="0"/>
    <x v="0"/>
    <x v="114"/>
  </r>
  <r>
    <x v="1243"/>
    <x v="137"/>
    <x v="36"/>
    <x v="54"/>
    <x v="105"/>
    <x v="104"/>
    <x v="0"/>
    <x v="385"/>
    <x v="1128"/>
    <x v="1037"/>
    <x v="1042"/>
    <x v="520"/>
    <x v="909"/>
    <x v="2"/>
    <x v="5"/>
    <x v="6"/>
    <x v="0"/>
    <x v="0"/>
    <x v="104"/>
  </r>
  <r>
    <x v="1244"/>
    <x v="161"/>
    <x v="13"/>
    <x v="6"/>
    <x v="166"/>
    <x v="162"/>
    <x v="3"/>
    <x v="491"/>
    <x v="1192"/>
    <x v="199"/>
    <x v="215"/>
    <x v="0"/>
    <x v="893"/>
    <x v="3"/>
    <x v="5"/>
    <x v="6"/>
    <x v="1"/>
    <x v="0"/>
    <x v="213"/>
  </r>
  <r>
    <x v="1245"/>
    <x v="214"/>
    <x v="19"/>
    <x v="30"/>
    <x v="47"/>
    <x v="45"/>
    <x v="1"/>
    <x v="710"/>
    <x v="827"/>
    <x v="234"/>
    <x v="198"/>
    <x v="106"/>
    <x v="230"/>
    <x v="2"/>
    <x v="5"/>
    <x v="3"/>
    <x v="1"/>
    <x v="3"/>
    <x v="44"/>
  </r>
  <r>
    <x v="1246"/>
    <x v="142"/>
    <x v="26"/>
    <x v="84"/>
    <x v="138"/>
    <x v="134"/>
    <x v="2"/>
    <x v="206"/>
    <x v="782"/>
    <x v="1252"/>
    <x v="1361"/>
    <x v="0"/>
    <x v="1447"/>
    <x v="1"/>
    <x v="1"/>
    <x v="6"/>
    <x v="2"/>
    <x v="1"/>
    <x v="213"/>
  </r>
  <r>
    <x v="1247"/>
    <x v="153"/>
    <x v="39"/>
    <x v="15"/>
    <x v="69"/>
    <x v="67"/>
    <x v="2"/>
    <x v="470"/>
    <x v="633"/>
    <x v="431"/>
    <x v="395"/>
    <x v="0"/>
    <x v="1047"/>
    <x v="3"/>
    <x v="5"/>
    <x v="4"/>
    <x v="1"/>
    <x v="6"/>
    <x v="213"/>
  </r>
  <r>
    <x v="1248"/>
    <x v="133"/>
    <x v="1"/>
    <x v="67"/>
    <x v="182"/>
    <x v="180"/>
    <x v="0"/>
    <x v="118"/>
    <x v="591"/>
    <x v="636"/>
    <x v="575"/>
    <x v="371"/>
    <x v="142"/>
    <x v="2"/>
    <x v="5"/>
    <x v="6"/>
    <x v="0"/>
    <x v="5"/>
    <x v="181"/>
  </r>
  <r>
    <x v="1249"/>
    <x v="50"/>
    <x v="15"/>
    <x v="20"/>
    <x v="88"/>
    <x v="84"/>
    <x v="1"/>
    <x v="7"/>
    <x v="1141"/>
    <x v="893"/>
    <x v="899"/>
    <x v="611"/>
    <x v="111"/>
    <x v="2"/>
    <x v="5"/>
    <x v="4"/>
    <x v="0"/>
    <x v="0"/>
    <x v="86"/>
  </r>
  <r>
    <x v="1250"/>
    <x v="96"/>
    <x v="18"/>
    <x v="80"/>
    <x v="177"/>
    <x v="176"/>
    <x v="2"/>
    <x v="307"/>
    <x v="881"/>
    <x v="689"/>
    <x v="555"/>
    <x v="301"/>
    <x v="545"/>
    <x v="2"/>
    <x v="5"/>
    <x v="5"/>
    <x v="2"/>
    <x v="1"/>
    <x v="175"/>
  </r>
  <r>
    <x v="1251"/>
    <x v="140"/>
    <x v="36"/>
    <x v="55"/>
    <x v="150"/>
    <x v="149"/>
    <x v="3"/>
    <x v="315"/>
    <x v="172"/>
    <x v="178"/>
    <x v="159"/>
    <x v="0"/>
    <x v="785"/>
    <x v="1"/>
    <x v="1"/>
    <x v="0"/>
    <x v="0"/>
    <x v="4"/>
    <x v="213"/>
  </r>
  <r>
    <x v="1252"/>
    <x v="52"/>
    <x v="8"/>
    <x v="99"/>
    <x v="157"/>
    <x v="156"/>
    <x v="1"/>
    <x v="171"/>
    <x v="1185"/>
    <x v="1224"/>
    <x v="1075"/>
    <x v="677"/>
    <x v="421"/>
    <x v="2"/>
    <x v="5"/>
    <x v="5"/>
    <x v="2"/>
    <x v="1"/>
    <x v="155"/>
  </r>
  <r>
    <x v="1253"/>
    <x v="1"/>
    <x v="35"/>
    <x v="55"/>
    <x v="102"/>
    <x v="100"/>
    <x v="1"/>
    <x v="474"/>
    <x v="574"/>
    <x v="870"/>
    <x v="772"/>
    <x v="456"/>
    <x v="473"/>
    <x v="2"/>
    <x v="5"/>
    <x v="7"/>
    <x v="0"/>
    <x v="3"/>
    <x v="102"/>
  </r>
  <r>
    <x v="1254"/>
    <x v="42"/>
    <x v="4"/>
    <x v="28"/>
    <x v="182"/>
    <x v="180"/>
    <x v="3"/>
    <x v="38"/>
    <x v="538"/>
    <x v="277"/>
    <x v="299"/>
    <x v="164"/>
    <x v="301"/>
    <x v="2"/>
    <x v="5"/>
    <x v="3"/>
    <x v="2"/>
    <x v="6"/>
    <x v="178"/>
  </r>
  <r>
    <x v="1255"/>
    <x v="155"/>
    <x v="29"/>
    <x v="37"/>
    <x v="51"/>
    <x v="48"/>
    <x v="0"/>
    <x v="222"/>
    <x v="1045"/>
    <x v="995"/>
    <x v="860"/>
    <x v="562"/>
    <x v="218"/>
    <x v="2"/>
    <x v="5"/>
    <x v="3"/>
    <x v="0"/>
    <x v="4"/>
    <x v="48"/>
  </r>
  <r>
    <x v="1256"/>
    <x v="272"/>
    <x v="1"/>
    <x v="4"/>
    <x v="27"/>
    <x v="27"/>
    <x v="3"/>
    <x v="589"/>
    <x v="363"/>
    <x v="981"/>
    <x v="1086"/>
    <x v="632"/>
    <x v="720"/>
    <x v="2"/>
    <x v="5"/>
    <x v="6"/>
    <x v="1"/>
    <x v="1"/>
    <x v="28"/>
  </r>
  <r>
    <x v="1257"/>
    <x v="220"/>
    <x v="18"/>
    <x v="8"/>
    <x v="74"/>
    <x v="71"/>
    <x v="2"/>
    <x v="220"/>
    <x v="500"/>
    <x v="1439"/>
    <x v="1253"/>
    <x v="0"/>
    <x v="1399"/>
    <x v="1"/>
    <x v="0"/>
    <x v="1"/>
    <x v="0"/>
    <x v="3"/>
    <x v="213"/>
  </r>
  <r>
    <x v="1258"/>
    <x v="81"/>
    <x v="10"/>
    <x v="71"/>
    <x v="55"/>
    <x v="53"/>
    <x v="3"/>
    <x v="350"/>
    <x v="1007"/>
    <x v="330"/>
    <x v="370"/>
    <x v="219"/>
    <x v="125"/>
    <x v="2"/>
    <x v="5"/>
    <x v="0"/>
    <x v="2"/>
    <x v="6"/>
    <x v="49"/>
  </r>
  <r>
    <x v="1259"/>
    <x v="100"/>
    <x v="8"/>
    <x v="66"/>
    <x v="116"/>
    <x v="114"/>
    <x v="0"/>
    <x v="517"/>
    <x v="609"/>
    <x v="1124"/>
    <x v="1246"/>
    <x v="0"/>
    <x v="1396"/>
    <x v="3"/>
    <x v="5"/>
    <x v="6"/>
    <x v="0"/>
    <x v="6"/>
    <x v="213"/>
  </r>
  <r>
    <x v="1260"/>
    <x v="115"/>
    <x v="1"/>
    <x v="28"/>
    <x v="5"/>
    <x v="4"/>
    <x v="0"/>
    <x v="212"/>
    <x v="1048"/>
    <x v="836"/>
    <x v="704"/>
    <x v="368"/>
    <x v="691"/>
    <x v="2"/>
    <x v="5"/>
    <x v="0"/>
    <x v="2"/>
    <x v="2"/>
    <x v="2"/>
  </r>
  <r>
    <x v="1261"/>
    <x v="182"/>
    <x v="0"/>
    <x v="56"/>
    <x v="22"/>
    <x v="17"/>
    <x v="2"/>
    <x v="114"/>
    <x v="1231"/>
    <x v="994"/>
    <x v="984"/>
    <x v="0"/>
    <x v="1280"/>
    <x v="3"/>
    <x v="5"/>
    <x v="10"/>
    <x v="1"/>
    <x v="5"/>
    <x v="213"/>
  </r>
  <r>
    <x v="1262"/>
    <x v="28"/>
    <x v="5"/>
    <x v="22"/>
    <x v="90"/>
    <x v="88"/>
    <x v="0"/>
    <x v="612"/>
    <x v="675"/>
    <x v="1106"/>
    <x v="991"/>
    <x v="619"/>
    <x v="493"/>
    <x v="2"/>
    <x v="5"/>
    <x v="3"/>
    <x v="2"/>
    <x v="6"/>
    <x v="87"/>
  </r>
  <r>
    <x v="1263"/>
    <x v="272"/>
    <x v="18"/>
    <x v="58"/>
    <x v="60"/>
    <x v="60"/>
    <x v="1"/>
    <x v="665"/>
    <x v="52"/>
    <x v="1057"/>
    <x v="1267"/>
    <x v="672"/>
    <x v="940"/>
    <x v="2"/>
    <x v="5"/>
    <x v="2"/>
    <x v="0"/>
    <x v="2"/>
    <x v="56"/>
  </r>
  <r>
    <x v="1264"/>
    <x v="187"/>
    <x v="3"/>
    <x v="56"/>
    <x v="184"/>
    <x v="183"/>
    <x v="2"/>
    <x v="691"/>
    <x v="677"/>
    <x v="980"/>
    <x v="847"/>
    <x v="0"/>
    <x v="1226"/>
    <x v="0"/>
    <x v="5"/>
    <x v="0"/>
    <x v="1"/>
    <x v="5"/>
    <x v="213"/>
  </r>
  <r>
    <x v="1265"/>
    <x v="131"/>
    <x v="26"/>
    <x v="13"/>
    <x v="123"/>
    <x v="118"/>
    <x v="0"/>
    <x v="221"/>
    <x v="145"/>
    <x v="134"/>
    <x v="169"/>
    <x v="0"/>
    <x v="807"/>
    <x v="1"/>
    <x v="1"/>
    <x v="7"/>
    <x v="2"/>
    <x v="3"/>
    <x v="213"/>
  </r>
  <r>
    <x v="1266"/>
    <x v="73"/>
    <x v="21"/>
    <x v="64"/>
    <x v="167"/>
    <x v="163"/>
    <x v="1"/>
    <x v="150"/>
    <x v="404"/>
    <x v="1302"/>
    <x v="1289"/>
    <x v="782"/>
    <x v="406"/>
    <x v="2"/>
    <x v="5"/>
    <x v="7"/>
    <x v="2"/>
    <x v="5"/>
    <x v="167"/>
  </r>
  <r>
    <x v="1267"/>
    <x v="255"/>
    <x v="46"/>
    <x v="94"/>
    <x v="14"/>
    <x v="10"/>
    <x v="0"/>
    <x v="206"/>
    <x v="1247"/>
    <x v="481"/>
    <x v="469"/>
    <x v="0"/>
    <x v="1075"/>
    <x v="1"/>
    <x v="1"/>
    <x v="4"/>
    <x v="0"/>
    <x v="4"/>
    <x v="213"/>
  </r>
  <r>
    <x v="1268"/>
    <x v="43"/>
    <x v="3"/>
    <x v="15"/>
    <x v="51"/>
    <x v="48"/>
    <x v="2"/>
    <x v="421"/>
    <x v="124"/>
    <x v="1413"/>
    <x v="1458"/>
    <x v="783"/>
    <x v="1012"/>
    <x v="2"/>
    <x v="5"/>
    <x v="1"/>
    <x v="0"/>
    <x v="4"/>
    <x v="46"/>
  </r>
  <r>
    <x v="1269"/>
    <x v="228"/>
    <x v="3"/>
    <x v="62"/>
    <x v="93"/>
    <x v="88"/>
    <x v="3"/>
    <x v="573"/>
    <x v="103"/>
    <x v="1204"/>
    <x v="1324"/>
    <x v="683"/>
    <x v="984"/>
    <x v="2"/>
    <x v="5"/>
    <x v="1"/>
    <x v="1"/>
    <x v="6"/>
    <x v="88"/>
  </r>
  <r>
    <x v="1270"/>
    <x v="89"/>
    <x v="38"/>
    <x v="40"/>
    <x v="154"/>
    <x v="153"/>
    <x v="1"/>
    <x v="405"/>
    <x v="269"/>
    <x v="856"/>
    <x v="925"/>
    <x v="492"/>
    <x v="758"/>
    <x v="2"/>
    <x v="5"/>
    <x v="5"/>
    <x v="0"/>
    <x v="6"/>
    <x v="152"/>
  </r>
  <r>
    <x v="1271"/>
    <x v="81"/>
    <x v="1"/>
    <x v="46"/>
    <x v="39"/>
    <x v="36"/>
    <x v="3"/>
    <x v="122"/>
    <x v="377"/>
    <x v="1107"/>
    <x v="1025"/>
    <x v="0"/>
    <x v="1293"/>
    <x v="1"/>
    <x v="3"/>
    <x v="7"/>
    <x v="0"/>
    <x v="2"/>
    <x v="213"/>
  </r>
  <r>
    <x v="1272"/>
    <x v="191"/>
    <x v="12"/>
    <x v="24"/>
    <x v="48"/>
    <x v="45"/>
    <x v="1"/>
    <x v="572"/>
    <x v="1359"/>
    <x v="1015"/>
    <x v="938"/>
    <x v="0"/>
    <x v="1261"/>
    <x v="3"/>
    <x v="5"/>
    <x v="13"/>
    <x v="0"/>
    <x v="6"/>
    <x v="213"/>
  </r>
  <r>
    <x v="1273"/>
    <x v="256"/>
    <x v="38"/>
    <x v="74"/>
    <x v="76"/>
    <x v="74"/>
    <x v="3"/>
    <x v="9"/>
    <x v="712"/>
    <x v="1312"/>
    <x v="1423"/>
    <x v="794"/>
    <x v="919"/>
    <x v="2"/>
    <x v="5"/>
    <x v="7"/>
    <x v="2"/>
    <x v="0"/>
    <x v="77"/>
  </r>
  <r>
    <x v="1274"/>
    <x v="35"/>
    <x v="39"/>
    <x v="98"/>
    <x v="206"/>
    <x v="205"/>
    <x v="3"/>
    <x v="160"/>
    <x v="1147"/>
    <x v="521"/>
    <x v="570"/>
    <x v="346"/>
    <x v="242"/>
    <x v="2"/>
    <x v="5"/>
    <x v="5"/>
    <x v="2"/>
    <x v="3"/>
    <x v="203"/>
  </r>
  <r>
    <x v="1275"/>
    <x v="159"/>
    <x v="26"/>
    <x v="29"/>
    <x v="164"/>
    <x v="159"/>
    <x v="3"/>
    <x v="155"/>
    <x v="1161"/>
    <x v="562"/>
    <x v="599"/>
    <x v="0"/>
    <x v="1138"/>
    <x v="1"/>
    <x v="3"/>
    <x v="3"/>
    <x v="2"/>
    <x v="2"/>
    <x v="213"/>
  </r>
  <r>
    <x v="1276"/>
    <x v="174"/>
    <x v="34"/>
    <x v="10"/>
    <x v="82"/>
    <x v="81"/>
    <x v="0"/>
    <x v="674"/>
    <x v="347"/>
    <x v="498"/>
    <x v="438"/>
    <x v="236"/>
    <x v="414"/>
    <x v="2"/>
    <x v="5"/>
    <x v="6"/>
    <x v="0"/>
    <x v="4"/>
    <x v="82"/>
  </r>
  <r>
    <x v="1277"/>
    <x v="35"/>
    <x v="20"/>
    <x v="98"/>
    <x v="98"/>
    <x v="94"/>
    <x v="2"/>
    <x v="181"/>
    <x v="125"/>
    <x v="226"/>
    <x v="242"/>
    <x v="0"/>
    <x v="920"/>
    <x v="3"/>
    <x v="5"/>
    <x v="4"/>
    <x v="0"/>
    <x v="5"/>
    <x v="213"/>
  </r>
  <r>
    <x v="1278"/>
    <x v="233"/>
    <x v="42"/>
    <x v="92"/>
    <x v="83"/>
    <x v="81"/>
    <x v="0"/>
    <x v="536"/>
    <x v="1050"/>
    <x v="1041"/>
    <x v="1020"/>
    <x v="0"/>
    <x v="1291"/>
    <x v="1"/>
    <x v="3"/>
    <x v="6"/>
    <x v="0"/>
    <x v="1"/>
    <x v="213"/>
  </r>
  <r>
    <x v="1279"/>
    <x v="168"/>
    <x v="42"/>
    <x v="33"/>
    <x v="164"/>
    <x v="159"/>
    <x v="1"/>
    <x v="536"/>
    <x v="888"/>
    <x v="1136"/>
    <x v="1012"/>
    <x v="588"/>
    <x v="683"/>
    <x v="2"/>
    <x v="5"/>
    <x v="1"/>
    <x v="0"/>
    <x v="6"/>
    <x v="158"/>
  </r>
  <r>
    <x v="1280"/>
    <x v="289"/>
    <x v="34"/>
    <x v="28"/>
    <x v="57"/>
    <x v="52"/>
    <x v="0"/>
    <x v="49"/>
    <x v="228"/>
    <x v="968"/>
    <x v="1091"/>
    <x v="542"/>
    <x v="926"/>
    <x v="2"/>
    <x v="5"/>
    <x v="4"/>
    <x v="0"/>
    <x v="1"/>
    <x v="55"/>
  </r>
  <r>
    <x v="1281"/>
    <x v="55"/>
    <x v="45"/>
    <x v="47"/>
    <x v="38"/>
    <x v="38"/>
    <x v="0"/>
    <x v="726"/>
    <x v="1116"/>
    <x v="250"/>
    <x v="206"/>
    <x v="0"/>
    <x v="877"/>
    <x v="1"/>
    <x v="4"/>
    <x v="4"/>
    <x v="1"/>
    <x v="2"/>
    <x v="213"/>
  </r>
  <r>
    <x v="1282"/>
    <x v="267"/>
    <x v="20"/>
    <x v="33"/>
    <x v="140"/>
    <x v="137"/>
    <x v="1"/>
    <x v="323"/>
    <x v="815"/>
    <x v="421"/>
    <x v="347"/>
    <x v="0"/>
    <x v="1020"/>
    <x v="0"/>
    <x v="5"/>
    <x v="1"/>
    <x v="2"/>
    <x v="1"/>
    <x v="213"/>
  </r>
  <r>
    <x v="1283"/>
    <x v="222"/>
    <x v="40"/>
    <x v="67"/>
    <x v="39"/>
    <x v="34"/>
    <x v="2"/>
    <x v="203"/>
    <x v="826"/>
    <x v="1180"/>
    <x v="1049"/>
    <x v="694"/>
    <x v="145"/>
    <x v="2"/>
    <x v="5"/>
    <x v="7"/>
    <x v="1"/>
    <x v="3"/>
    <x v="40"/>
  </r>
  <r>
    <x v="1284"/>
    <x v="156"/>
    <x v="49"/>
    <x v="95"/>
    <x v="203"/>
    <x v="198"/>
    <x v="1"/>
    <x v="494"/>
    <x v="1114"/>
    <x v="944"/>
    <x v="871"/>
    <x v="0"/>
    <x v="1235"/>
    <x v="0"/>
    <x v="5"/>
    <x v="6"/>
    <x v="1"/>
    <x v="6"/>
    <x v="213"/>
  </r>
  <r>
    <x v="1285"/>
    <x v="72"/>
    <x v="11"/>
    <x v="9"/>
    <x v="57"/>
    <x v="55"/>
    <x v="0"/>
    <x v="153"/>
    <x v="57"/>
    <x v="152"/>
    <x v="132"/>
    <x v="0"/>
    <x v="714"/>
    <x v="3"/>
    <x v="5"/>
    <x v="9"/>
    <x v="2"/>
    <x v="4"/>
    <x v="213"/>
  </r>
  <r>
    <x v="1286"/>
    <x v="142"/>
    <x v="46"/>
    <x v="62"/>
    <x v="16"/>
    <x v="16"/>
    <x v="1"/>
    <x v="72"/>
    <x v="1208"/>
    <x v="901"/>
    <x v="931"/>
    <x v="608"/>
    <x v="299"/>
    <x v="2"/>
    <x v="5"/>
    <x v="1"/>
    <x v="1"/>
    <x v="2"/>
    <x v="13"/>
  </r>
  <r>
    <x v="1287"/>
    <x v="265"/>
    <x v="6"/>
    <x v="83"/>
    <x v="42"/>
    <x v="39"/>
    <x v="0"/>
    <x v="422"/>
    <x v="529"/>
    <x v="867"/>
    <x v="935"/>
    <x v="0"/>
    <x v="1259"/>
    <x v="3"/>
    <x v="5"/>
    <x v="12"/>
    <x v="0"/>
    <x v="4"/>
    <x v="213"/>
  </r>
  <r>
    <x v="1288"/>
    <x v="1"/>
    <x v="3"/>
    <x v="0"/>
    <x v="140"/>
    <x v="140"/>
    <x v="3"/>
    <x v="165"/>
    <x v="432"/>
    <x v="1306"/>
    <x v="1281"/>
    <x v="656"/>
    <x v="979"/>
    <x v="2"/>
    <x v="5"/>
    <x v="2"/>
    <x v="1"/>
    <x v="3"/>
    <x v="135"/>
  </r>
  <r>
    <x v="1289"/>
    <x v="89"/>
    <x v="17"/>
    <x v="31"/>
    <x v="53"/>
    <x v="49"/>
    <x v="0"/>
    <x v="451"/>
    <x v="6"/>
    <x v="1304"/>
    <x v="1068"/>
    <x v="659"/>
    <x v="535"/>
    <x v="2"/>
    <x v="5"/>
    <x v="5"/>
    <x v="2"/>
    <x v="5"/>
    <x v="52"/>
  </r>
  <r>
    <x v="1290"/>
    <x v="226"/>
    <x v="25"/>
    <x v="68"/>
    <x v="177"/>
    <x v="176"/>
    <x v="2"/>
    <x v="135"/>
    <x v="1173"/>
    <x v="1256"/>
    <x v="1322"/>
    <x v="0"/>
    <x v="1429"/>
    <x v="1"/>
    <x v="2"/>
    <x v="0"/>
    <x v="2"/>
    <x v="6"/>
    <x v="213"/>
  </r>
  <r>
    <x v="1291"/>
    <x v="107"/>
    <x v="30"/>
    <x v="52"/>
    <x v="59"/>
    <x v="58"/>
    <x v="1"/>
    <x v="416"/>
    <x v="880"/>
    <x v="1483"/>
    <x v="1326"/>
    <x v="0"/>
    <x v="1431"/>
    <x v="1"/>
    <x v="3"/>
    <x v="6"/>
    <x v="1"/>
    <x v="0"/>
    <x v="213"/>
  </r>
  <r>
    <x v="1292"/>
    <x v="228"/>
    <x v="6"/>
    <x v="31"/>
    <x v="165"/>
    <x v="161"/>
    <x v="2"/>
    <x v="453"/>
    <x v="801"/>
    <x v="1114"/>
    <x v="1242"/>
    <x v="0"/>
    <x v="1394"/>
    <x v="1"/>
    <x v="0"/>
    <x v="2"/>
    <x v="0"/>
    <x v="0"/>
    <x v="213"/>
  </r>
  <r>
    <x v="1293"/>
    <x v="49"/>
    <x v="43"/>
    <x v="69"/>
    <x v="20"/>
    <x v="19"/>
    <x v="0"/>
    <x v="288"/>
    <x v="495"/>
    <x v="733"/>
    <x v="630"/>
    <x v="414"/>
    <x v="128"/>
    <x v="2"/>
    <x v="5"/>
    <x v="2"/>
    <x v="2"/>
    <x v="4"/>
    <x v="17"/>
  </r>
  <r>
    <x v="1294"/>
    <x v="242"/>
    <x v="31"/>
    <x v="49"/>
    <x v="158"/>
    <x v="153"/>
    <x v="1"/>
    <x v="541"/>
    <x v="127"/>
    <x v="767"/>
    <x v="714"/>
    <x v="0"/>
    <x v="1174"/>
    <x v="1"/>
    <x v="0"/>
    <x v="0"/>
    <x v="2"/>
    <x v="1"/>
    <x v="213"/>
  </r>
  <r>
    <x v="1295"/>
    <x v="134"/>
    <x v="15"/>
    <x v="98"/>
    <x v="166"/>
    <x v="161"/>
    <x v="1"/>
    <x v="515"/>
    <x v="333"/>
    <x v="848"/>
    <x v="684"/>
    <x v="447"/>
    <x v="141"/>
    <x v="2"/>
    <x v="5"/>
    <x v="1"/>
    <x v="2"/>
    <x v="5"/>
    <x v="160"/>
  </r>
  <r>
    <x v="1296"/>
    <x v="292"/>
    <x v="34"/>
    <x v="82"/>
    <x v="116"/>
    <x v="113"/>
    <x v="0"/>
    <x v="445"/>
    <x v="783"/>
    <x v="1380"/>
    <x v="1419"/>
    <x v="801"/>
    <x v="901"/>
    <x v="2"/>
    <x v="5"/>
    <x v="6"/>
    <x v="2"/>
    <x v="4"/>
    <x v="115"/>
  </r>
  <r>
    <x v="1297"/>
    <x v="75"/>
    <x v="44"/>
    <x v="50"/>
    <x v="128"/>
    <x v="127"/>
    <x v="2"/>
    <x v="305"/>
    <x v="1022"/>
    <x v="19"/>
    <x v="21"/>
    <x v="0"/>
    <x v="277"/>
    <x v="3"/>
    <x v="5"/>
    <x v="14"/>
    <x v="1"/>
    <x v="2"/>
    <x v="213"/>
  </r>
  <r>
    <x v="1298"/>
    <x v="162"/>
    <x v="28"/>
    <x v="26"/>
    <x v="196"/>
    <x v="195"/>
    <x v="3"/>
    <x v="511"/>
    <x v="1297"/>
    <x v="493"/>
    <x v="562"/>
    <x v="0"/>
    <x v="1120"/>
    <x v="3"/>
    <x v="5"/>
    <x v="5"/>
    <x v="1"/>
    <x v="5"/>
    <x v="213"/>
  </r>
  <r>
    <x v="1299"/>
    <x v="223"/>
    <x v="47"/>
    <x v="38"/>
    <x v="43"/>
    <x v="41"/>
    <x v="0"/>
    <x v="480"/>
    <x v="67"/>
    <x v="882"/>
    <x v="969"/>
    <x v="600"/>
    <x v="499"/>
    <x v="2"/>
    <x v="5"/>
    <x v="0"/>
    <x v="2"/>
    <x v="3"/>
    <x v="37"/>
  </r>
  <r>
    <x v="1300"/>
    <x v="32"/>
    <x v="48"/>
    <x v="56"/>
    <x v="163"/>
    <x v="160"/>
    <x v="2"/>
    <x v="399"/>
    <x v="66"/>
    <x v="911"/>
    <x v="894"/>
    <x v="623"/>
    <x v="17"/>
    <x v="2"/>
    <x v="5"/>
    <x v="4"/>
    <x v="1"/>
    <x v="0"/>
    <x v="160"/>
  </r>
  <r>
    <x v="1301"/>
    <x v="203"/>
    <x v="17"/>
    <x v="9"/>
    <x v="145"/>
    <x v="141"/>
    <x v="0"/>
    <x v="667"/>
    <x v="1289"/>
    <x v="1016"/>
    <x v="1037"/>
    <x v="631"/>
    <x v="595"/>
    <x v="2"/>
    <x v="5"/>
    <x v="4"/>
    <x v="2"/>
    <x v="0"/>
    <x v="142"/>
  </r>
  <r>
    <x v="1302"/>
    <x v="200"/>
    <x v="46"/>
    <x v="74"/>
    <x v="108"/>
    <x v="105"/>
    <x v="1"/>
    <x v="314"/>
    <x v="775"/>
    <x v="1251"/>
    <x v="1271"/>
    <x v="748"/>
    <x v="608"/>
    <x v="2"/>
    <x v="5"/>
    <x v="3"/>
    <x v="1"/>
    <x v="5"/>
    <x v="104"/>
  </r>
  <r>
    <x v="1303"/>
    <x v="5"/>
    <x v="20"/>
    <x v="21"/>
    <x v="9"/>
    <x v="7"/>
    <x v="1"/>
    <x v="695"/>
    <x v="86"/>
    <x v="11"/>
    <x v="12"/>
    <x v="10"/>
    <x v="16"/>
    <x v="2"/>
    <x v="5"/>
    <x v="6"/>
    <x v="0"/>
    <x v="2"/>
    <x v="11"/>
  </r>
  <r>
    <x v="1304"/>
    <x v="274"/>
    <x v="11"/>
    <x v="34"/>
    <x v="38"/>
    <x v="35"/>
    <x v="3"/>
    <x v="297"/>
    <x v="1321"/>
    <x v="566"/>
    <x v="586"/>
    <x v="378"/>
    <x v="117"/>
    <x v="2"/>
    <x v="5"/>
    <x v="0"/>
    <x v="0"/>
    <x v="1"/>
    <x v="32"/>
  </r>
  <r>
    <x v="1305"/>
    <x v="165"/>
    <x v="30"/>
    <x v="39"/>
    <x v="56"/>
    <x v="56"/>
    <x v="0"/>
    <x v="513"/>
    <x v="1217"/>
    <x v="791"/>
    <x v="812"/>
    <x v="533"/>
    <x v="194"/>
    <x v="2"/>
    <x v="5"/>
    <x v="0"/>
    <x v="2"/>
    <x v="1"/>
    <x v="50"/>
  </r>
  <r>
    <x v="1306"/>
    <x v="185"/>
    <x v="0"/>
    <x v="6"/>
    <x v="190"/>
    <x v="190"/>
    <x v="1"/>
    <x v="177"/>
    <x v="135"/>
    <x v="589"/>
    <x v="688"/>
    <x v="325"/>
    <x v="766"/>
    <x v="2"/>
    <x v="5"/>
    <x v="7"/>
    <x v="1"/>
    <x v="3"/>
    <x v="190"/>
  </r>
  <r>
    <x v="1307"/>
    <x v="8"/>
    <x v="22"/>
    <x v="49"/>
    <x v="187"/>
    <x v="184"/>
    <x v="3"/>
    <x v="78"/>
    <x v="684"/>
    <x v="570"/>
    <x v="597"/>
    <x v="0"/>
    <x v="1137"/>
    <x v="1"/>
    <x v="3"/>
    <x v="5"/>
    <x v="1"/>
    <x v="6"/>
    <x v="213"/>
  </r>
  <r>
    <x v="1308"/>
    <x v="287"/>
    <x v="3"/>
    <x v="64"/>
    <x v="116"/>
    <x v="112"/>
    <x v="2"/>
    <x v="598"/>
    <x v="61"/>
    <x v="1347"/>
    <x v="1245"/>
    <x v="0"/>
    <x v="1395"/>
    <x v="3"/>
    <x v="5"/>
    <x v="10"/>
    <x v="1"/>
    <x v="0"/>
    <x v="213"/>
  </r>
  <r>
    <x v="1309"/>
    <x v="214"/>
    <x v="23"/>
    <x v="88"/>
    <x v="138"/>
    <x v="135"/>
    <x v="1"/>
    <x v="37"/>
    <x v="602"/>
    <x v="1314"/>
    <x v="1415"/>
    <x v="732"/>
    <x v="1013"/>
    <x v="2"/>
    <x v="5"/>
    <x v="3"/>
    <x v="2"/>
    <x v="3"/>
    <x v="134"/>
  </r>
  <r>
    <x v="1310"/>
    <x v="212"/>
    <x v="35"/>
    <x v="51"/>
    <x v="79"/>
    <x v="77"/>
    <x v="3"/>
    <x v="136"/>
    <x v="789"/>
    <x v="873"/>
    <x v="710"/>
    <x v="411"/>
    <x v="526"/>
    <x v="2"/>
    <x v="5"/>
    <x v="5"/>
    <x v="0"/>
    <x v="2"/>
    <x v="78"/>
  </r>
  <r>
    <x v="1311"/>
    <x v="68"/>
    <x v="20"/>
    <x v="54"/>
    <x v="37"/>
    <x v="36"/>
    <x v="0"/>
    <x v="154"/>
    <x v="481"/>
    <x v="1366"/>
    <x v="1384"/>
    <x v="791"/>
    <x v="824"/>
    <x v="2"/>
    <x v="5"/>
    <x v="7"/>
    <x v="0"/>
    <x v="5"/>
    <x v="38"/>
  </r>
  <r>
    <x v="1312"/>
    <x v="130"/>
    <x v="31"/>
    <x v="39"/>
    <x v="4"/>
    <x v="2"/>
    <x v="2"/>
    <x v="323"/>
    <x v="796"/>
    <x v="1400"/>
    <x v="1417"/>
    <x v="786"/>
    <x v="927"/>
    <x v="2"/>
    <x v="5"/>
    <x v="0"/>
    <x v="1"/>
    <x v="3"/>
    <x v="1"/>
  </r>
  <r>
    <x v="1313"/>
    <x v="269"/>
    <x v="14"/>
    <x v="40"/>
    <x v="177"/>
    <x v="175"/>
    <x v="1"/>
    <x v="401"/>
    <x v="223"/>
    <x v="321"/>
    <x v="317"/>
    <x v="162"/>
    <x v="419"/>
    <x v="2"/>
    <x v="5"/>
    <x v="3"/>
    <x v="0"/>
    <x v="3"/>
    <x v="173"/>
  </r>
  <r>
    <x v="1314"/>
    <x v="1"/>
    <x v="47"/>
    <x v="31"/>
    <x v="90"/>
    <x v="85"/>
    <x v="2"/>
    <x v="101"/>
    <x v="489"/>
    <x v="135"/>
    <x v="149"/>
    <x v="94"/>
    <x v="46"/>
    <x v="2"/>
    <x v="5"/>
    <x v="0"/>
    <x v="0"/>
    <x v="1"/>
    <x v="84"/>
  </r>
  <r>
    <x v="1315"/>
    <x v="249"/>
    <x v="10"/>
    <x v="54"/>
    <x v="22"/>
    <x v="17"/>
    <x v="3"/>
    <x v="439"/>
    <x v="1380"/>
    <x v="336"/>
    <x v="382"/>
    <x v="0"/>
    <x v="1039"/>
    <x v="1"/>
    <x v="0"/>
    <x v="2"/>
    <x v="1"/>
    <x v="6"/>
    <x v="213"/>
  </r>
  <r>
    <x v="1316"/>
    <x v="295"/>
    <x v="42"/>
    <x v="39"/>
    <x v="160"/>
    <x v="158"/>
    <x v="0"/>
    <x v="564"/>
    <x v="905"/>
    <x v="1053"/>
    <x v="1005"/>
    <x v="555"/>
    <x v="748"/>
    <x v="2"/>
    <x v="5"/>
    <x v="2"/>
    <x v="0"/>
    <x v="4"/>
    <x v="155"/>
  </r>
  <r>
    <x v="1317"/>
    <x v="225"/>
    <x v="4"/>
    <x v="7"/>
    <x v="80"/>
    <x v="80"/>
    <x v="3"/>
    <x v="39"/>
    <x v="1337"/>
    <x v="1465"/>
    <x v="1352"/>
    <x v="750"/>
    <x v="857"/>
    <x v="2"/>
    <x v="5"/>
    <x v="1"/>
    <x v="1"/>
    <x v="0"/>
    <x v="75"/>
  </r>
  <r>
    <x v="1318"/>
    <x v="237"/>
    <x v="14"/>
    <x v="97"/>
    <x v="94"/>
    <x v="92"/>
    <x v="3"/>
    <x v="528"/>
    <x v="565"/>
    <x v="370"/>
    <x v="369"/>
    <x v="0"/>
    <x v="1033"/>
    <x v="3"/>
    <x v="5"/>
    <x v="7"/>
    <x v="2"/>
    <x v="1"/>
    <x v="213"/>
  </r>
  <r>
    <x v="1319"/>
    <x v="232"/>
    <x v="7"/>
    <x v="45"/>
    <x v="38"/>
    <x v="36"/>
    <x v="3"/>
    <x v="582"/>
    <x v="1177"/>
    <x v="768"/>
    <x v="861"/>
    <x v="536"/>
    <x v="355"/>
    <x v="2"/>
    <x v="5"/>
    <x v="1"/>
    <x v="0"/>
    <x v="3"/>
    <x v="33"/>
  </r>
  <r>
    <x v="1320"/>
    <x v="97"/>
    <x v="7"/>
    <x v="67"/>
    <x v="78"/>
    <x v="74"/>
    <x v="0"/>
    <x v="349"/>
    <x v="227"/>
    <x v="466"/>
    <x v="470"/>
    <x v="263"/>
    <x v="360"/>
    <x v="2"/>
    <x v="5"/>
    <x v="3"/>
    <x v="0"/>
    <x v="4"/>
    <x v="75"/>
  </r>
  <r>
    <x v="1321"/>
    <x v="19"/>
    <x v="32"/>
    <x v="60"/>
    <x v="52"/>
    <x v="51"/>
    <x v="0"/>
    <x v="677"/>
    <x v="189"/>
    <x v="758"/>
    <x v="802"/>
    <x v="0"/>
    <x v="1210"/>
    <x v="1"/>
    <x v="0"/>
    <x v="2"/>
    <x v="2"/>
    <x v="1"/>
    <x v="213"/>
  </r>
  <r>
    <x v="1322"/>
    <x v="158"/>
    <x v="43"/>
    <x v="8"/>
    <x v="47"/>
    <x v="44"/>
    <x v="3"/>
    <x v="151"/>
    <x v="323"/>
    <x v="286"/>
    <x v="266"/>
    <x v="149"/>
    <x v="224"/>
    <x v="2"/>
    <x v="5"/>
    <x v="2"/>
    <x v="2"/>
    <x v="4"/>
    <x v="43"/>
  </r>
  <r>
    <x v="1323"/>
    <x v="258"/>
    <x v="3"/>
    <x v="12"/>
    <x v="81"/>
    <x v="78"/>
    <x v="1"/>
    <x v="294"/>
    <x v="1097"/>
    <x v="979"/>
    <x v="1169"/>
    <x v="716"/>
    <x v="456"/>
    <x v="2"/>
    <x v="5"/>
    <x v="7"/>
    <x v="1"/>
    <x v="2"/>
    <x v="82"/>
  </r>
  <r>
    <x v="1324"/>
    <x v="81"/>
    <x v="37"/>
    <x v="50"/>
    <x v="50"/>
    <x v="48"/>
    <x v="1"/>
    <x v="258"/>
    <x v="590"/>
    <x v="535"/>
    <x v="461"/>
    <x v="251"/>
    <x v="387"/>
    <x v="2"/>
    <x v="5"/>
    <x v="6"/>
    <x v="0"/>
    <x v="1"/>
    <x v="50"/>
  </r>
  <r>
    <x v="1325"/>
    <x v="216"/>
    <x v="16"/>
    <x v="43"/>
    <x v="102"/>
    <x v="101"/>
    <x v="1"/>
    <x v="504"/>
    <x v="81"/>
    <x v="840"/>
    <x v="999"/>
    <x v="0"/>
    <x v="1285"/>
    <x v="3"/>
    <x v="5"/>
    <x v="13"/>
    <x v="1"/>
    <x v="0"/>
    <x v="213"/>
  </r>
  <r>
    <x v="1326"/>
    <x v="170"/>
    <x v="10"/>
    <x v="12"/>
    <x v="28"/>
    <x v="28"/>
    <x v="1"/>
    <x v="444"/>
    <x v="1052"/>
    <x v="811"/>
    <x v="810"/>
    <x v="484"/>
    <x v="491"/>
    <x v="2"/>
    <x v="5"/>
    <x v="3"/>
    <x v="1"/>
    <x v="5"/>
    <x v="26"/>
  </r>
  <r>
    <x v="1327"/>
    <x v="230"/>
    <x v="37"/>
    <x v="47"/>
    <x v="76"/>
    <x v="74"/>
    <x v="2"/>
    <x v="141"/>
    <x v="967"/>
    <x v="414"/>
    <x v="389"/>
    <x v="237"/>
    <x v="48"/>
    <x v="2"/>
    <x v="5"/>
    <x v="4"/>
    <x v="2"/>
    <x v="3"/>
    <x v="74"/>
  </r>
  <r>
    <x v="1328"/>
    <x v="26"/>
    <x v="11"/>
    <x v="18"/>
    <x v="167"/>
    <x v="162"/>
    <x v="1"/>
    <x v="365"/>
    <x v="1187"/>
    <x v="1125"/>
    <x v="979"/>
    <x v="573"/>
    <x v="610"/>
    <x v="2"/>
    <x v="5"/>
    <x v="1"/>
    <x v="1"/>
    <x v="5"/>
    <x v="161"/>
  </r>
  <r>
    <x v="1329"/>
    <x v="266"/>
    <x v="34"/>
    <x v="24"/>
    <x v="160"/>
    <x v="155"/>
    <x v="2"/>
    <x v="64"/>
    <x v="1186"/>
    <x v="1258"/>
    <x v="1386"/>
    <x v="0"/>
    <x v="1454"/>
    <x v="1"/>
    <x v="1"/>
    <x v="2"/>
    <x v="0"/>
    <x v="3"/>
    <x v="213"/>
  </r>
  <r>
    <x v="1330"/>
    <x v="134"/>
    <x v="13"/>
    <x v="54"/>
    <x v="196"/>
    <x v="192"/>
    <x v="2"/>
    <x v="632"/>
    <x v="426"/>
    <x v="1375"/>
    <x v="1254"/>
    <x v="701"/>
    <x v="844"/>
    <x v="2"/>
    <x v="5"/>
    <x v="1"/>
    <x v="1"/>
    <x v="2"/>
    <x v="190"/>
  </r>
  <r>
    <x v="1331"/>
    <x v="218"/>
    <x v="34"/>
    <x v="14"/>
    <x v="133"/>
    <x v="133"/>
    <x v="1"/>
    <x v="478"/>
    <x v="637"/>
    <x v="1070"/>
    <x v="1166"/>
    <x v="633"/>
    <x v="873"/>
    <x v="2"/>
    <x v="5"/>
    <x v="5"/>
    <x v="1"/>
    <x v="2"/>
    <x v="131"/>
  </r>
  <r>
    <x v="1332"/>
    <x v="289"/>
    <x v="40"/>
    <x v="21"/>
    <x v="137"/>
    <x v="137"/>
    <x v="1"/>
    <x v="368"/>
    <x v="1202"/>
    <x v="1376"/>
    <x v="1375"/>
    <x v="841"/>
    <x v="265"/>
    <x v="2"/>
    <x v="5"/>
    <x v="0"/>
    <x v="1"/>
    <x v="0"/>
    <x v="130"/>
  </r>
  <r>
    <x v="1333"/>
    <x v="187"/>
    <x v="5"/>
    <x v="80"/>
    <x v="96"/>
    <x v="94"/>
    <x v="3"/>
    <x v="619"/>
    <x v="1291"/>
    <x v="1278"/>
    <x v="1431"/>
    <x v="833"/>
    <x v="713"/>
    <x v="2"/>
    <x v="5"/>
    <x v="3"/>
    <x v="1"/>
    <x v="1"/>
    <x v="92"/>
  </r>
  <r>
    <x v="1334"/>
    <x v="62"/>
    <x v="43"/>
    <x v="50"/>
    <x v="10"/>
    <x v="5"/>
    <x v="1"/>
    <x v="621"/>
    <x v="320"/>
    <x v="1108"/>
    <x v="1240"/>
    <x v="740"/>
    <x v="550"/>
    <x v="2"/>
    <x v="5"/>
    <x v="3"/>
    <x v="0"/>
    <x v="5"/>
    <x v="9"/>
  </r>
  <r>
    <x v="1335"/>
    <x v="154"/>
    <x v="8"/>
    <x v="82"/>
    <x v="65"/>
    <x v="61"/>
    <x v="3"/>
    <x v="288"/>
    <x v="319"/>
    <x v="354"/>
    <x v="398"/>
    <x v="205"/>
    <x v="522"/>
    <x v="2"/>
    <x v="5"/>
    <x v="7"/>
    <x v="0"/>
    <x v="4"/>
    <x v="66"/>
  </r>
  <r>
    <x v="1336"/>
    <x v="253"/>
    <x v="45"/>
    <x v="15"/>
    <x v="109"/>
    <x v="109"/>
    <x v="1"/>
    <x v="236"/>
    <x v="860"/>
    <x v="1022"/>
    <x v="976"/>
    <x v="577"/>
    <x v="588"/>
    <x v="2"/>
    <x v="5"/>
    <x v="1"/>
    <x v="0"/>
    <x v="6"/>
    <x v="103"/>
  </r>
  <r>
    <x v="1337"/>
    <x v="267"/>
    <x v="31"/>
    <x v="26"/>
    <x v="77"/>
    <x v="76"/>
    <x v="2"/>
    <x v="630"/>
    <x v="1033"/>
    <x v="301"/>
    <x v="253"/>
    <x v="0"/>
    <x v="937"/>
    <x v="3"/>
    <x v="5"/>
    <x v="8"/>
    <x v="0"/>
    <x v="2"/>
    <x v="213"/>
  </r>
  <r>
    <x v="1338"/>
    <x v="123"/>
    <x v="13"/>
    <x v="45"/>
    <x v="21"/>
    <x v="20"/>
    <x v="0"/>
    <x v="664"/>
    <x v="163"/>
    <x v="739"/>
    <x v="776"/>
    <x v="0"/>
    <x v="1200"/>
    <x v="3"/>
    <x v="5"/>
    <x v="12"/>
    <x v="1"/>
    <x v="0"/>
    <x v="213"/>
  </r>
  <r>
    <x v="1339"/>
    <x v="45"/>
    <x v="23"/>
    <x v="81"/>
    <x v="162"/>
    <x v="160"/>
    <x v="3"/>
    <x v="374"/>
    <x v="640"/>
    <x v="1462"/>
    <x v="1495"/>
    <x v="867"/>
    <x v="409"/>
    <x v="2"/>
    <x v="5"/>
    <x v="6"/>
    <x v="0"/>
    <x v="4"/>
    <x v="161"/>
  </r>
  <r>
    <x v="1340"/>
    <x v="173"/>
    <x v="7"/>
    <x v="12"/>
    <x v="88"/>
    <x v="85"/>
    <x v="2"/>
    <x v="242"/>
    <x v="638"/>
    <x v="338"/>
    <x v="344"/>
    <x v="0"/>
    <x v="1019"/>
    <x v="1"/>
    <x v="1"/>
    <x v="2"/>
    <x v="2"/>
    <x v="4"/>
    <x v="213"/>
  </r>
  <r>
    <x v="1341"/>
    <x v="244"/>
    <x v="11"/>
    <x v="58"/>
    <x v="157"/>
    <x v="157"/>
    <x v="1"/>
    <x v="712"/>
    <x v="418"/>
    <x v="1249"/>
    <x v="1406"/>
    <x v="0"/>
    <x v="1462"/>
    <x v="3"/>
    <x v="5"/>
    <x v="10"/>
    <x v="1"/>
    <x v="5"/>
    <x v="213"/>
  </r>
  <r>
    <x v="1342"/>
    <x v="189"/>
    <x v="16"/>
    <x v="32"/>
    <x v="112"/>
    <x v="107"/>
    <x v="1"/>
    <x v="681"/>
    <x v="1061"/>
    <x v="6"/>
    <x v="7"/>
    <x v="5"/>
    <x v="35"/>
    <x v="2"/>
    <x v="5"/>
    <x v="1"/>
    <x v="0"/>
    <x v="0"/>
    <x v="106"/>
  </r>
  <r>
    <x v="1343"/>
    <x v="168"/>
    <x v="34"/>
    <x v="81"/>
    <x v="30"/>
    <x v="26"/>
    <x v="3"/>
    <x v="338"/>
    <x v="697"/>
    <x v="645"/>
    <x v="801"/>
    <x v="0"/>
    <x v="1209"/>
    <x v="0"/>
    <x v="5"/>
    <x v="3"/>
    <x v="0"/>
    <x v="3"/>
    <x v="213"/>
  </r>
  <r>
    <x v="1344"/>
    <x v="4"/>
    <x v="16"/>
    <x v="18"/>
    <x v="31"/>
    <x v="31"/>
    <x v="2"/>
    <x v="347"/>
    <x v="545"/>
    <x v="817"/>
    <x v="654"/>
    <x v="373"/>
    <x v="490"/>
    <x v="2"/>
    <x v="5"/>
    <x v="3"/>
    <x v="2"/>
    <x v="6"/>
    <x v="29"/>
  </r>
  <r>
    <x v="1345"/>
    <x v="159"/>
    <x v="13"/>
    <x v="2"/>
    <x v="130"/>
    <x v="130"/>
    <x v="2"/>
    <x v="475"/>
    <x v="133"/>
    <x v="371"/>
    <x v="340"/>
    <x v="170"/>
    <x v="467"/>
    <x v="2"/>
    <x v="5"/>
    <x v="3"/>
    <x v="2"/>
    <x v="2"/>
    <x v="126"/>
  </r>
  <r>
    <x v="1346"/>
    <x v="1"/>
    <x v="36"/>
    <x v="22"/>
    <x v="104"/>
    <x v="102"/>
    <x v="0"/>
    <x v="416"/>
    <x v="1355"/>
    <x v="1277"/>
    <x v="1349"/>
    <x v="0"/>
    <x v="1442"/>
    <x v="3"/>
    <x v="5"/>
    <x v="12"/>
    <x v="2"/>
    <x v="5"/>
    <x v="213"/>
  </r>
  <r>
    <x v="1347"/>
    <x v="119"/>
    <x v="49"/>
    <x v="42"/>
    <x v="133"/>
    <x v="130"/>
    <x v="2"/>
    <x v="109"/>
    <x v="1258"/>
    <x v="1301"/>
    <x v="1388"/>
    <x v="0"/>
    <x v="1456"/>
    <x v="1"/>
    <x v="2"/>
    <x v="5"/>
    <x v="0"/>
    <x v="2"/>
    <x v="213"/>
  </r>
  <r>
    <x v="1348"/>
    <x v="52"/>
    <x v="48"/>
    <x v="49"/>
    <x v="69"/>
    <x v="68"/>
    <x v="3"/>
    <x v="646"/>
    <x v="99"/>
    <x v="1452"/>
    <x v="1477"/>
    <x v="866"/>
    <x v="126"/>
    <x v="2"/>
    <x v="5"/>
    <x v="1"/>
    <x v="0"/>
    <x v="3"/>
    <x v="64"/>
  </r>
  <r>
    <x v="1349"/>
    <x v="222"/>
    <x v="41"/>
    <x v="95"/>
    <x v="57"/>
    <x v="53"/>
    <x v="3"/>
    <x v="420"/>
    <x v="583"/>
    <x v="760"/>
    <x v="623"/>
    <x v="349"/>
    <x v="479"/>
    <x v="2"/>
    <x v="5"/>
    <x v="7"/>
    <x v="1"/>
    <x v="6"/>
    <x v="58"/>
  </r>
  <r>
    <x v="1350"/>
    <x v="4"/>
    <x v="38"/>
    <x v="1"/>
    <x v="57"/>
    <x v="54"/>
    <x v="1"/>
    <x v="288"/>
    <x v="513"/>
    <x v="675"/>
    <x v="546"/>
    <x v="289"/>
    <x v="575"/>
    <x v="2"/>
    <x v="5"/>
    <x v="3"/>
    <x v="1"/>
    <x v="1"/>
    <x v="54"/>
  </r>
  <r>
    <x v="1351"/>
    <x v="174"/>
    <x v="16"/>
    <x v="21"/>
    <x v="166"/>
    <x v="163"/>
    <x v="1"/>
    <x v="219"/>
    <x v="184"/>
    <x v="273"/>
    <x v="232"/>
    <x v="0"/>
    <x v="910"/>
    <x v="0"/>
    <x v="5"/>
    <x v="2"/>
    <x v="1"/>
    <x v="1"/>
    <x v="213"/>
  </r>
  <r>
    <x v="1352"/>
    <x v="232"/>
    <x v="8"/>
    <x v="0"/>
    <x v="44"/>
    <x v="43"/>
    <x v="3"/>
    <x v="631"/>
    <x v="733"/>
    <x v="900"/>
    <x v="1002"/>
    <x v="0"/>
    <x v="1286"/>
    <x v="1"/>
    <x v="0"/>
    <x v="5"/>
    <x v="0"/>
    <x v="0"/>
    <x v="213"/>
  </r>
  <r>
    <x v="1353"/>
    <x v="50"/>
    <x v="36"/>
    <x v="27"/>
    <x v="19"/>
    <x v="14"/>
    <x v="0"/>
    <x v="226"/>
    <x v="968"/>
    <x v="1021"/>
    <x v="1183"/>
    <x v="0"/>
    <x v="1366"/>
    <x v="3"/>
    <x v="5"/>
    <x v="7"/>
    <x v="0"/>
    <x v="1"/>
    <x v="213"/>
  </r>
  <r>
    <x v="1354"/>
    <x v="71"/>
    <x v="48"/>
    <x v="35"/>
    <x v="146"/>
    <x v="141"/>
    <x v="2"/>
    <x v="19"/>
    <x v="1220"/>
    <x v="918"/>
    <x v="1013"/>
    <x v="558"/>
    <x v="762"/>
    <x v="2"/>
    <x v="5"/>
    <x v="2"/>
    <x v="0"/>
    <x v="4"/>
    <x v="141"/>
  </r>
  <r>
    <x v="1355"/>
    <x v="39"/>
    <x v="31"/>
    <x v="38"/>
    <x v="101"/>
    <x v="99"/>
    <x v="0"/>
    <x v="155"/>
    <x v="763"/>
    <x v="837"/>
    <x v="746"/>
    <x v="0"/>
    <x v="1192"/>
    <x v="1"/>
    <x v="1"/>
    <x v="2"/>
    <x v="0"/>
    <x v="3"/>
    <x v="213"/>
  </r>
  <r>
    <x v="1356"/>
    <x v="26"/>
    <x v="2"/>
    <x v="24"/>
    <x v="182"/>
    <x v="177"/>
    <x v="3"/>
    <x v="316"/>
    <x v="1329"/>
    <x v="248"/>
    <x v="210"/>
    <x v="0"/>
    <x v="881"/>
    <x v="3"/>
    <x v="5"/>
    <x v="11"/>
    <x v="2"/>
    <x v="0"/>
    <x v="213"/>
  </r>
  <r>
    <x v="1357"/>
    <x v="28"/>
    <x v="9"/>
    <x v="99"/>
    <x v="179"/>
    <x v="176"/>
    <x v="1"/>
    <x v="22"/>
    <x v="878"/>
    <x v="674"/>
    <x v="590"/>
    <x v="320"/>
    <x v="515"/>
    <x v="2"/>
    <x v="5"/>
    <x v="2"/>
    <x v="0"/>
    <x v="2"/>
    <x v="174"/>
  </r>
  <r>
    <x v="1358"/>
    <x v="274"/>
    <x v="37"/>
    <x v="3"/>
    <x v="208"/>
    <x v="205"/>
    <x v="1"/>
    <x v="282"/>
    <x v="1190"/>
    <x v="93"/>
    <x v="84"/>
    <x v="0"/>
    <x v="587"/>
    <x v="3"/>
    <x v="5"/>
    <x v="9"/>
    <x v="2"/>
    <x v="5"/>
    <x v="213"/>
  </r>
  <r>
    <x v="1359"/>
    <x v="13"/>
    <x v="29"/>
    <x v="27"/>
    <x v="80"/>
    <x v="80"/>
    <x v="2"/>
    <x v="71"/>
    <x v="503"/>
    <x v="717"/>
    <x v="609"/>
    <x v="406"/>
    <x v="56"/>
    <x v="2"/>
    <x v="5"/>
    <x v="0"/>
    <x v="0"/>
    <x v="4"/>
    <x v="74"/>
  </r>
  <r>
    <x v="1360"/>
    <x v="256"/>
    <x v="30"/>
    <x v="9"/>
    <x v="116"/>
    <x v="115"/>
    <x v="2"/>
    <x v="407"/>
    <x v="366"/>
    <x v="146"/>
    <x v="154"/>
    <x v="84"/>
    <x v="202"/>
    <x v="2"/>
    <x v="5"/>
    <x v="0"/>
    <x v="0"/>
    <x v="0"/>
    <x v="109"/>
  </r>
  <r>
    <x v="1361"/>
    <x v="249"/>
    <x v="7"/>
    <x v="72"/>
    <x v="8"/>
    <x v="6"/>
    <x v="0"/>
    <x v="448"/>
    <x v="190"/>
    <x v="1385"/>
    <x v="1443"/>
    <x v="851"/>
    <x v="533"/>
    <x v="2"/>
    <x v="5"/>
    <x v="1"/>
    <x v="2"/>
    <x v="1"/>
    <x v="5"/>
  </r>
  <r>
    <x v="1362"/>
    <x v="151"/>
    <x v="18"/>
    <x v="16"/>
    <x v="4"/>
    <x v="1"/>
    <x v="0"/>
    <x v="299"/>
    <x v="376"/>
    <x v="348"/>
    <x v="297"/>
    <x v="188"/>
    <x v="13"/>
    <x v="2"/>
    <x v="5"/>
    <x v="3"/>
    <x v="0"/>
    <x v="4"/>
    <x v="3"/>
  </r>
  <r>
    <x v="1363"/>
    <x v="70"/>
    <x v="46"/>
    <x v="85"/>
    <x v="101"/>
    <x v="101"/>
    <x v="1"/>
    <x v="484"/>
    <x v="713"/>
    <x v="264"/>
    <x v="309"/>
    <x v="163"/>
    <x v="362"/>
    <x v="2"/>
    <x v="5"/>
    <x v="1"/>
    <x v="2"/>
    <x v="4"/>
    <x v="95"/>
  </r>
  <r>
    <x v="1364"/>
    <x v="91"/>
    <x v="26"/>
    <x v="82"/>
    <x v="213"/>
    <x v="210"/>
    <x v="3"/>
    <x v="264"/>
    <x v="251"/>
    <x v="673"/>
    <x v="594"/>
    <x v="0"/>
    <x v="1134"/>
    <x v="1"/>
    <x v="3"/>
    <x v="0"/>
    <x v="0"/>
    <x v="6"/>
    <x v="213"/>
  </r>
  <r>
    <x v="1365"/>
    <x v="66"/>
    <x v="17"/>
    <x v="44"/>
    <x v="123"/>
    <x v="120"/>
    <x v="3"/>
    <x v="485"/>
    <x v="1362"/>
    <x v="654"/>
    <x v="770"/>
    <x v="478"/>
    <x v="341"/>
    <x v="2"/>
    <x v="5"/>
    <x v="0"/>
    <x v="2"/>
    <x v="0"/>
    <x v="116"/>
  </r>
  <r>
    <x v="1366"/>
    <x v="85"/>
    <x v="27"/>
    <x v="69"/>
    <x v="97"/>
    <x v="97"/>
    <x v="2"/>
    <x v="630"/>
    <x v="751"/>
    <x v="141"/>
    <x v="160"/>
    <x v="85"/>
    <x v="221"/>
    <x v="2"/>
    <x v="5"/>
    <x v="1"/>
    <x v="1"/>
    <x v="5"/>
    <x v="91"/>
  </r>
  <r>
    <x v="1367"/>
    <x v="107"/>
    <x v="29"/>
    <x v="48"/>
    <x v="209"/>
    <x v="205"/>
    <x v="1"/>
    <x v="8"/>
    <x v="1279"/>
    <x v="366"/>
    <x v="378"/>
    <x v="0"/>
    <x v="1037"/>
    <x v="1"/>
    <x v="3"/>
    <x v="6"/>
    <x v="1"/>
    <x v="3"/>
    <x v="213"/>
  </r>
  <r>
    <x v="1368"/>
    <x v="285"/>
    <x v="7"/>
    <x v="73"/>
    <x v="82"/>
    <x v="79"/>
    <x v="1"/>
    <x v="403"/>
    <x v="772"/>
    <x v="741"/>
    <x v="662"/>
    <x v="423"/>
    <x v="219"/>
    <x v="2"/>
    <x v="5"/>
    <x v="1"/>
    <x v="1"/>
    <x v="1"/>
    <x v="77"/>
  </r>
  <r>
    <x v="1369"/>
    <x v="197"/>
    <x v="38"/>
    <x v="93"/>
    <x v="146"/>
    <x v="145"/>
    <x v="0"/>
    <x v="693"/>
    <x v="526"/>
    <x v="425"/>
    <x v="358"/>
    <x v="209"/>
    <x v="271"/>
    <x v="2"/>
    <x v="5"/>
    <x v="3"/>
    <x v="2"/>
    <x v="6"/>
    <x v="142"/>
  </r>
  <r>
    <x v="1370"/>
    <x v="58"/>
    <x v="14"/>
    <x v="73"/>
    <x v="75"/>
    <x v="71"/>
    <x v="2"/>
    <x v="266"/>
    <x v="719"/>
    <x v="617"/>
    <x v="612"/>
    <x v="408"/>
    <x v="65"/>
    <x v="2"/>
    <x v="5"/>
    <x v="2"/>
    <x v="2"/>
    <x v="6"/>
    <x v="71"/>
  </r>
  <r>
    <x v="1371"/>
    <x v="73"/>
    <x v="0"/>
    <x v="45"/>
    <x v="42"/>
    <x v="37"/>
    <x v="3"/>
    <x v="1"/>
    <x v="544"/>
    <x v="245"/>
    <x v="296"/>
    <x v="0"/>
    <x v="983"/>
    <x v="1"/>
    <x v="0"/>
    <x v="3"/>
    <x v="0"/>
    <x v="0"/>
    <x v="213"/>
  </r>
  <r>
    <x v="1372"/>
    <x v="228"/>
    <x v="15"/>
    <x v="75"/>
    <x v="15"/>
    <x v="15"/>
    <x v="1"/>
    <x v="506"/>
    <x v="16"/>
    <x v="754"/>
    <x v="678"/>
    <x v="357"/>
    <x v="638"/>
    <x v="2"/>
    <x v="5"/>
    <x v="6"/>
    <x v="0"/>
    <x v="5"/>
    <x v="16"/>
  </r>
  <r>
    <x v="1373"/>
    <x v="203"/>
    <x v="0"/>
    <x v="2"/>
    <x v="137"/>
    <x v="133"/>
    <x v="1"/>
    <x v="318"/>
    <x v="397"/>
    <x v="827"/>
    <x v="695"/>
    <x v="0"/>
    <x v="1165"/>
    <x v="1"/>
    <x v="2"/>
    <x v="4"/>
    <x v="0"/>
    <x v="6"/>
    <x v="213"/>
  </r>
  <r>
    <x v="1374"/>
    <x v="22"/>
    <x v="24"/>
    <x v="1"/>
    <x v="178"/>
    <x v="175"/>
    <x v="3"/>
    <x v="250"/>
    <x v="1373"/>
    <x v="640"/>
    <x v="753"/>
    <x v="460"/>
    <x v="385"/>
    <x v="2"/>
    <x v="5"/>
    <x v="7"/>
    <x v="0"/>
    <x v="1"/>
    <x v="178"/>
  </r>
  <r>
    <x v="1375"/>
    <x v="110"/>
    <x v="15"/>
    <x v="55"/>
    <x v="143"/>
    <x v="140"/>
    <x v="1"/>
    <x v="78"/>
    <x v="632"/>
    <x v="368"/>
    <x v="335"/>
    <x v="168"/>
    <x v="483"/>
    <x v="2"/>
    <x v="5"/>
    <x v="4"/>
    <x v="2"/>
    <x v="0"/>
    <x v="140"/>
  </r>
  <r>
    <x v="1376"/>
    <x v="165"/>
    <x v="32"/>
    <x v="18"/>
    <x v="28"/>
    <x v="24"/>
    <x v="3"/>
    <x v="122"/>
    <x v="60"/>
    <x v="443"/>
    <x v="480"/>
    <x v="0"/>
    <x v="1079"/>
    <x v="1"/>
    <x v="1"/>
    <x v="5"/>
    <x v="0"/>
    <x v="4"/>
    <x v="213"/>
  </r>
  <r>
    <x v="1377"/>
    <x v="206"/>
    <x v="1"/>
    <x v="57"/>
    <x v="71"/>
    <x v="66"/>
    <x v="3"/>
    <x v="311"/>
    <x v="654"/>
    <x v="503"/>
    <x v="481"/>
    <x v="243"/>
    <x v="536"/>
    <x v="2"/>
    <x v="5"/>
    <x v="6"/>
    <x v="2"/>
    <x v="5"/>
    <x v="71"/>
  </r>
  <r>
    <x v="1378"/>
    <x v="29"/>
    <x v="35"/>
    <x v="17"/>
    <x v="182"/>
    <x v="180"/>
    <x v="3"/>
    <x v="534"/>
    <x v="50"/>
    <x v="605"/>
    <x v="533"/>
    <x v="0"/>
    <x v="1108"/>
    <x v="1"/>
    <x v="2"/>
    <x v="0"/>
    <x v="0"/>
    <x v="4"/>
    <x v="213"/>
  </r>
  <r>
    <x v="1379"/>
    <x v="258"/>
    <x v="28"/>
    <x v="76"/>
    <x v="201"/>
    <x v="197"/>
    <x v="3"/>
    <x v="1"/>
    <x v="390"/>
    <x v="1019"/>
    <x v="892"/>
    <x v="0"/>
    <x v="1241"/>
    <x v="1"/>
    <x v="3"/>
    <x v="2"/>
    <x v="2"/>
    <x v="6"/>
    <x v="213"/>
  </r>
  <r>
    <x v="1380"/>
    <x v="235"/>
    <x v="14"/>
    <x v="45"/>
    <x v="12"/>
    <x v="8"/>
    <x v="0"/>
    <x v="340"/>
    <x v="820"/>
    <x v="1333"/>
    <x v="1329"/>
    <x v="796"/>
    <x v="553"/>
    <x v="2"/>
    <x v="5"/>
    <x v="2"/>
    <x v="0"/>
    <x v="6"/>
    <x v="10"/>
  </r>
  <r>
    <x v="1381"/>
    <x v="278"/>
    <x v="44"/>
    <x v="42"/>
    <x v="91"/>
    <x v="88"/>
    <x v="1"/>
    <x v="450"/>
    <x v="303"/>
    <x v="413"/>
    <x v="372"/>
    <x v="182"/>
    <x v="497"/>
    <x v="2"/>
    <x v="5"/>
    <x v="2"/>
    <x v="1"/>
    <x v="2"/>
    <x v="87"/>
  </r>
  <r>
    <x v="1382"/>
    <x v="199"/>
    <x v="7"/>
    <x v="4"/>
    <x v="22"/>
    <x v="17"/>
    <x v="1"/>
    <x v="385"/>
    <x v="457"/>
    <x v="932"/>
    <x v="881"/>
    <x v="526"/>
    <x v="531"/>
    <x v="2"/>
    <x v="5"/>
    <x v="4"/>
    <x v="0"/>
    <x v="0"/>
    <x v="21"/>
  </r>
  <r>
    <x v="1383"/>
    <x v="230"/>
    <x v="5"/>
    <x v="3"/>
    <x v="70"/>
    <x v="67"/>
    <x v="1"/>
    <x v="600"/>
    <x v="465"/>
    <x v="67"/>
    <x v="54"/>
    <x v="27"/>
    <x v="119"/>
    <x v="2"/>
    <x v="5"/>
    <x v="2"/>
    <x v="0"/>
    <x v="6"/>
    <x v="66"/>
  </r>
  <r>
    <x v="1384"/>
    <x v="62"/>
    <x v="1"/>
    <x v="83"/>
    <x v="150"/>
    <x v="145"/>
    <x v="3"/>
    <x v="436"/>
    <x v="971"/>
    <x v="924"/>
    <x v="771"/>
    <x v="0"/>
    <x v="1197"/>
    <x v="0"/>
    <x v="5"/>
    <x v="1"/>
    <x v="0"/>
    <x v="2"/>
    <x v="213"/>
  </r>
  <r>
    <x v="1385"/>
    <x v="156"/>
    <x v="24"/>
    <x v="92"/>
    <x v="191"/>
    <x v="188"/>
    <x v="1"/>
    <x v="732"/>
    <x v="805"/>
    <x v="452"/>
    <x v="544"/>
    <x v="330"/>
    <x v="234"/>
    <x v="2"/>
    <x v="5"/>
    <x v="4"/>
    <x v="1"/>
    <x v="6"/>
    <x v="188"/>
  </r>
  <r>
    <x v="1386"/>
    <x v="52"/>
    <x v="39"/>
    <x v="11"/>
    <x v="39"/>
    <x v="36"/>
    <x v="3"/>
    <x v="196"/>
    <x v="22"/>
    <x v="314"/>
    <x v="332"/>
    <x v="181"/>
    <x v="338"/>
    <x v="2"/>
    <x v="5"/>
    <x v="0"/>
    <x v="2"/>
    <x v="2"/>
    <x v="33"/>
  </r>
  <r>
    <x v="1387"/>
    <x v="74"/>
    <x v="16"/>
    <x v="30"/>
    <x v="189"/>
    <x v="184"/>
    <x v="3"/>
    <x v="459"/>
    <x v="1090"/>
    <x v="1475"/>
    <x v="1496"/>
    <x v="0"/>
    <x v="1497"/>
    <x v="1"/>
    <x v="0"/>
    <x v="4"/>
    <x v="0"/>
    <x v="2"/>
    <x v="213"/>
  </r>
  <r>
    <x v="1388"/>
    <x v="230"/>
    <x v="42"/>
    <x v="23"/>
    <x v="108"/>
    <x v="104"/>
    <x v="2"/>
    <x v="375"/>
    <x v="11"/>
    <x v="1411"/>
    <x v="1450"/>
    <x v="852"/>
    <x v="529"/>
    <x v="2"/>
    <x v="5"/>
    <x v="2"/>
    <x v="1"/>
    <x v="2"/>
    <x v="103"/>
  </r>
  <r>
    <x v="1389"/>
    <x v="64"/>
    <x v="17"/>
    <x v="9"/>
    <x v="112"/>
    <x v="107"/>
    <x v="2"/>
    <x v="337"/>
    <x v="1383"/>
    <x v="1402"/>
    <x v="1479"/>
    <x v="0"/>
    <x v="1492"/>
    <x v="1"/>
    <x v="3"/>
    <x v="6"/>
    <x v="2"/>
    <x v="5"/>
    <x v="213"/>
  </r>
  <r>
    <x v="1390"/>
    <x v="104"/>
    <x v="23"/>
    <x v="1"/>
    <x v="73"/>
    <x v="69"/>
    <x v="1"/>
    <x v="341"/>
    <x v="287"/>
    <x v="657"/>
    <x v="549"/>
    <x v="284"/>
    <x v="634"/>
    <x v="2"/>
    <x v="5"/>
    <x v="0"/>
    <x v="1"/>
    <x v="3"/>
    <x v="67"/>
  </r>
  <r>
    <x v="1391"/>
    <x v="105"/>
    <x v="19"/>
    <x v="6"/>
    <x v="132"/>
    <x v="128"/>
    <x v="3"/>
    <x v="603"/>
    <x v="1081"/>
    <x v="427"/>
    <x v="376"/>
    <x v="196"/>
    <x v="447"/>
    <x v="2"/>
    <x v="5"/>
    <x v="4"/>
    <x v="1"/>
    <x v="1"/>
    <x v="129"/>
  </r>
  <r>
    <x v="1392"/>
    <x v="127"/>
    <x v="38"/>
    <x v="94"/>
    <x v="100"/>
    <x v="96"/>
    <x v="3"/>
    <x v="135"/>
    <x v="926"/>
    <x v="149"/>
    <x v="129"/>
    <x v="81"/>
    <x v="64"/>
    <x v="2"/>
    <x v="5"/>
    <x v="6"/>
    <x v="2"/>
    <x v="5"/>
    <x v="99"/>
  </r>
  <r>
    <x v="1393"/>
    <x v="61"/>
    <x v="6"/>
    <x v="85"/>
    <x v="202"/>
    <x v="201"/>
    <x v="2"/>
    <x v="644"/>
    <x v="523"/>
    <x v="564"/>
    <x v="613"/>
    <x v="388"/>
    <x v="229"/>
    <x v="2"/>
    <x v="5"/>
    <x v="1"/>
    <x v="1"/>
    <x v="5"/>
    <x v="196"/>
  </r>
  <r>
    <x v="1394"/>
    <x v="113"/>
    <x v="21"/>
    <x v="86"/>
    <x v="24"/>
    <x v="20"/>
    <x v="3"/>
    <x v="411"/>
    <x v="1287"/>
    <x v="355"/>
    <x v="401"/>
    <x v="217"/>
    <x v="371"/>
    <x v="2"/>
    <x v="5"/>
    <x v="4"/>
    <x v="0"/>
    <x v="4"/>
    <x v="23"/>
  </r>
  <r>
    <x v="1395"/>
    <x v="203"/>
    <x v="16"/>
    <x v="99"/>
    <x v="20"/>
    <x v="16"/>
    <x v="1"/>
    <x v="287"/>
    <x v="263"/>
    <x v="855"/>
    <x v="846"/>
    <x v="412"/>
    <x v="842"/>
    <x v="2"/>
    <x v="5"/>
    <x v="6"/>
    <x v="0"/>
    <x v="0"/>
    <x v="21"/>
  </r>
  <r>
    <x v="1396"/>
    <x v="41"/>
    <x v="46"/>
    <x v="23"/>
    <x v="46"/>
    <x v="46"/>
    <x v="0"/>
    <x v="720"/>
    <x v="82"/>
    <x v="1313"/>
    <x v="1226"/>
    <x v="735"/>
    <x v="558"/>
    <x v="2"/>
    <x v="5"/>
    <x v="4"/>
    <x v="0"/>
    <x v="4"/>
    <x v="44"/>
  </r>
  <r>
    <x v="1397"/>
    <x v="250"/>
    <x v="9"/>
    <x v="12"/>
    <x v="102"/>
    <x v="102"/>
    <x v="2"/>
    <x v="40"/>
    <x v="161"/>
    <x v="1102"/>
    <x v="1145"/>
    <x v="567"/>
    <x v="955"/>
    <x v="2"/>
    <x v="5"/>
    <x v="3"/>
    <x v="0"/>
    <x v="6"/>
    <x v="98"/>
  </r>
  <r>
    <x v="1398"/>
    <x v="40"/>
    <x v="5"/>
    <x v="35"/>
    <x v="20"/>
    <x v="15"/>
    <x v="1"/>
    <x v="10"/>
    <x v="549"/>
    <x v="869"/>
    <x v="914"/>
    <x v="541"/>
    <x v="511"/>
    <x v="2"/>
    <x v="5"/>
    <x v="0"/>
    <x v="2"/>
    <x v="2"/>
    <x v="15"/>
  </r>
  <r>
    <x v="1399"/>
    <x v="280"/>
    <x v="26"/>
    <x v="5"/>
    <x v="208"/>
    <x v="208"/>
    <x v="1"/>
    <x v="523"/>
    <x v="1002"/>
    <x v="1115"/>
    <x v="1141"/>
    <x v="596"/>
    <x v="914"/>
    <x v="2"/>
    <x v="5"/>
    <x v="7"/>
    <x v="0"/>
    <x v="1"/>
    <x v="207"/>
  </r>
  <r>
    <x v="1400"/>
    <x v="255"/>
    <x v="16"/>
    <x v="12"/>
    <x v="95"/>
    <x v="90"/>
    <x v="3"/>
    <x v="703"/>
    <x v="1195"/>
    <x v="1467"/>
    <x v="1497"/>
    <x v="0"/>
    <x v="1498"/>
    <x v="3"/>
    <x v="5"/>
    <x v="14"/>
    <x v="1"/>
    <x v="3"/>
    <x v="213"/>
  </r>
  <r>
    <x v="1401"/>
    <x v="112"/>
    <x v="21"/>
    <x v="67"/>
    <x v="93"/>
    <x v="93"/>
    <x v="0"/>
    <x v="585"/>
    <x v="314"/>
    <x v="103"/>
    <x v="130"/>
    <x v="0"/>
    <x v="703"/>
    <x v="3"/>
    <x v="5"/>
    <x v="8"/>
    <x v="0"/>
    <x v="2"/>
    <x v="213"/>
  </r>
  <r>
    <x v="1402"/>
    <x v="68"/>
    <x v="49"/>
    <x v="59"/>
    <x v="46"/>
    <x v="42"/>
    <x v="1"/>
    <x v="594"/>
    <x v="594"/>
    <x v="1287"/>
    <x v="1278"/>
    <x v="774"/>
    <x v="469"/>
    <x v="2"/>
    <x v="5"/>
    <x v="7"/>
    <x v="2"/>
    <x v="0"/>
    <x v="47"/>
  </r>
  <r>
    <x v="1403"/>
    <x v="77"/>
    <x v="8"/>
    <x v="25"/>
    <x v="106"/>
    <x v="106"/>
    <x v="2"/>
    <x v="210"/>
    <x v="1239"/>
    <x v="807"/>
    <x v="819"/>
    <x v="525"/>
    <x v="290"/>
    <x v="2"/>
    <x v="5"/>
    <x v="7"/>
    <x v="2"/>
    <x v="1"/>
    <x v="106"/>
  </r>
  <r>
    <x v="1404"/>
    <x v="282"/>
    <x v="6"/>
    <x v="0"/>
    <x v="34"/>
    <x v="30"/>
    <x v="0"/>
    <x v="664"/>
    <x v="753"/>
    <x v="474"/>
    <x v="433"/>
    <x v="232"/>
    <x v="391"/>
    <x v="2"/>
    <x v="5"/>
    <x v="6"/>
    <x v="1"/>
    <x v="0"/>
    <x v="34"/>
  </r>
  <r>
    <x v="1405"/>
    <x v="16"/>
    <x v="0"/>
    <x v="21"/>
    <x v="177"/>
    <x v="172"/>
    <x v="3"/>
    <x v="556"/>
    <x v="777"/>
    <x v="507"/>
    <x v="491"/>
    <x v="0"/>
    <x v="1085"/>
    <x v="3"/>
    <x v="5"/>
    <x v="11"/>
    <x v="0"/>
    <x v="1"/>
    <x v="213"/>
  </r>
  <r>
    <x v="1406"/>
    <x v="196"/>
    <x v="37"/>
    <x v="4"/>
    <x v="197"/>
    <x v="196"/>
    <x v="2"/>
    <x v="499"/>
    <x v="988"/>
    <x v="556"/>
    <x v="495"/>
    <x v="317"/>
    <x v="28"/>
    <x v="2"/>
    <x v="5"/>
    <x v="1"/>
    <x v="1"/>
    <x v="3"/>
    <x v="191"/>
  </r>
  <r>
    <x v="1407"/>
    <x v="33"/>
    <x v="27"/>
    <x v="79"/>
    <x v="118"/>
    <x v="116"/>
    <x v="1"/>
    <x v="204"/>
    <x v="950"/>
    <x v="667"/>
    <x v="651"/>
    <x v="365"/>
    <x v="524"/>
    <x v="2"/>
    <x v="5"/>
    <x v="5"/>
    <x v="1"/>
    <x v="4"/>
    <x v="116"/>
  </r>
  <r>
    <x v="1408"/>
    <x v="194"/>
    <x v="4"/>
    <x v="0"/>
    <x v="36"/>
    <x v="36"/>
    <x v="2"/>
    <x v="8"/>
    <x v="572"/>
    <x v="1084"/>
    <x v="1248"/>
    <x v="784"/>
    <x v="232"/>
    <x v="2"/>
    <x v="5"/>
    <x v="2"/>
    <x v="0"/>
    <x v="3"/>
    <x v="32"/>
  </r>
  <r>
    <x v="1409"/>
    <x v="55"/>
    <x v="39"/>
    <x v="68"/>
    <x v="16"/>
    <x v="11"/>
    <x v="0"/>
    <x v="478"/>
    <x v="350"/>
    <x v="369"/>
    <x v="405"/>
    <x v="214"/>
    <x v="459"/>
    <x v="2"/>
    <x v="5"/>
    <x v="3"/>
    <x v="2"/>
    <x v="5"/>
    <x v="14"/>
  </r>
  <r>
    <x v="1410"/>
    <x v="37"/>
    <x v="0"/>
    <x v="40"/>
    <x v="78"/>
    <x v="74"/>
    <x v="0"/>
    <x v="36"/>
    <x v="385"/>
    <x v="31"/>
    <x v="28"/>
    <x v="14"/>
    <x v="84"/>
    <x v="2"/>
    <x v="5"/>
    <x v="6"/>
    <x v="0"/>
    <x v="3"/>
    <x v="78"/>
  </r>
  <r>
    <x v="1411"/>
    <x v="146"/>
    <x v="25"/>
    <x v="91"/>
    <x v="21"/>
    <x v="18"/>
    <x v="0"/>
    <x v="190"/>
    <x v="867"/>
    <x v="504"/>
    <x v="585"/>
    <x v="332"/>
    <x v="416"/>
    <x v="2"/>
    <x v="5"/>
    <x v="6"/>
    <x v="0"/>
    <x v="3"/>
    <x v="22"/>
  </r>
  <r>
    <x v="1412"/>
    <x v="251"/>
    <x v="26"/>
    <x v="33"/>
    <x v="140"/>
    <x v="140"/>
    <x v="0"/>
    <x v="403"/>
    <x v="1294"/>
    <x v="453"/>
    <x v="522"/>
    <x v="324"/>
    <x v="129"/>
    <x v="2"/>
    <x v="5"/>
    <x v="4"/>
    <x v="1"/>
    <x v="1"/>
    <x v="137"/>
  </r>
  <r>
    <x v="1413"/>
    <x v="68"/>
    <x v="34"/>
    <x v="98"/>
    <x v="108"/>
    <x v="108"/>
    <x v="1"/>
    <x v="372"/>
    <x v="1262"/>
    <x v="351"/>
    <x v="334"/>
    <x v="201"/>
    <x v="166"/>
    <x v="2"/>
    <x v="5"/>
    <x v="1"/>
    <x v="2"/>
    <x v="1"/>
    <x v="102"/>
  </r>
  <r>
    <x v="1414"/>
    <x v="181"/>
    <x v="16"/>
    <x v="19"/>
    <x v="26"/>
    <x v="25"/>
    <x v="2"/>
    <x v="711"/>
    <x v="134"/>
    <x v="515"/>
    <x v="542"/>
    <x v="308"/>
    <x v="427"/>
    <x v="2"/>
    <x v="5"/>
    <x v="5"/>
    <x v="1"/>
    <x v="1"/>
    <x v="26"/>
  </r>
  <r>
    <x v="1415"/>
    <x v="218"/>
    <x v="48"/>
    <x v="94"/>
    <x v="156"/>
    <x v="153"/>
    <x v="3"/>
    <x v="643"/>
    <x v="736"/>
    <x v="1080"/>
    <x v="898"/>
    <x v="487"/>
    <x v="724"/>
    <x v="2"/>
    <x v="5"/>
    <x v="4"/>
    <x v="2"/>
    <x v="1"/>
    <x v="153"/>
  </r>
  <r>
    <x v="1416"/>
    <x v="31"/>
    <x v="32"/>
    <x v="59"/>
    <x v="121"/>
    <x v="118"/>
    <x v="1"/>
    <x v="300"/>
    <x v="992"/>
    <x v="496"/>
    <x v="496"/>
    <x v="234"/>
    <x v="649"/>
    <x v="2"/>
    <x v="5"/>
    <x v="3"/>
    <x v="2"/>
    <x v="1"/>
    <x v="117"/>
  </r>
  <r>
    <x v="1417"/>
    <x v="108"/>
    <x v="6"/>
    <x v="62"/>
    <x v="169"/>
    <x v="166"/>
    <x v="3"/>
    <x v="256"/>
    <x v="597"/>
    <x v="950"/>
    <x v="856"/>
    <x v="528"/>
    <x v="433"/>
    <x v="2"/>
    <x v="5"/>
    <x v="0"/>
    <x v="1"/>
    <x v="0"/>
    <x v="162"/>
  </r>
  <r>
    <x v="1418"/>
    <x v="163"/>
    <x v="45"/>
    <x v="58"/>
    <x v="199"/>
    <x v="198"/>
    <x v="0"/>
    <x v="317"/>
    <x v="144"/>
    <x v="418"/>
    <x v="356"/>
    <x v="0"/>
    <x v="1025"/>
    <x v="1"/>
    <x v="4"/>
    <x v="4"/>
    <x v="0"/>
    <x v="5"/>
    <x v="213"/>
  </r>
  <r>
    <x v="1419"/>
    <x v="226"/>
    <x v="11"/>
    <x v="71"/>
    <x v="46"/>
    <x v="44"/>
    <x v="3"/>
    <x v="35"/>
    <x v="1148"/>
    <x v="1120"/>
    <x v="1210"/>
    <x v="693"/>
    <x v="778"/>
    <x v="2"/>
    <x v="5"/>
    <x v="2"/>
    <x v="2"/>
    <x v="2"/>
    <x v="42"/>
  </r>
  <r>
    <x v="1420"/>
    <x v="34"/>
    <x v="45"/>
    <x v="26"/>
    <x v="65"/>
    <x v="64"/>
    <x v="3"/>
    <x v="174"/>
    <x v="1387"/>
    <x v="965"/>
    <x v="937"/>
    <x v="491"/>
    <x v="797"/>
    <x v="2"/>
    <x v="5"/>
    <x v="7"/>
    <x v="2"/>
    <x v="2"/>
    <x v="66"/>
  </r>
  <r>
    <x v="1421"/>
    <x v="26"/>
    <x v="26"/>
    <x v="85"/>
    <x v="111"/>
    <x v="106"/>
    <x v="1"/>
    <x v="663"/>
    <x v="692"/>
    <x v="890"/>
    <x v="796"/>
    <x v="462"/>
    <x v="525"/>
    <x v="2"/>
    <x v="5"/>
    <x v="7"/>
    <x v="1"/>
    <x v="5"/>
    <x v="111"/>
  </r>
  <r>
    <x v="1422"/>
    <x v="118"/>
    <x v="16"/>
    <x v="0"/>
    <x v="104"/>
    <x v="100"/>
    <x v="3"/>
    <x v="657"/>
    <x v="73"/>
    <x v="253"/>
    <x v="281"/>
    <x v="0"/>
    <x v="970"/>
    <x v="3"/>
    <x v="5"/>
    <x v="8"/>
    <x v="1"/>
    <x v="5"/>
    <x v="213"/>
  </r>
  <r>
    <x v="1423"/>
    <x v="226"/>
    <x v="27"/>
    <x v="32"/>
    <x v="155"/>
    <x v="154"/>
    <x v="1"/>
    <x v="262"/>
    <x v="508"/>
    <x v="842"/>
    <x v="952"/>
    <x v="642"/>
    <x v="82"/>
    <x v="2"/>
    <x v="5"/>
    <x v="5"/>
    <x v="1"/>
    <x v="4"/>
    <x v="153"/>
  </r>
  <r>
    <x v="1424"/>
    <x v="251"/>
    <x v="45"/>
    <x v="43"/>
    <x v="190"/>
    <x v="188"/>
    <x v="3"/>
    <x v="213"/>
    <x v="419"/>
    <x v="72"/>
    <x v="69"/>
    <x v="40"/>
    <x v="80"/>
    <x v="2"/>
    <x v="5"/>
    <x v="7"/>
    <x v="2"/>
    <x v="1"/>
    <x v="190"/>
  </r>
  <r>
    <x v="1425"/>
    <x v="130"/>
    <x v="9"/>
    <x v="23"/>
    <x v="23"/>
    <x v="19"/>
    <x v="2"/>
    <x v="176"/>
    <x v="1034"/>
    <x v="38"/>
    <x v="40"/>
    <x v="0"/>
    <x v="379"/>
    <x v="3"/>
    <x v="5"/>
    <x v="11"/>
    <x v="1"/>
    <x v="1"/>
    <x v="213"/>
  </r>
  <r>
    <x v="1426"/>
    <x v="73"/>
    <x v="30"/>
    <x v="13"/>
    <x v="36"/>
    <x v="33"/>
    <x v="1"/>
    <x v="633"/>
    <x v="205"/>
    <x v="262"/>
    <x v="285"/>
    <x v="0"/>
    <x v="974"/>
    <x v="3"/>
    <x v="5"/>
    <x v="5"/>
    <x v="2"/>
    <x v="1"/>
    <x v="213"/>
  </r>
  <r>
    <x v="1427"/>
    <x v="212"/>
    <x v="10"/>
    <x v="7"/>
    <x v="99"/>
    <x v="94"/>
    <x v="3"/>
    <x v="129"/>
    <x v="1371"/>
    <x v="599"/>
    <x v="521"/>
    <x v="0"/>
    <x v="1100"/>
    <x v="1"/>
    <x v="2"/>
    <x v="7"/>
    <x v="2"/>
    <x v="0"/>
    <x v="213"/>
  </r>
  <r>
    <x v="1428"/>
    <x v="87"/>
    <x v="6"/>
    <x v="54"/>
    <x v="75"/>
    <x v="73"/>
    <x v="1"/>
    <x v="173"/>
    <x v="477"/>
    <x v="572"/>
    <x v="591"/>
    <x v="0"/>
    <x v="1132"/>
    <x v="1"/>
    <x v="1"/>
    <x v="0"/>
    <x v="0"/>
    <x v="0"/>
    <x v="213"/>
  </r>
  <r>
    <x v="1429"/>
    <x v="134"/>
    <x v="11"/>
    <x v="86"/>
    <x v="51"/>
    <x v="46"/>
    <x v="2"/>
    <x v="224"/>
    <x v="1268"/>
    <x v="1441"/>
    <x v="1420"/>
    <x v="823"/>
    <x v="737"/>
    <x v="2"/>
    <x v="5"/>
    <x v="1"/>
    <x v="0"/>
    <x v="0"/>
    <x v="46"/>
  </r>
  <r>
    <x v="1430"/>
    <x v="108"/>
    <x v="5"/>
    <x v="51"/>
    <x v="112"/>
    <x v="108"/>
    <x v="0"/>
    <x v="369"/>
    <x v="115"/>
    <x v="94"/>
    <x v="93"/>
    <x v="63"/>
    <x v="24"/>
    <x v="2"/>
    <x v="5"/>
    <x v="0"/>
    <x v="2"/>
    <x v="4"/>
    <x v="105"/>
  </r>
  <r>
    <x v="1431"/>
    <x v="127"/>
    <x v="17"/>
    <x v="48"/>
    <x v="2"/>
    <x v="2"/>
    <x v="0"/>
    <x v="710"/>
    <x v="297"/>
    <x v="289"/>
    <x v="256"/>
    <x v="158"/>
    <x v="88"/>
    <x v="2"/>
    <x v="5"/>
    <x v="2"/>
    <x v="2"/>
    <x v="6"/>
    <x v="1"/>
  </r>
  <r>
    <x v="1432"/>
    <x v="111"/>
    <x v="36"/>
    <x v="4"/>
    <x v="146"/>
    <x v="144"/>
    <x v="2"/>
    <x v="629"/>
    <x v="851"/>
    <x v="606"/>
    <x v="548"/>
    <x v="0"/>
    <x v="1114"/>
    <x v="1"/>
    <x v="4"/>
    <x v="0"/>
    <x v="2"/>
    <x v="0"/>
    <x v="213"/>
  </r>
  <r>
    <x v="1433"/>
    <x v="53"/>
    <x v="44"/>
    <x v="77"/>
    <x v="42"/>
    <x v="40"/>
    <x v="0"/>
    <x v="615"/>
    <x v="592"/>
    <x v="902"/>
    <x v="1103"/>
    <x v="0"/>
    <x v="1326"/>
    <x v="3"/>
    <x v="5"/>
    <x v="8"/>
    <x v="0"/>
    <x v="2"/>
    <x v="213"/>
  </r>
  <r>
    <x v="1434"/>
    <x v="79"/>
    <x v="36"/>
    <x v="15"/>
    <x v="180"/>
    <x v="179"/>
    <x v="2"/>
    <x v="185"/>
    <x v="907"/>
    <x v="715"/>
    <x v="731"/>
    <x v="0"/>
    <x v="1182"/>
    <x v="0"/>
    <x v="5"/>
    <x v="1"/>
    <x v="1"/>
    <x v="0"/>
    <x v="213"/>
  </r>
  <r>
    <x v="1435"/>
    <x v="198"/>
    <x v="41"/>
    <x v="42"/>
    <x v="80"/>
    <x v="76"/>
    <x v="0"/>
    <x v="376"/>
    <x v="443"/>
    <x v="77"/>
    <x v="87"/>
    <x v="0"/>
    <x v="604"/>
    <x v="1"/>
    <x v="0"/>
    <x v="6"/>
    <x v="1"/>
    <x v="4"/>
    <x v="213"/>
  </r>
  <r>
    <x v="1436"/>
    <x v="11"/>
    <x v="28"/>
    <x v="92"/>
    <x v="79"/>
    <x v="77"/>
    <x v="1"/>
    <x v="416"/>
    <x v="1385"/>
    <x v="857"/>
    <x v="790"/>
    <x v="0"/>
    <x v="1205"/>
    <x v="0"/>
    <x v="5"/>
    <x v="5"/>
    <x v="2"/>
    <x v="3"/>
    <x v="213"/>
  </r>
  <r>
    <x v="1437"/>
    <x v="84"/>
    <x v="2"/>
    <x v="69"/>
    <x v="208"/>
    <x v="208"/>
    <x v="1"/>
    <x v="552"/>
    <x v="272"/>
    <x v="718"/>
    <x v="679"/>
    <x v="380"/>
    <x v="555"/>
    <x v="2"/>
    <x v="5"/>
    <x v="0"/>
    <x v="1"/>
    <x v="1"/>
    <x v="200"/>
  </r>
  <r>
    <x v="1438"/>
    <x v="119"/>
    <x v="39"/>
    <x v="4"/>
    <x v="47"/>
    <x v="43"/>
    <x v="3"/>
    <x v="216"/>
    <x v="1368"/>
    <x v="272"/>
    <x v="225"/>
    <x v="115"/>
    <x v="254"/>
    <x v="2"/>
    <x v="5"/>
    <x v="4"/>
    <x v="1"/>
    <x v="0"/>
    <x v="45"/>
  </r>
  <r>
    <x v="1439"/>
    <x v="3"/>
    <x v="10"/>
    <x v="31"/>
    <x v="150"/>
    <x v="149"/>
    <x v="3"/>
    <x v="52"/>
    <x v="120"/>
    <x v="222"/>
    <x v="277"/>
    <x v="137"/>
    <x v="334"/>
    <x v="2"/>
    <x v="5"/>
    <x v="2"/>
    <x v="0"/>
    <x v="1"/>
    <x v="145"/>
  </r>
  <r>
    <x v="1440"/>
    <x v="113"/>
    <x v="21"/>
    <x v="36"/>
    <x v="100"/>
    <x v="95"/>
    <x v="3"/>
    <x v="662"/>
    <x v="94"/>
    <x v="483"/>
    <x v="581"/>
    <x v="0"/>
    <x v="1129"/>
    <x v="1"/>
    <x v="4"/>
    <x v="1"/>
    <x v="0"/>
    <x v="1"/>
    <x v="213"/>
  </r>
  <r>
    <x v="1441"/>
    <x v="97"/>
    <x v="48"/>
    <x v="99"/>
    <x v="107"/>
    <x v="103"/>
    <x v="0"/>
    <x v="162"/>
    <x v="434"/>
    <x v="812"/>
    <x v="841"/>
    <x v="523"/>
    <x v="397"/>
    <x v="2"/>
    <x v="5"/>
    <x v="3"/>
    <x v="2"/>
    <x v="1"/>
    <x v="103"/>
  </r>
  <r>
    <x v="1442"/>
    <x v="284"/>
    <x v="47"/>
    <x v="94"/>
    <x v="66"/>
    <x v="63"/>
    <x v="0"/>
    <x v="97"/>
    <x v="331"/>
    <x v="863"/>
    <x v="742"/>
    <x v="0"/>
    <x v="1189"/>
    <x v="1"/>
    <x v="1"/>
    <x v="0"/>
    <x v="2"/>
    <x v="1"/>
    <x v="213"/>
  </r>
  <r>
    <x v="1443"/>
    <x v="157"/>
    <x v="39"/>
    <x v="76"/>
    <x v="69"/>
    <x v="69"/>
    <x v="0"/>
    <x v="42"/>
    <x v="306"/>
    <x v="844"/>
    <x v="844"/>
    <x v="459"/>
    <x v="682"/>
    <x v="2"/>
    <x v="5"/>
    <x v="6"/>
    <x v="0"/>
    <x v="6"/>
    <x v="69"/>
  </r>
  <r>
    <x v="1444"/>
    <x v="33"/>
    <x v="0"/>
    <x v="49"/>
    <x v="130"/>
    <x v="127"/>
    <x v="0"/>
    <x v="493"/>
    <x v="708"/>
    <x v="696"/>
    <x v="642"/>
    <x v="342"/>
    <x v="565"/>
    <x v="2"/>
    <x v="5"/>
    <x v="2"/>
    <x v="1"/>
    <x v="0"/>
    <x v="125"/>
  </r>
  <r>
    <x v="1445"/>
    <x v="65"/>
    <x v="11"/>
    <x v="50"/>
    <x v="145"/>
    <x v="144"/>
    <x v="2"/>
    <x v="58"/>
    <x v="599"/>
    <x v="477"/>
    <x v="580"/>
    <x v="0"/>
    <x v="1128"/>
    <x v="1"/>
    <x v="4"/>
    <x v="1"/>
    <x v="0"/>
    <x v="2"/>
    <x v="213"/>
  </r>
  <r>
    <x v="1446"/>
    <x v="238"/>
    <x v="20"/>
    <x v="19"/>
    <x v="96"/>
    <x v="95"/>
    <x v="2"/>
    <x v="210"/>
    <x v="990"/>
    <x v="184"/>
    <x v="172"/>
    <x v="0"/>
    <x v="822"/>
    <x v="3"/>
    <x v="5"/>
    <x v="7"/>
    <x v="0"/>
    <x v="6"/>
    <x v="213"/>
  </r>
  <r>
    <x v="1447"/>
    <x v="2"/>
    <x v="36"/>
    <x v="75"/>
    <x v="179"/>
    <x v="179"/>
    <x v="0"/>
    <x v="548"/>
    <x v="1347"/>
    <x v="598"/>
    <x v="596"/>
    <x v="0"/>
    <x v="1136"/>
    <x v="1"/>
    <x v="2"/>
    <x v="3"/>
    <x v="2"/>
    <x v="3"/>
    <x v="213"/>
  </r>
  <r>
    <x v="1448"/>
    <x v="166"/>
    <x v="22"/>
    <x v="1"/>
    <x v="37"/>
    <x v="35"/>
    <x v="3"/>
    <x v="76"/>
    <x v="711"/>
    <x v="240"/>
    <x v="199"/>
    <x v="104"/>
    <x v="245"/>
    <x v="2"/>
    <x v="5"/>
    <x v="3"/>
    <x v="0"/>
    <x v="4"/>
    <x v="34"/>
  </r>
  <r>
    <x v="1449"/>
    <x v="260"/>
    <x v="28"/>
    <x v="62"/>
    <x v="198"/>
    <x v="197"/>
    <x v="2"/>
    <x v="528"/>
    <x v="361"/>
    <x v="949"/>
    <x v="884"/>
    <x v="539"/>
    <x v="437"/>
    <x v="2"/>
    <x v="5"/>
    <x v="0"/>
    <x v="2"/>
    <x v="2"/>
    <x v="191"/>
  </r>
  <r>
    <x v="1450"/>
    <x v="252"/>
    <x v="34"/>
    <x v="30"/>
    <x v="155"/>
    <x v="154"/>
    <x v="3"/>
    <x v="521"/>
    <x v="843"/>
    <x v="1094"/>
    <x v="1270"/>
    <x v="675"/>
    <x v="935"/>
    <x v="2"/>
    <x v="5"/>
    <x v="1"/>
    <x v="1"/>
    <x v="5"/>
    <x v="149"/>
  </r>
  <r>
    <x v="1451"/>
    <x v="273"/>
    <x v="30"/>
    <x v="63"/>
    <x v="202"/>
    <x v="202"/>
    <x v="1"/>
    <x v="355"/>
    <x v="1262"/>
    <x v="1085"/>
    <x v="1307"/>
    <x v="0"/>
    <x v="1422"/>
    <x v="3"/>
    <x v="5"/>
    <x v="7"/>
    <x v="1"/>
    <x v="2"/>
    <x v="213"/>
  </r>
  <r>
    <x v="1452"/>
    <x v="177"/>
    <x v="6"/>
    <x v="45"/>
    <x v="148"/>
    <x v="147"/>
    <x v="1"/>
    <x v="137"/>
    <x v="892"/>
    <x v="1322"/>
    <x v="1403"/>
    <x v="0"/>
    <x v="1460"/>
    <x v="0"/>
    <x v="5"/>
    <x v="6"/>
    <x v="2"/>
    <x v="4"/>
    <x v="213"/>
  </r>
  <r>
    <x v="1453"/>
    <x v="265"/>
    <x v="33"/>
    <x v="24"/>
    <x v="143"/>
    <x v="138"/>
    <x v="0"/>
    <x v="645"/>
    <x v="842"/>
    <x v="607"/>
    <x v="509"/>
    <x v="291"/>
    <x v="400"/>
    <x v="2"/>
    <x v="5"/>
    <x v="5"/>
    <x v="1"/>
    <x v="2"/>
    <x v="141"/>
  </r>
  <r>
    <x v="1454"/>
    <x v="242"/>
    <x v="8"/>
    <x v="84"/>
    <x v="184"/>
    <x v="181"/>
    <x v="0"/>
    <x v="301"/>
    <x v="803"/>
    <x v="1165"/>
    <x v="974"/>
    <x v="569"/>
    <x v="616"/>
    <x v="2"/>
    <x v="5"/>
    <x v="6"/>
    <x v="0"/>
    <x v="1"/>
    <x v="183"/>
  </r>
  <r>
    <x v="1455"/>
    <x v="280"/>
    <x v="10"/>
    <x v="22"/>
    <x v="204"/>
    <x v="199"/>
    <x v="0"/>
    <x v="726"/>
    <x v="911"/>
    <x v="1087"/>
    <x v="933"/>
    <x v="0"/>
    <x v="1257"/>
    <x v="1"/>
    <x v="3"/>
    <x v="6"/>
    <x v="0"/>
    <x v="1"/>
    <x v="213"/>
  </r>
  <r>
    <x v="1456"/>
    <x v="150"/>
    <x v="28"/>
    <x v="22"/>
    <x v="31"/>
    <x v="27"/>
    <x v="2"/>
    <x v="159"/>
    <x v="660"/>
    <x v="1076"/>
    <x v="1178"/>
    <x v="707"/>
    <x v="563"/>
    <x v="2"/>
    <x v="5"/>
    <x v="2"/>
    <x v="0"/>
    <x v="4"/>
    <x v="28"/>
  </r>
  <r>
    <x v="1457"/>
    <x v="145"/>
    <x v="36"/>
    <x v="73"/>
    <x v="3"/>
    <x v="3"/>
    <x v="0"/>
    <x v="492"/>
    <x v="36"/>
    <x v="246"/>
    <x v="212"/>
    <x v="0"/>
    <x v="890"/>
    <x v="1"/>
    <x v="2"/>
    <x v="4"/>
    <x v="0"/>
    <x v="5"/>
    <x v="213"/>
  </r>
  <r>
    <x v="1458"/>
    <x v="200"/>
    <x v="0"/>
    <x v="33"/>
    <x v="184"/>
    <x v="179"/>
    <x v="3"/>
    <x v="687"/>
    <x v="151"/>
    <x v="247"/>
    <x v="273"/>
    <x v="125"/>
    <x v="411"/>
    <x v="2"/>
    <x v="5"/>
    <x v="6"/>
    <x v="1"/>
    <x v="3"/>
    <x v="183"/>
  </r>
  <r>
    <x v="1459"/>
    <x v="37"/>
    <x v="3"/>
    <x v="94"/>
    <x v="111"/>
    <x v="110"/>
    <x v="1"/>
    <x v="475"/>
    <x v="577"/>
    <x v="684"/>
    <x v="627"/>
    <x v="306"/>
    <x v="725"/>
    <x v="2"/>
    <x v="5"/>
    <x v="3"/>
    <x v="0"/>
    <x v="3"/>
    <x v="107"/>
  </r>
  <r>
    <x v="1460"/>
    <x v="43"/>
    <x v="37"/>
    <x v="28"/>
    <x v="196"/>
    <x v="195"/>
    <x v="2"/>
    <x v="709"/>
    <x v="17"/>
    <x v="255"/>
    <x v="223"/>
    <x v="135"/>
    <x v="78"/>
    <x v="2"/>
    <x v="5"/>
    <x v="1"/>
    <x v="1"/>
    <x v="0"/>
    <x v="190"/>
  </r>
  <r>
    <x v="1461"/>
    <x v="200"/>
    <x v="17"/>
    <x v="51"/>
    <x v="107"/>
    <x v="107"/>
    <x v="1"/>
    <x v="567"/>
    <x v="1076"/>
    <x v="207"/>
    <x v="203"/>
    <x v="0"/>
    <x v="872"/>
    <x v="1"/>
    <x v="1"/>
    <x v="0"/>
    <x v="0"/>
    <x v="2"/>
    <x v="213"/>
  </r>
  <r>
    <x v="1462"/>
    <x v="7"/>
    <x v="36"/>
    <x v="41"/>
    <x v="112"/>
    <x v="111"/>
    <x v="0"/>
    <x v="384"/>
    <x v="459"/>
    <x v="312"/>
    <x v="322"/>
    <x v="202"/>
    <x v="40"/>
    <x v="2"/>
    <x v="5"/>
    <x v="0"/>
    <x v="0"/>
    <x v="3"/>
    <x v="105"/>
  </r>
  <r>
    <x v="1463"/>
    <x v="103"/>
    <x v="12"/>
    <x v="52"/>
    <x v="108"/>
    <x v="108"/>
    <x v="1"/>
    <x v="9"/>
    <x v="678"/>
    <x v="597"/>
    <x v="525"/>
    <x v="266"/>
    <x v="570"/>
    <x v="2"/>
    <x v="5"/>
    <x v="1"/>
    <x v="2"/>
    <x v="4"/>
    <x v="102"/>
  </r>
  <r>
    <x v="1464"/>
    <x v="145"/>
    <x v="7"/>
    <x v="95"/>
    <x v="26"/>
    <x v="23"/>
    <x v="0"/>
    <x v="382"/>
    <x v="475"/>
    <x v="1405"/>
    <x v="1440"/>
    <x v="815"/>
    <x v="888"/>
    <x v="2"/>
    <x v="5"/>
    <x v="4"/>
    <x v="2"/>
    <x v="2"/>
    <x v="25"/>
  </r>
  <r>
    <x v="1465"/>
    <x v="212"/>
    <x v="44"/>
    <x v="26"/>
    <x v="171"/>
    <x v="168"/>
    <x v="3"/>
    <x v="500"/>
    <x v="773"/>
    <x v="680"/>
    <x v="668"/>
    <x v="440"/>
    <x v="106"/>
    <x v="2"/>
    <x v="5"/>
    <x v="0"/>
    <x v="0"/>
    <x v="5"/>
    <x v="164"/>
  </r>
  <r>
    <x v="1466"/>
    <x v="257"/>
    <x v="35"/>
    <x v="56"/>
    <x v="13"/>
    <x v="11"/>
    <x v="1"/>
    <x v="68"/>
    <x v="1266"/>
    <x v="1205"/>
    <x v="1207"/>
    <x v="0"/>
    <x v="1380"/>
    <x v="1"/>
    <x v="2"/>
    <x v="5"/>
    <x v="1"/>
    <x v="5"/>
    <x v="213"/>
  </r>
  <r>
    <x v="1467"/>
    <x v="223"/>
    <x v="19"/>
    <x v="34"/>
    <x v="145"/>
    <x v="144"/>
    <x v="3"/>
    <x v="60"/>
    <x v="1271"/>
    <x v="1035"/>
    <x v="857"/>
    <x v="442"/>
    <x v="780"/>
    <x v="2"/>
    <x v="5"/>
    <x v="3"/>
    <x v="0"/>
    <x v="6"/>
    <x v="141"/>
  </r>
  <r>
    <x v="1468"/>
    <x v="225"/>
    <x v="36"/>
    <x v="97"/>
    <x v="70"/>
    <x v="68"/>
    <x v="1"/>
    <x v="137"/>
    <x v="934"/>
    <x v="470"/>
    <x v="417"/>
    <x v="257"/>
    <x v="155"/>
    <x v="2"/>
    <x v="5"/>
    <x v="4"/>
    <x v="2"/>
    <x v="1"/>
    <x v="68"/>
  </r>
  <r>
    <x v="1469"/>
    <x v="282"/>
    <x v="36"/>
    <x v="5"/>
    <x v="139"/>
    <x v="137"/>
    <x v="3"/>
    <x v="569"/>
    <x v="1200"/>
    <x v="530"/>
    <x v="595"/>
    <x v="0"/>
    <x v="1135"/>
    <x v="3"/>
    <x v="5"/>
    <x v="9"/>
    <x v="0"/>
    <x v="6"/>
    <x v="213"/>
  </r>
  <r>
    <x v="1470"/>
    <x v="169"/>
    <x v="14"/>
    <x v="64"/>
    <x v="135"/>
    <x v="132"/>
    <x v="3"/>
    <x v="518"/>
    <x v="824"/>
    <x v="378"/>
    <x v="397"/>
    <x v="0"/>
    <x v="1048"/>
    <x v="3"/>
    <x v="5"/>
    <x v="3"/>
    <x v="2"/>
    <x v="4"/>
    <x v="213"/>
  </r>
  <r>
    <x v="1471"/>
    <x v="16"/>
    <x v="37"/>
    <x v="99"/>
    <x v="69"/>
    <x v="68"/>
    <x v="0"/>
    <x v="393"/>
    <x v="1349"/>
    <x v="1069"/>
    <x v="986"/>
    <x v="636"/>
    <x v="330"/>
    <x v="2"/>
    <x v="5"/>
    <x v="0"/>
    <x v="0"/>
    <x v="3"/>
    <x v="63"/>
  </r>
  <r>
    <x v="1472"/>
    <x v="147"/>
    <x v="14"/>
    <x v="58"/>
    <x v="175"/>
    <x v="172"/>
    <x v="3"/>
    <x v="231"/>
    <x v="557"/>
    <x v="708"/>
    <x v="756"/>
    <x v="425"/>
    <x v="601"/>
    <x v="2"/>
    <x v="5"/>
    <x v="1"/>
    <x v="2"/>
    <x v="0"/>
    <x v="169"/>
  </r>
  <r>
    <x v="1473"/>
    <x v="208"/>
    <x v="16"/>
    <x v="53"/>
    <x v="106"/>
    <x v="101"/>
    <x v="2"/>
    <x v="104"/>
    <x v="1001"/>
    <x v="797"/>
    <x v="783"/>
    <x v="477"/>
    <x v="420"/>
    <x v="2"/>
    <x v="5"/>
    <x v="5"/>
    <x v="0"/>
    <x v="2"/>
    <x v="104"/>
  </r>
  <r>
    <x v="1474"/>
    <x v="30"/>
    <x v="9"/>
    <x v="57"/>
    <x v="141"/>
    <x v="141"/>
    <x v="2"/>
    <x v="575"/>
    <x v="444"/>
    <x v="420"/>
    <x v="459"/>
    <x v="252"/>
    <x v="357"/>
    <x v="2"/>
    <x v="5"/>
    <x v="0"/>
    <x v="1"/>
    <x v="1"/>
    <x v="134"/>
  </r>
  <r>
    <x v="1475"/>
    <x v="193"/>
    <x v="1"/>
    <x v="37"/>
    <x v="28"/>
    <x v="28"/>
    <x v="0"/>
    <x v="302"/>
    <x v="1059"/>
    <x v="433"/>
    <x v="368"/>
    <x v="0"/>
    <x v="1032"/>
    <x v="1"/>
    <x v="4"/>
    <x v="7"/>
    <x v="2"/>
    <x v="0"/>
    <x v="213"/>
  </r>
  <r>
    <x v="1476"/>
    <x v="106"/>
    <x v="1"/>
    <x v="50"/>
    <x v="86"/>
    <x v="86"/>
    <x v="2"/>
    <x v="535"/>
    <x v="1127"/>
    <x v="353"/>
    <x v="327"/>
    <x v="177"/>
    <x v="312"/>
    <x v="2"/>
    <x v="5"/>
    <x v="3"/>
    <x v="1"/>
    <x v="6"/>
    <x v="83"/>
  </r>
  <r>
    <x v="1477"/>
    <x v="91"/>
    <x v="47"/>
    <x v="23"/>
    <x v="8"/>
    <x v="5"/>
    <x v="2"/>
    <x v="339"/>
    <x v="1222"/>
    <x v="1175"/>
    <x v="1351"/>
    <x v="787"/>
    <x v="712"/>
    <x v="2"/>
    <x v="5"/>
    <x v="2"/>
    <x v="1"/>
    <x v="4"/>
    <x v="6"/>
  </r>
  <r>
    <x v="1478"/>
    <x v="255"/>
    <x v="27"/>
    <x v="42"/>
    <x v="71"/>
    <x v="71"/>
    <x v="0"/>
    <x v="413"/>
    <x v="866"/>
    <x v="1152"/>
    <x v="1154"/>
    <x v="0"/>
    <x v="1351"/>
    <x v="3"/>
    <x v="5"/>
    <x v="13"/>
    <x v="1"/>
    <x v="5"/>
    <x v="213"/>
  </r>
  <r>
    <x v="1479"/>
    <x v="259"/>
    <x v="44"/>
    <x v="79"/>
    <x v="206"/>
    <x v="206"/>
    <x v="2"/>
    <x v="330"/>
    <x v="70"/>
    <x v="1118"/>
    <x v="1174"/>
    <x v="637"/>
    <x v="882"/>
    <x v="2"/>
    <x v="5"/>
    <x v="2"/>
    <x v="1"/>
    <x v="1"/>
    <x v="200"/>
  </r>
  <r>
    <x v="1480"/>
    <x v="69"/>
    <x v="7"/>
    <x v="88"/>
    <x v="85"/>
    <x v="80"/>
    <x v="2"/>
    <x v="45"/>
    <x v="688"/>
    <x v="28"/>
    <x v="31"/>
    <x v="19"/>
    <x v="69"/>
    <x v="2"/>
    <x v="5"/>
    <x v="2"/>
    <x v="1"/>
    <x v="1"/>
    <x v="81"/>
  </r>
  <r>
    <x v="1481"/>
    <x v="15"/>
    <x v="26"/>
    <x v="50"/>
    <x v="146"/>
    <x v="143"/>
    <x v="0"/>
    <x v="157"/>
    <x v="164"/>
    <x v="1138"/>
    <x v="1182"/>
    <x v="0"/>
    <x v="1365"/>
    <x v="1"/>
    <x v="0"/>
    <x v="6"/>
    <x v="0"/>
    <x v="2"/>
    <x v="213"/>
  </r>
  <r>
    <x v="1482"/>
    <x v="293"/>
    <x v="37"/>
    <x v="22"/>
    <x v="196"/>
    <x v="195"/>
    <x v="1"/>
    <x v="558"/>
    <x v="1354"/>
    <x v="1444"/>
    <x v="1488"/>
    <x v="807"/>
    <x v="1041"/>
    <x v="2"/>
    <x v="5"/>
    <x v="3"/>
    <x v="0"/>
    <x v="2"/>
    <x v="192"/>
  </r>
  <r>
    <x v="1483"/>
    <x v="233"/>
    <x v="5"/>
    <x v="58"/>
    <x v="34"/>
    <x v="30"/>
    <x v="1"/>
    <x v="437"/>
    <x v="1093"/>
    <x v="1043"/>
    <x v="1243"/>
    <x v="762"/>
    <x v="426"/>
    <x v="2"/>
    <x v="5"/>
    <x v="3"/>
    <x v="2"/>
    <x v="5"/>
    <x v="31"/>
  </r>
  <r>
    <x v="1484"/>
    <x v="43"/>
    <x v="43"/>
    <x v="98"/>
    <x v="68"/>
    <x v="67"/>
    <x v="0"/>
    <x v="271"/>
    <x v="793"/>
    <x v="410"/>
    <x v="345"/>
    <x v="210"/>
    <x v="193"/>
    <x v="2"/>
    <x v="5"/>
    <x v="3"/>
    <x v="1"/>
    <x v="4"/>
    <x v="65"/>
  </r>
  <r>
    <x v="1485"/>
    <x v="226"/>
    <x v="1"/>
    <x v="48"/>
    <x v="158"/>
    <x v="153"/>
    <x v="0"/>
    <x v="49"/>
    <x v="890"/>
    <x v="396"/>
    <x v="443"/>
    <x v="254"/>
    <x v="291"/>
    <x v="2"/>
    <x v="5"/>
    <x v="6"/>
    <x v="1"/>
    <x v="2"/>
    <x v="157"/>
  </r>
  <r>
    <x v="1486"/>
    <x v="116"/>
    <x v="35"/>
    <x v="65"/>
    <x v="48"/>
    <x v="48"/>
    <x v="3"/>
    <x v="547"/>
    <x v="636"/>
    <x v="1494"/>
    <x v="1435"/>
    <x v="857"/>
    <x v="122"/>
    <x v="2"/>
    <x v="5"/>
    <x v="4"/>
    <x v="0"/>
    <x v="4"/>
    <x v="46"/>
  </r>
  <r>
    <x v="1487"/>
    <x v="55"/>
    <x v="26"/>
    <x v="60"/>
    <x v="42"/>
    <x v="37"/>
    <x v="1"/>
    <x v="320"/>
    <x v="982"/>
    <x v="1092"/>
    <x v="1111"/>
    <x v="0"/>
    <x v="1331"/>
    <x v="3"/>
    <x v="5"/>
    <x v="11"/>
    <x v="1"/>
    <x v="3"/>
    <x v="213"/>
  </r>
  <r>
    <x v="1488"/>
    <x v="26"/>
    <x v="6"/>
    <x v="48"/>
    <x v="170"/>
    <x v="169"/>
    <x v="3"/>
    <x v="643"/>
    <x v="365"/>
    <x v="482"/>
    <x v="518"/>
    <x v="0"/>
    <x v="1098"/>
    <x v="3"/>
    <x v="5"/>
    <x v="12"/>
    <x v="1"/>
    <x v="5"/>
    <x v="213"/>
  </r>
  <r>
    <x v="1489"/>
    <x v="77"/>
    <x v="26"/>
    <x v="80"/>
    <x v="25"/>
    <x v="23"/>
    <x v="3"/>
    <x v="32"/>
    <x v="1143"/>
    <x v="1407"/>
    <x v="1452"/>
    <x v="781"/>
    <x v="1005"/>
    <x v="2"/>
    <x v="5"/>
    <x v="0"/>
    <x v="0"/>
    <x v="6"/>
    <x v="20"/>
  </r>
  <r>
    <x v="1490"/>
    <x v="228"/>
    <x v="10"/>
    <x v="51"/>
    <x v="11"/>
    <x v="7"/>
    <x v="0"/>
    <x v="433"/>
    <x v="441"/>
    <x v="41"/>
    <x v="42"/>
    <x v="0"/>
    <x v="394"/>
    <x v="3"/>
    <x v="5"/>
    <x v="4"/>
    <x v="1"/>
    <x v="2"/>
    <x v="213"/>
  </r>
  <r>
    <x v="1491"/>
    <x v="164"/>
    <x v="48"/>
    <x v="3"/>
    <x v="141"/>
    <x v="140"/>
    <x v="1"/>
    <x v="380"/>
    <x v="384"/>
    <x v="1150"/>
    <x v="1309"/>
    <x v="0"/>
    <x v="1424"/>
    <x v="3"/>
    <x v="5"/>
    <x v="11"/>
    <x v="1"/>
    <x v="5"/>
    <x v="213"/>
  </r>
  <r>
    <x v="1492"/>
    <x v="139"/>
    <x v="5"/>
    <x v="9"/>
    <x v="172"/>
    <x v="168"/>
    <x v="2"/>
    <x v="443"/>
    <x v="7"/>
    <x v="1425"/>
    <x v="1261"/>
    <x v="0"/>
    <x v="1402"/>
    <x v="0"/>
    <x v="5"/>
    <x v="7"/>
    <x v="2"/>
    <x v="5"/>
    <x v="213"/>
  </r>
  <r>
    <x v="1493"/>
    <x v="85"/>
    <x v="30"/>
    <x v="51"/>
    <x v="175"/>
    <x v="175"/>
    <x v="2"/>
    <x v="105"/>
    <x v="47"/>
    <x v="1331"/>
    <x v="1275"/>
    <x v="0"/>
    <x v="1407"/>
    <x v="3"/>
    <x v="5"/>
    <x v="4"/>
    <x v="1"/>
    <x v="0"/>
    <x v="213"/>
  </r>
  <r>
    <x v="1494"/>
    <x v="211"/>
    <x v="12"/>
    <x v="86"/>
    <x v="136"/>
    <x v="135"/>
    <x v="3"/>
    <x v="234"/>
    <x v="709"/>
    <x v="340"/>
    <x v="303"/>
    <x v="0"/>
    <x v="989"/>
    <x v="1"/>
    <x v="3"/>
    <x v="0"/>
    <x v="0"/>
    <x v="3"/>
    <x v="213"/>
  </r>
  <r>
    <x v="1495"/>
    <x v="3"/>
    <x v="5"/>
    <x v="22"/>
    <x v="209"/>
    <x v="205"/>
    <x v="1"/>
    <x v="613"/>
    <x v="778"/>
    <x v="962"/>
    <x v="1040"/>
    <x v="580"/>
    <x v="754"/>
    <x v="2"/>
    <x v="5"/>
    <x v="7"/>
    <x v="1"/>
    <x v="4"/>
    <x v="208"/>
  </r>
  <r>
    <x v="1496"/>
    <x v="77"/>
    <x v="14"/>
    <x v="58"/>
    <x v="38"/>
    <x v="36"/>
    <x v="3"/>
    <x v="207"/>
    <x v="29"/>
    <x v="1308"/>
    <x v="1189"/>
    <x v="706"/>
    <x v="614"/>
    <x v="2"/>
    <x v="5"/>
    <x v="1"/>
    <x v="0"/>
    <x v="5"/>
    <x v="33"/>
  </r>
  <r>
    <x v="1497"/>
    <x v="225"/>
    <x v="0"/>
    <x v="16"/>
    <x v="72"/>
    <x v="68"/>
    <x v="3"/>
    <x v="202"/>
    <x v="977"/>
    <x v="1223"/>
    <x v="1390"/>
    <x v="724"/>
    <x v="1000"/>
    <x v="2"/>
    <x v="5"/>
    <x v="6"/>
    <x v="2"/>
    <x v="6"/>
    <x v="72"/>
  </r>
  <r>
    <x v="1498"/>
    <x v="252"/>
    <x v="48"/>
    <x v="10"/>
    <x v="200"/>
    <x v="195"/>
    <x v="2"/>
    <x v="658"/>
    <x v="959"/>
    <x v="489"/>
    <x v="447"/>
    <x v="267"/>
    <x v="210"/>
    <x v="2"/>
    <x v="5"/>
    <x v="4"/>
    <x v="2"/>
    <x v="4"/>
    <x v="197"/>
  </r>
  <r>
    <x v="1499"/>
    <x v="176"/>
    <x v="45"/>
    <x v="72"/>
    <x v="5"/>
    <x v="4"/>
    <x v="2"/>
    <x v="409"/>
    <x v="648"/>
    <x v="1229"/>
    <x v="1150"/>
    <x v="0"/>
    <x v="1349"/>
    <x v="1"/>
    <x v="2"/>
    <x v="2"/>
    <x v="1"/>
    <x v="3"/>
    <x v="21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vt_ClaimType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10:E16" firstHeaderRow="1" firstDataRow="2" firstDataCol="1"/>
  <pivotFields count="19"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colFields count="1">
    <field x="-2"/>
  </colFields>
  <dataFields count="4">
    <dataField name="Claim / Type" fld="0" subtotal="count" numFmtId="164"/>
    <dataField name="Billed Amount" fld="9" subtotal="sum" numFmtId="164"/>
    <dataField name="Paid Amount" fld="11" subtotal="sum" numFmtId="164"/>
    <dataField name="Avg Processing Days" fld="15" subtotal="average" numFmtId="164"/>
  </dataFields>
  <pivotTableStyleInfo name="PivotStyleLight15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vt_DenialReason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19:B25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showAll="0"/>
    <pivotField showAll="0"/>
    <pivotField showAll="0"/>
  </pivotFields>
  <rowFields count="1">
    <field x="14"/>
  </rowFields>
  <dataFields count="1">
    <dataField name="Claims" fld="0" subtotal="count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1:E83" firstHeaderRow="1" firstDataRow="2" firstDataCol="1"/>
  <pivotFields count="19">
    <pivotField dataField="1" showAll="0"/>
    <pivotField showAll="0"/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colFields count="1">
    <field x="-2"/>
  </colFields>
  <dataFields count="4">
    <dataField name="Count of Claim_ID" fld="0" subtotal="count" numFmtId="164"/>
    <dataField name="Sum of Billed_Amount" fld="9" subtotal="sum" numFmtId="164"/>
    <dataField name="Sum of Paid_Amount" fld="11" subtotal="sum" numFmtId="164"/>
    <dataField name="Average of Processing_Days" fld="15" subtotal="average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vt_Status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1:B6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13"/>
  </rowFields>
  <dataFields count="1">
    <dataField name="Claim / Status" fld="0" subtotal="count" numFmtId="164"/>
  </dataFields>
  <pivotTableStyleInfo name="PivotStyleLight19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Claims" displayName="Claims" ref="A1:S1501" headerRowCount="1" totalsRowCount="0" totalsRowShown="0">
  <autoFilter ref="A1:S1501"/>
  <tableColumns count="19">
    <tableColumn id="1" name="Claim_ID"/>
    <tableColumn id="2" name="Member_ID"/>
    <tableColumn id="3" name="Provider_ID"/>
    <tableColumn id="4" name="Employee_ID"/>
    <tableColumn id="5" name="Claim_Received_Date"/>
    <tableColumn id="6" name="Service_Date"/>
    <tableColumn id="7" name="Claim_Type"/>
    <tableColumn id="8" name="Diagnosis_Code"/>
    <tableColumn id="9" name="Procedure_Code"/>
    <tableColumn id="10" name="Billed_Amount"/>
    <tableColumn id="11" name="Allowed_Amount"/>
    <tableColumn id="12" name="Paid_Amount"/>
    <tableColumn id="13" name="Member_Responsibility"/>
    <tableColumn id="14" name="Claim_Status"/>
    <tableColumn id="15" name="Denial_Reason"/>
    <tableColumn id="16" name="Processing_Days"/>
    <tableColumn id="17" name="Priority"/>
    <tableColumn id="18" name="Region"/>
    <tableColumn id="19" name="Payment_Date"/>
  </tableColumns>
</table>
</file>

<file path=xl/tables/table2.xml><?xml version="1.0" encoding="utf-8"?>
<table xmlns="http://schemas.openxmlformats.org/spreadsheetml/2006/main" id="2" name="Employees" displayName="Employees" ref="A1:H101" headerRowCount="1" totalsRowCount="0" totalsRowShown="0">
  <autoFilter ref="A1:H101"/>
  <tableColumns count="8">
    <tableColumn id="1" name="Employee_ID"/>
    <tableColumn id="2" name="Employee_Name"/>
    <tableColumn id="3" name="Department"/>
    <tableColumn id="4" name="Team"/>
    <tableColumn id="5" name="Manager"/>
    <tableColumn id="6" name="Shift"/>
    <tableColumn id="7" name="Location"/>
    <tableColumn id="8" name="Joining_Date"/>
  </tableColumns>
</table>
</file>

<file path=xl/tables/table3.xml><?xml version="1.0" encoding="utf-8"?>
<table xmlns="http://schemas.openxmlformats.org/spreadsheetml/2006/main" id="3" name="Members" displayName="Members" ref="A1:I301" headerRowCount="1" totalsRowCount="0" totalsRowShown="0">
  <autoFilter ref="A1:I301"/>
  <tableColumns count="9">
    <tableColumn id="1" name="Member_ID"/>
    <tableColumn id="2" name="Member_Name"/>
    <tableColumn id="3" name="Gender"/>
    <tableColumn id="4" name="DOB"/>
    <tableColumn id="5" name="State"/>
    <tableColumn id="6" name="City"/>
    <tableColumn id="7" name="Plan_Type"/>
    <tableColumn id="8" name="Policy_Start_Date"/>
    <tableColumn id="9" name="Active_Status"/>
  </tableColumns>
</table>
</file>

<file path=xl/tables/table4.xml><?xml version="1.0" encoding="utf-8"?>
<table xmlns="http://schemas.openxmlformats.org/spreadsheetml/2006/main" id="4" name="Providers" displayName="Providers" ref="A1:G51" headerRowCount="1" totalsRowCount="0" totalsRowShown="0">
  <autoFilter ref="A1:G51"/>
  <tableColumns count="7">
    <tableColumn id="1" name="Provider_ID"/>
    <tableColumn id="2" name="Provider_Name"/>
    <tableColumn id="3" name="Specialty"/>
    <tableColumn id="4" name="City"/>
    <tableColumn id="5" name="State"/>
    <tableColumn id="6" name="Network_Status"/>
    <tableColumn id="7" name="Provider_Rating"/>
  </tableColumns>
</table>
</file>

<file path=xl/tables/table5.xml><?xml version="1.0" encoding="utf-8"?>
<table xmlns="http://schemas.openxmlformats.org/spreadsheetml/2006/main" id="5" name="RawMessy" displayName="RawMessy" ref="A1:G121" headerRowCount="1" totalsRowCount="0" totalsRowShown="0">
  <autoFilter ref="A1:G121"/>
  <tableColumns count="7">
    <tableColumn id="1" name="Claim_ID"/>
    <tableColumn id="2" name="Employee_Name"/>
    <tableColumn id="3" name="Department"/>
    <tableColumn id="4" name="City_Country"/>
    <tableColumn id="5" name="Email"/>
    <tableColumn id="6" name="Claim_Status"/>
    <tableColumn id="7" name="Billed_Am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<Relationship Id="rId3" Type="http://schemas.openxmlformats.org/officeDocument/2006/relationships/pivotTable" Target="../pivotTables/pivotTable2.xml"/><Relationship Id="rId4" Type="http://schemas.openxmlformats.org/officeDocument/2006/relationships/pivotTable" Target="../pivotTables/pivotTable3.xml"/><Relationship Id="rId5" Type="http://schemas.openxmlformats.org/officeDocument/2006/relationships/pivotTable" Target="../pivotTables/pivot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95"/>
  </cols>
  <sheetData>
    <row r="1" customFormat="false" ht="23.25" hidden="false" customHeight="true" outlineLevel="0" collapsed="false">
      <c r="A1" s="2" t="s">
        <v>0</v>
      </c>
    </row>
    <row r="3" customFormat="false" ht="14.25" hidden="false" customHeight="true" outlineLevel="0" collapsed="false">
      <c r="A3" s="3" t="s">
        <v>1</v>
      </c>
      <c r="B3" s="1" t="s">
        <v>2</v>
      </c>
    </row>
    <row r="4" customFormat="false" ht="14.25" hidden="false" customHeight="true" outlineLevel="0" collapsed="false">
      <c r="A4" s="3" t="s">
        <v>3</v>
      </c>
      <c r="B4" s="1" t="s">
        <v>4</v>
      </c>
    </row>
    <row r="5" customFormat="false" ht="14.25" hidden="false" customHeight="true" outlineLevel="0" collapsed="false">
      <c r="A5" s="3" t="s">
        <v>5</v>
      </c>
      <c r="B5" s="1" t="s">
        <v>6</v>
      </c>
    </row>
    <row r="6" customFormat="false" ht="14.25" hidden="false" customHeight="true" outlineLevel="0" collapsed="false">
      <c r="A6" s="3" t="s">
        <v>7</v>
      </c>
      <c r="B6" s="1" t="s">
        <v>8</v>
      </c>
    </row>
    <row r="7" customFormat="false" ht="14.25" hidden="false" customHeight="true" outlineLevel="0" collapsed="false">
      <c r="A7" s="3" t="s">
        <v>9</v>
      </c>
      <c r="B7" s="1" t="s">
        <v>10</v>
      </c>
    </row>
    <row r="8" customFormat="false" ht="14.25" hidden="false" customHeight="true" outlineLevel="0" collapsed="false">
      <c r="A8" s="3" t="s">
        <v>11</v>
      </c>
      <c r="B8" s="1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501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2.88"/>
    <col collapsed="false" customWidth="true" hidden="false" outlineLevel="0" max="2" min="2" style="1" width="15.44"/>
    <col collapsed="false" customWidth="true" hidden="false" outlineLevel="0" max="3" min="3" style="1" width="15.33"/>
    <col collapsed="false" customWidth="true" hidden="false" outlineLevel="0" max="4" min="4" style="1" width="16.56"/>
    <col collapsed="false" customWidth="true" hidden="false" outlineLevel="0" max="5" min="5" style="1" width="23.79"/>
    <col collapsed="false" customWidth="true" hidden="false" outlineLevel="0" max="6" min="6" style="1" width="16.33"/>
    <col collapsed="false" customWidth="true" hidden="false" outlineLevel="0" max="7" min="7" style="1" width="15.22"/>
    <col collapsed="false" customWidth="true" hidden="false" outlineLevel="0" max="8" min="8" style="1" width="18.79"/>
    <col collapsed="false" customWidth="true" hidden="false" outlineLevel="0" max="9" min="9" style="1" width="19.56"/>
    <col collapsed="false" customWidth="true" hidden="false" outlineLevel="0" max="10" min="10" style="1" width="18"/>
    <col collapsed="false" customWidth="true" hidden="false" outlineLevel="0" max="11" min="11" style="1" width="20.22"/>
    <col collapsed="false" customWidth="true" hidden="false" outlineLevel="0" max="12" min="12" style="1" width="17"/>
    <col collapsed="false" customWidth="true" hidden="false" outlineLevel="0" max="13" min="13" style="1" width="25.44"/>
    <col collapsed="false" customWidth="true" hidden="false" outlineLevel="0" max="14" min="14" style="1" width="16.33"/>
    <col collapsed="false" customWidth="true" hidden="false" outlineLevel="0" max="15" min="15" style="1" width="21.11"/>
    <col collapsed="false" customWidth="true" hidden="false" outlineLevel="0" max="16" min="16" style="1" width="19.44"/>
    <col collapsed="false" customWidth="true" hidden="false" outlineLevel="0" max="17" min="17" style="1" width="11.56"/>
    <col collapsed="false" customWidth="true" hidden="false" outlineLevel="0" max="18" min="18" style="1" width="12.67"/>
    <col collapsed="false" customWidth="true" hidden="false" outlineLevel="0" max="19" min="19" style="1" width="18"/>
    <col collapsed="false" customWidth="true" hidden="false" outlineLevel="0" max="22" min="22" style="1" width="25.67"/>
    <col collapsed="false" customWidth="true" hidden="false" outlineLevel="0" max="23" min="23" style="1" width="16.77"/>
    <col collapsed="false" customWidth="true" hidden="false" outlineLevel="0" max="24" min="24" style="1" width="17.22"/>
    <col collapsed="false" customWidth="true" hidden="false" outlineLevel="0" max="25" min="25" style="1" width="16.89"/>
    <col collapsed="false" customWidth="true" hidden="false" outlineLevel="0" max="26" min="26" style="1" width="21.88"/>
    <col collapsed="false" customWidth="true" hidden="false" outlineLevel="0" max="27" min="27" style="1" width="13.11"/>
    <col collapsed="false" customWidth="true" hidden="false" outlineLevel="0" max="28" min="28" style="1" width="10.66"/>
    <col collapsed="false" customWidth="true" hidden="false" outlineLevel="0" max="29" min="29" style="1" width="22"/>
  </cols>
  <sheetData>
    <row r="1" customFormat="false" ht="14.25" hidden="false" customHeight="tru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V1" s="5" t="s">
        <v>32</v>
      </c>
      <c r="W1" s="5" t="s">
        <v>33</v>
      </c>
    </row>
    <row r="2" customFormat="false" ht="14.25" hidden="false" customHeight="true" outlineLevel="0" collapsed="false">
      <c r="A2" s="1" t="s">
        <v>34</v>
      </c>
      <c r="B2" s="1" t="s">
        <v>35</v>
      </c>
      <c r="C2" s="1" t="s">
        <v>36</v>
      </c>
      <c r="D2" s="1" t="s">
        <v>37</v>
      </c>
      <c r="E2" s="6" t="n">
        <v>46082</v>
      </c>
      <c r="F2" s="6" t="n">
        <v>46081</v>
      </c>
      <c r="G2" s="1" t="s">
        <v>38</v>
      </c>
      <c r="H2" s="1" t="s">
        <v>39</v>
      </c>
      <c r="I2" s="1" t="s">
        <v>40</v>
      </c>
      <c r="J2" s="1" t="n">
        <v>37314.32</v>
      </c>
      <c r="K2" s="1" t="n">
        <v>32919.04</v>
      </c>
      <c r="L2" s="1" t="n">
        <v>27329.95</v>
      </c>
      <c r="M2" s="1" t="n">
        <v>5589.09</v>
      </c>
      <c r="N2" s="1" t="s">
        <v>41</v>
      </c>
      <c r="P2" s="1" t="n">
        <v>7</v>
      </c>
      <c r="Q2" s="1" t="s">
        <v>42</v>
      </c>
      <c r="R2" s="1" t="s">
        <v>43</v>
      </c>
      <c r="S2" s="6" t="n">
        <v>46089</v>
      </c>
      <c r="V2" s="7" t="s">
        <v>44</v>
      </c>
      <c r="W2" s="7" t="n">
        <f aca="false">COUNTA(Claims[Claim_ID])</f>
        <v>1500</v>
      </c>
    </row>
    <row r="3" customFormat="false" ht="14.25" hidden="false" customHeight="true" outlineLevel="0" collapsed="false">
      <c r="A3" s="1" t="s">
        <v>45</v>
      </c>
      <c r="B3" s="1" t="s">
        <v>46</v>
      </c>
      <c r="C3" s="1" t="s">
        <v>47</v>
      </c>
      <c r="D3" s="1" t="s">
        <v>48</v>
      </c>
      <c r="E3" s="6" t="n">
        <v>46221</v>
      </c>
      <c r="F3" s="6" t="n">
        <v>46217</v>
      </c>
      <c r="G3" s="1" t="s">
        <v>49</v>
      </c>
      <c r="H3" s="1" t="s">
        <v>50</v>
      </c>
      <c r="I3" s="1" t="s">
        <v>51</v>
      </c>
      <c r="J3" s="1" t="n">
        <v>41140.36</v>
      </c>
      <c r="K3" s="1" t="n">
        <v>33100.75</v>
      </c>
      <c r="L3" s="1" t="n">
        <v>0</v>
      </c>
      <c r="M3" s="1" t="n">
        <v>33100.75</v>
      </c>
      <c r="N3" s="1" t="s">
        <v>52</v>
      </c>
      <c r="O3" s="1" t="s">
        <v>53</v>
      </c>
      <c r="P3" s="1" t="n">
        <v>3</v>
      </c>
      <c r="Q3" s="1" t="s">
        <v>42</v>
      </c>
      <c r="R3" s="1" t="s">
        <v>54</v>
      </c>
      <c r="V3" s="7" t="s">
        <v>55</v>
      </c>
      <c r="W3" s="8" t="n">
        <f aca="false">SUM(Claims[Billed_Amount])</f>
        <v>38699571.8</v>
      </c>
    </row>
    <row r="4" customFormat="false" ht="14.25" hidden="false" customHeight="true" outlineLevel="0" collapsed="false">
      <c r="A4" s="1" t="s">
        <v>56</v>
      </c>
      <c r="B4" s="1" t="s">
        <v>57</v>
      </c>
      <c r="C4" s="1" t="s">
        <v>58</v>
      </c>
      <c r="D4" s="1" t="s">
        <v>59</v>
      </c>
      <c r="E4" s="6" t="n">
        <v>46068</v>
      </c>
      <c r="F4" s="6" t="n">
        <v>46067</v>
      </c>
      <c r="G4" s="1" t="s">
        <v>38</v>
      </c>
      <c r="H4" s="1" t="s">
        <v>60</v>
      </c>
      <c r="I4" s="1" t="s">
        <v>61</v>
      </c>
      <c r="J4" s="1" t="n">
        <v>10435.98</v>
      </c>
      <c r="K4" s="1" t="n">
        <v>6963.81</v>
      </c>
      <c r="L4" s="1" t="n">
        <v>0</v>
      </c>
      <c r="M4" s="1" t="n">
        <v>6963.81</v>
      </c>
      <c r="N4" s="1" t="s">
        <v>52</v>
      </c>
      <c r="O4" s="1" t="s">
        <v>62</v>
      </c>
      <c r="P4" s="1" t="n">
        <v>1</v>
      </c>
      <c r="Q4" s="1" t="s">
        <v>63</v>
      </c>
      <c r="R4" s="1" t="s">
        <v>64</v>
      </c>
      <c r="V4" s="7" t="s">
        <v>65</v>
      </c>
      <c r="W4" s="8" t="n">
        <f aca="false">SUM(Claims[Allowed_Amount])</f>
        <v>30920112.58</v>
      </c>
    </row>
    <row r="5" customFormat="false" ht="14.25" hidden="false" customHeight="true" outlineLevel="0" collapsed="false">
      <c r="A5" s="1" t="s">
        <v>66</v>
      </c>
      <c r="B5" s="1" t="s">
        <v>67</v>
      </c>
      <c r="C5" s="1" t="s">
        <v>68</v>
      </c>
      <c r="D5" s="1" t="s">
        <v>69</v>
      </c>
      <c r="E5" s="6" t="n">
        <v>46129</v>
      </c>
      <c r="F5" s="6" t="n">
        <v>46124</v>
      </c>
      <c r="G5" s="1" t="s">
        <v>70</v>
      </c>
      <c r="H5" s="1" t="s">
        <v>71</v>
      </c>
      <c r="I5" s="1" t="s">
        <v>72</v>
      </c>
      <c r="J5" s="1" t="n">
        <v>34218.13</v>
      </c>
      <c r="K5" s="1" t="n">
        <v>24725.39</v>
      </c>
      <c r="L5" s="1" t="n">
        <v>0</v>
      </c>
      <c r="M5" s="1" t="n">
        <v>24725.39</v>
      </c>
      <c r="N5" s="1" t="s">
        <v>52</v>
      </c>
      <c r="O5" s="1" t="s">
        <v>73</v>
      </c>
      <c r="P5" s="1" t="n">
        <v>8</v>
      </c>
      <c r="Q5" s="1" t="s">
        <v>63</v>
      </c>
      <c r="R5" s="1" t="s">
        <v>74</v>
      </c>
      <c r="V5" s="7" t="s">
        <v>75</v>
      </c>
      <c r="W5" s="8" t="n">
        <f aca="false">SUM(Claims[Paid_Amount])</f>
        <v>15781234.96</v>
      </c>
    </row>
    <row r="6" customFormat="false" ht="14.25" hidden="false" customHeight="true" outlineLevel="0" collapsed="false">
      <c r="A6" s="1" t="s">
        <v>76</v>
      </c>
      <c r="B6" s="1" t="s">
        <v>77</v>
      </c>
      <c r="C6" s="1" t="s">
        <v>78</v>
      </c>
      <c r="D6" s="1" t="s">
        <v>79</v>
      </c>
      <c r="E6" s="6" t="n">
        <v>46199</v>
      </c>
      <c r="F6" s="6" t="n">
        <v>46199</v>
      </c>
      <c r="G6" s="1" t="s">
        <v>38</v>
      </c>
      <c r="H6" s="1" t="s">
        <v>80</v>
      </c>
      <c r="I6" s="1" t="s">
        <v>81</v>
      </c>
      <c r="J6" s="1" t="n">
        <v>19635</v>
      </c>
      <c r="K6" s="1" t="n">
        <v>13722.36</v>
      </c>
      <c r="L6" s="1" t="n">
        <v>12254.95</v>
      </c>
      <c r="M6" s="1" t="n">
        <v>1467.41</v>
      </c>
      <c r="N6" s="1" t="s">
        <v>41</v>
      </c>
      <c r="P6" s="1" t="n">
        <v>4</v>
      </c>
      <c r="Q6" s="1" t="s">
        <v>42</v>
      </c>
      <c r="R6" s="1" t="s">
        <v>54</v>
      </c>
      <c r="S6" s="6" t="n">
        <v>46203</v>
      </c>
      <c r="V6" s="7" t="s">
        <v>82</v>
      </c>
      <c r="W6" s="8" t="n">
        <f aca="false">SUM(Claims[Member_Responsibility])</f>
        <v>15138877.62</v>
      </c>
    </row>
    <row r="7" customFormat="false" ht="14.25" hidden="false" customHeight="true" outlineLevel="0" collapsed="false">
      <c r="A7" s="1" t="s">
        <v>83</v>
      </c>
      <c r="B7" s="1" t="s">
        <v>84</v>
      </c>
      <c r="C7" s="1" t="s">
        <v>85</v>
      </c>
      <c r="D7" s="1" t="s">
        <v>86</v>
      </c>
      <c r="E7" s="6" t="n">
        <v>46227</v>
      </c>
      <c r="F7" s="6" t="n">
        <v>46222</v>
      </c>
      <c r="G7" s="1" t="s">
        <v>70</v>
      </c>
      <c r="H7" s="1" t="s">
        <v>87</v>
      </c>
      <c r="I7" s="1" t="s">
        <v>88</v>
      </c>
      <c r="J7" s="1" t="n">
        <v>45620.01</v>
      </c>
      <c r="K7" s="1" t="n">
        <v>38512.94</v>
      </c>
      <c r="L7" s="1" t="n">
        <v>34672.64</v>
      </c>
      <c r="M7" s="1" t="n">
        <v>3840.3</v>
      </c>
      <c r="N7" s="1" t="s">
        <v>41</v>
      </c>
      <c r="P7" s="1" t="n">
        <v>1</v>
      </c>
      <c r="Q7" s="1" t="s">
        <v>63</v>
      </c>
      <c r="R7" s="1" t="s">
        <v>43</v>
      </c>
      <c r="S7" s="6" t="n">
        <v>46228</v>
      </c>
      <c r="V7" s="7" t="s">
        <v>89</v>
      </c>
      <c r="W7" s="9" t="n">
        <f aca="false">AVERAGE(Claims[Processing_Days])</f>
        <v>5.34066666666667</v>
      </c>
    </row>
    <row r="8" customFormat="false" ht="14.25" hidden="false" customHeight="true" outlineLevel="0" collapsed="false">
      <c r="A8" s="1" t="s">
        <v>90</v>
      </c>
      <c r="B8" s="1" t="s">
        <v>91</v>
      </c>
      <c r="C8" s="1" t="s">
        <v>92</v>
      </c>
      <c r="D8" s="1" t="s">
        <v>93</v>
      </c>
      <c r="E8" s="6" t="n">
        <v>46115</v>
      </c>
      <c r="F8" s="6" t="n">
        <v>46112</v>
      </c>
      <c r="G8" s="1" t="s">
        <v>70</v>
      </c>
      <c r="H8" s="1" t="s">
        <v>94</v>
      </c>
      <c r="I8" s="1" t="s">
        <v>95</v>
      </c>
      <c r="J8" s="1" t="n">
        <v>23601.55</v>
      </c>
      <c r="K8" s="1" t="n">
        <v>20135.87</v>
      </c>
      <c r="L8" s="1" t="n">
        <v>19251.46</v>
      </c>
      <c r="M8" s="1" t="n">
        <v>884.41</v>
      </c>
      <c r="N8" s="1" t="s">
        <v>41</v>
      </c>
      <c r="P8" s="1" t="n">
        <v>7</v>
      </c>
      <c r="Q8" s="1" t="s">
        <v>63</v>
      </c>
      <c r="R8" s="1" t="s">
        <v>74</v>
      </c>
      <c r="S8" s="6" t="n">
        <v>46122</v>
      </c>
      <c r="V8" s="7" t="s">
        <v>96</v>
      </c>
      <c r="W8" s="7" t="n">
        <f aca="false">COUNTIF(Claims[Claim_Status],"Paid")</f>
        <v>868</v>
      </c>
    </row>
    <row r="9" customFormat="false" ht="14.25" hidden="false" customHeight="true" outlineLevel="0" collapsed="false">
      <c r="A9" s="1" t="s">
        <v>97</v>
      </c>
      <c r="B9" s="1" t="s">
        <v>98</v>
      </c>
      <c r="C9" s="1" t="s">
        <v>36</v>
      </c>
      <c r="D9" s="1" t="s">
        <v>99</v>
      </c>
      <c r="E9" s="6" t="n">
        <v>46053</v>
      </c>
      <c r="F9" s="6" t="n">
        <v>46050</v>
      </c>
      <c r="G9" s="1" t="s">
        <v>38</v>
      </c>
      <c r="H9" s="1" t="s">
        <v>100</v>
      </c>
      <c r="I9" s="1" t="s">
        <v>101</v>
      </c>
      <c r="J9" s="1" t="n">
        <v>49423.87</v>
      </c>
      <c r="K9" s="1" t="n">
        <v>41623.72</v>
      </c>
      <c r="L9" s="1" t="n">
        <v>40182.41</v>
      </c>
      <c r="M9" s="1" t="n">
        <v>1441.31</v>
      </c>
      <c r="N9" s="1" t="s">
        <v>41</v>
      </c>
      <c r="P9" s="1" t="n">
        <v>5</v>
      </c>
      <c r="Q9" s="1" t="s">
        <v>42</v>
      </c>
      <c r="R9" s="1" t="s">
        <v>102</v>
      </c>
      <c r="S9" s="6" t="n">
        <v>46058</v>
      </c>
      <c r="V9" s="7" t="s">
        <v>103</v>
      </c>
      <c r="W9" s="10" t="n">
        <f aca="false">W8/W2</f>
        <v>0.578666666666667</v>
      </c>
    </row>
    <row r="10" customFormat="false" ht="14.25" hidden="false" customHeight="true" outlineLevel="0" collapsed="false">
      <c r="A10" s="1" t="s">
        <v>104</v>
      </c>
      <c r="B10" s="1" t="s">
        <v>105</v>
      </c>
      <c r="C10" s="1" t="s">
        <v>106</v>
      </c>
      <c r="D10" s="1" t="s">
        <v>107</v>
      </c>
      <c r="E10" s="6" t="n">
        <v>46198</v>
      </c>
      <c r="F10" s="6" t="n">
        <v>46197</v>
      </c>
      <c r="G10" s="1" t="s">
        <v>108</v>
      </c>
      <c r="H10" s="1" t="s">
        <v>109</v>
      </c>
      <c r="I10" s="1" t="s">
        <v>110</v>
      </c>
      <c r="J10" s="1" t="n">
        <v>32942.33</v>
      </c>
      <c r="K10" s="1" t="n">
        <v>31270.2</v>
      </c>
      <c r="L10" s="1" t="n">
        <v>0</v>
      </c>
      <c r="M10" s="1" t="n">
        <v>31270.2</v>
      </c>
      <c r="N10" s="1" t="s">
        <v>111</v>
      </c>
      <c r="P10" s="1" t="n">
        <v>8</v>
      </c>
      <c r="Q10" s="1" t="s">
        <v>63</v>
      </c>
      <c r="R10" s="1" t="s">
        <v>74</v>
      </c>
      <c r="V10" s="7" t="s">
        <v>112</v>
      </c>
      <c r="W10" s="7" t="n">
        <f aca="false">COUNTIF(Claims[Claim_Status],"Denied")</f>
        <v>291</v>
      </c>
    </row>
    <row r="11" customFormat="false" ht="14.25" hidden="false" customHeight="true" outlineLevel="0" collapsed="false">
      <c r="A11" s="1" t="s">
        <v>113</v>
      </c>
      <c r="B11" s="1" t="s">
        <v>114</v>
      </c>
      <c r="C11" s="1" t="s">
        <v>115</v>
      </c>
      <c r="D11" s="1" t="s">
        <v>116</v>
      </c>
      <c r="E11" s="6" t="n">
        <v>46206</v>
      </c>
      <c r="F11" s="6" t="n">
        <v>46205</v>
      </c>
      <c r="G11" s="1" t="s">
        <v>38</v>
      </c>
      <c r="H11" s="1" t="s">
        <v>117</v>
      </c>
      <c r="I11" s="1" t="s">
        <v>118</v>
      </c>
      <c r="J11" s="1" t="n">
        <v>32096.52</v>
      </c>
      <c r="K11" s="1" t="n">
        <v>25443.57</v>
      </c>
      <c r="L11" s="1" t="n">
        <v>0</v>
      </c>
      <c r="M11" s="1" t="n">
        <v>25443.57</v>
      </c>
      <c r="N11" s="1" t="s">
        <v>111</v>
      </c>
      <c r="P11" s="1" t="n">
        <v>14</v>
      </c>
      <c r="Q11" s="1" t="s">
        <v>63</v>
      </c>
      <c r="R11" s="1" t="s">
        <v>54</v>
      </c>
      <c r="V11" s="7" t="s">
        <v>119</v>
      </c>
      <c r="W11" s="10" t="n">
        <f aca="false">W10/W2</f>
        <v>0.194</v>
      </c>
    </row>
    <row r="12" customFormat="false" ht="14.25" hidden="false" customHeight="true" outlineLevel="0" collapsed="false">
      <c r="A12" s="1" t="s">
        <v>120</v>
      </c>
      <c r="B12" s="1" t="s">
        <v>121</v>
      </c>
      <c r="C12" s="1" t="s">
        <v>78</v>
      </c>
      <c r="D12" s="1" t="s">
        <v>122</v>
      </c>
      <c r="E12" s="6" t="n">
        <v>46144</v>
      </c>
      <c r="F12" s="6" t="n">
        <v>46143</v>
      </c>
      <c r="G12" s="1" t="s">
        <v>38</v>
      </c>
      <c r="H12" s="1" t="s">
        <v>123</v>
      </c>
      <c r="I12" s="1" t="s">
        <v>124</v>
      </c>
      <c r="J12" s="1" t="n">
        <v>36396.74</v>
      </c>
      <c r="K12" s="1" t="n">
        <v>29761.96</v>
      </c>
      <c r="L12" s="1" t="n">
        <v>0</v>
      </c>
      <c r="M12" s="1" t="n">
        <v>29761.96</v>
      </c>
      <c r="N12" s="1" t="s">
        <v>111</v>
      </c>
      <c r="P12" s="1" t="n">
        <v>6</v>
      </c>
      <c r="Q12" s="1" t="s">
        <v>42</v>
      </c>
      <c r="R12" s="1" t="s">
        <v>125</v>
      </c>
      <c r="V12" s="7" t="s">
        <v>126</v>
      </c>
      <c r="W12" s="7" t="n">
        <f aca="false">COUNTIF(Claims[Claim_Status],"Pending")</f>
        <v>258</v>
      </c>
    </row>
    <row r="13" customFormat="false" ht="14.25" hidden="false" customHeight="true" outlineLevel="0" collapsed="false">
      <c r="A13" s="1" t="s">
        <v>127</v>
      </c>
      <c r="B13" s="1" t="s">
        <v>128</v>
      </c>
      <c r="C13" s="1" t="s">
        <v>129</v>
      </c>
      <c r="D13" s="1" t="s">
        <v>130</v>
      </c>
      <c r="E13" s="6" t="n">
        <v>46104</v>
      </c>
      <c r="F13" s="6" t="n">
        <v>46101</v>
      </c>
      <c r="G13" s="1" t="s">
        <v>108</v>
      </c>
      <c r="H13" s="1" t="s">
        <v>131</v>
      </c>
      <c r="I13" s="1" t="s">
        <v>132</v>
      </c>
      <c r="J13" s="1" t="n">
        <v>16900.2</v>
      </c>
      <c r="K13" s="1" t="n">
        <v>12306.18</v>
      </c>
      <c r="L13" s="1" t="n">
        <v>0</v>
      </c>
      <c r="M13" s="1" t="n">
        <v>12306.18</v>
      </c>
      <c r="N13" s="1" t="s">
        <v>52</v>
      </c>
      <c r="O13" s="1" t="s">
        <v>62</v>
      </c>
      <c r="P13" s="1" t="n">
        <v>5</v>
      </c>
      <c r="Q13" s="1" t="s">
        <v>42</v>
      </c>
      <c r="R13" s="1" t="s">
        <v>54</v>
      </c>
      <c r="V13" s="7" t="s">
        <v>133</v>
      </c>
      <c r="W13" s="10" t="n">
        <f aca="false">W12/W2</f>
        <v>0.172</v>
      </c>
    </row>
    <row r="14" customFormat="false" ht="14.25" hidden="false" customHeight="true" outlineLevel="0" collapsed="false">
      <c r="A14" s="1" t="s">
        <v>134</v>
      </c>
      <c r="B14" s="1" t="s">
        <v>135</v>
      </c>
      <c r="C14" s="1" t="s">
        <v>136</v>
      </c>
      <c r="D14" s="1" t="s">
        <v>137</v>
      </c>
      <c r="E14" s="6" t="n">
        <v>46200</v>
      </c>
      <c r="F14" s="6" t="n">
        <v>46197</v>
      </c>
      <c r="G14" s="1" t="s">
        <v>49</v>
      </c>
      <c r="H14" s="1" t="s">
        <v>138</v>
      </c>
      <c r="I14" s="1" t="s">
        <v>139</v>
      </c>
      <c r="J14" s="1" t="n">
        <v>20948.81</v>
      </c>
      <c r="K14" s="1" t="n">
        <v>19089.7</v>
      </c>
      <c r="L14" s="1" t="n">
        <v>15036.85</v>
      </c>
      <c r="M14" s="1" t="n">
        <v>4052.85</v>
      </c>
      <c r="N14" s="1" t="s">
        <v>41</v>
      </c>
      <c r="P14" s="1" t="n">
        <v>4</v>
      </c>
      <c r="Q14" s="1" t="s">
        <v>42</v>
      </c>
      <c r="R14" s="1" t="s">
        <v>140</v>
      </c>
      <c r="S14" s="6" t="n">
        <v>46204</v>
      </c>
      <c r="V14" s="7" t="s">
        <v>141</v>
      </c>
      <c r="W14" s="7" t="n">
        <f aca="false">COUNTIF(Claims[Claim_Status],"Cancelled")</f>
        <v>83</v>
      </c>
    </row>
    <row r="15" customFormat="false" ht="14.25" hidden="false" customHeight="true" outlineLevel="0" collapsed="false">
      <c r="A15" s="1" t="s">
        <v>142</v>
      </c>
      <c r="B15" s="1" t="s">
        <v>143</v>
      </c>
      <c r="C15" s="1" t="s">
        <v>144</v>
      </c>
      <c r="D15" s="1" t="s">
        <v>145</v>
      </c>
      <c r="E15" s="6" t="n">
        <v>46222</v>
      </c>
      <c r="F15" s="6" t="n">
        <v>46222</v>
      </c>
      <c r="G15" s="1" t="s">
        <v>38</v>
      </c>
      <c r="H15" s="1" t="s">
        <v>146</v>
      </c>
      <c r="I15" s="1" t="s">
        <v>147</v>
      </c>
      <c r="J15" s="1" t="n">
        <v>31736.12</v>
      </c>
      <c r="K15" s="1" t="n">
        <v>22311.99</v>
      </c>
      <c r="L15" s="1" t="n">
        <v>20273.23</v>
      </c>
      <c r="M15" s="1" t="n">
        <v>2038.76</v>
      </c>
      <c r="N15" s="1" t="s">
        <v>41</v>
      </c>
      <c r="P15" s="1" t="n">
        <v>1</v>
      </c>
      <c r="Q15" s="1" t="s">
        <v>63</v>
      </c>
      <c r="R15" s="1" t="s">
        <v>125</v>
      </c>
      <c r="S15" s="6" t="n">
        <v>46223</v>
      </c>
      <c r="V15" s="7" t="s">
        <v>148</v>
      </c>
      <c r="W15" s="10" t="n">
        <f aca="false">W14/W2</f>
        <v>0.0553333333333333</v>
      </c>
    </row>
    <row r="16" customFormat="false" ht="14.25" hidden="false" customHeight="true" outlineLevel="0" collapsed="false">
      <c r="A16" s="1" t="s">
        <v>149</v>
      </c>
      <c r="B16" s="1" t="s">
        <v>150</v>
      </c>
      <c r="C16" s="1" t="s">
        <v>151</v>
      </c>
      <c r="D16" s="1" t="s">
        <v>152</v>
      </c>
      <c r="E16" s="6" t="n">
        <v>46218</v>
      </c>
      <c r="F16" s="6" t="n">
        <v>46218</v>
      </c>
      <c r="G16" s="1" t="s">
        <v>38</v>
      </c>
      <c r="H16" s="1" t="s">
        <v>153</v>
      </c>
      <c r="I16" s="1" t="s">
        <v>154</v>
      </c>
      <c r="J16" s="1" t="n">
        <v>21968.72</v>
      </c>
      <c r="K16" s="1" t="n">
        <v>17109.74</v>
      </c>
      <c r="L16" s="1" t="n">
        <v>14667.43</v>
      </c>
      <c r="M16" s="1" t="n">
        <v>2442.31</v>
      </c>
      <c r="N16" s="1" t="s">
        <v>41</v>
      </c>
      <c r="P16" s="1" t="n">
        <v>8</v>
      </c>
      <c r="Q16" s="1" t="s">
        <v>155</v>
      </c>
      <c r="R16" s="1" t="s">
        <v>102</v>
      </c>
      <c r="S16" s="6" t="n">
        <v>46226</v>
      </c>
      <c r="V16" s="1" t="s">
        <v>156</v>
      </c>
      <c r="W16" s="1" t="n">
        <f aca="false">COUNTIF(Claims[Processing_Days],"&lt;=7")/W2</f>
        <v>0.786666666666667</v>
      </c>
    </row>
    <row r="17" customFormat="false" ht="14.25" hidden="false" customHeight="true" outlineLevel="0" collapsed="false">
      <c r="A17" s="1" t="s">
        <v>157</v>
      </c>
      <c r="B17" s="1" t="s">
        <v>46</v>
      </c>
      <c r="C17" s="1" t="s">
        <v>158</v>
      </c>
      <c r="D17" s="1" t="s">
        <v>159</v>
      </c>
      <c r="E17" s="6" t="n">
        <v>46220</v>
      </c>
      <c r="F17" s="6" t="n">
        <v>46216</v>
      </c>
      <c r="G17" s="1" t="s">
        <v>49</v>
      </c>
      <c r="H17" s="1" t="s">
        <v>160</v>
      </c>
      <c r="I17" s="1" t="s">
        <v>161</v>
      </c>
      <c r="J17" s="1" t="n">
        <v>33999.03</v>
      </c>
      <c r="K17" s="1" t="n">
        <v>28491.39</v>
      </c>
      <c r="L17" s="1" t="n">
        <v>23140.87</v>
      </c>
      <c r="M17" s="1" t="n">
        <v>5350.52</v>
      </c>
      <c r="N17" s="1" t="s">
        <v>41</v>
      </c>
      <c r="P17" s="1" t="n">
        <v>6</v>
      </c>
      <c r="Q17" s="1" t="s">
        <v>155</v>
      </c>
      <c r="R17" s="1" t="s">
        <v>54</v>
      </c>
      <c r="S17" s="6" t="n">
        <v>46226</v>
      </c>
    </row>
    <row r="18" customFormat="false" ht="14.25" hidden="false" customHeight="true" outlineLevel="0" collapsed="false">
      <c r="A18" s="1" t="s">
        <v>162</v>
      </c>
      <c r="B18" s="1" t="s">
        <v>163</v>
      </c>
      <c r="C18" s="1" t="s">
        <v>164</v>
      </c>
      <c r="D18" s="1" t="s">
        <v>165</v>
      </c>
      <c r="E18" s="6" t="n">
        <v>46233</v>
      </c>
      <c r="F18" s="6" t="n">
        <v>46233</v>
      </c>
      <c r="G18" s="1" t="s">
        <v>70</v>
      </c>
      <c r="H18" s="1" t="s">
        <v>166</v>
      </c>
      <c r="I18" s="1" t="s">
        <v>167</v>
      </c>
      <c r="J18" s="1" t="n">
        <v>14895.98</v>
      </c>
      <c r="K18" s="1" t="n">
        <v>12934.92</v>
      </c>
      <c r="L18" s="1" t="n">
        <v>11629.69</v>
      </c>
      <c r="M18" s="1" t="n">
        <v>1305.23</v>
      </c>
      <c r="N18" s="1" t="s">
        <v>41</v>
      </c>
      <c r="P18" s="1" t="n">
        <v>6</v>
      </c>
      <c r="Q18" s="1" t="s">
        <v>155</v>
      </c>
      <c r="R18" s="1" t="s">
        <v>140</v>
      </c>
      <c r="S18" s="6" t="n">
        <v>46239</v>
      </c>
      <c r="V18" s="5" t="s">
        <v>168</v>
      </c>
      <c r="W18" s="5" t="s">
        <v>169</v>
      </c>
      <c r="X18" s="5" t="s">
        <v>170</v>
      </c>
      <c r="Y18" s="5" t="s">
        <v>171</v>
      </c>
      <c r="Z18" s="5" t="s">
        <v>172</v>
      </c>
      <c r="AA18" s="5" t="s">
        <v>173</v>
      </c>
      <c r="AB18" s="5" t="s">
        <v>119</v>
      </c>
      <c r="AC18" s="5" t="s">
        <v>89</v>
      </c>
    </row>
    <row r="19" customFormat="false" ht="14.25" hidden="false" customHeight="true" outlineLevel="0" collapsed="false">
      <c r="A19" s="1" t="s">
        <v>174</v>
      </c>
      <c r="B19" s="1" t="s">
        <v>175</v>
      </c>
      <c r="C19" s="1" t="s">
        <v>176</v>
      </c>
      <c r="D19" s="1" t="s">
        <v>177</v>
      </c>
      <c r="E19" s="6" t="n">
        <v>46233</v>
      </c>
      <c r="F19" s="6" t="n">
        <v>46230</v>
      </c>
      <c r="G19" s="1" t="s">
        <v>70</v>
      </c>
      <c r="H19" s="1" t="s">
        <v>178</v>
      </c>
      <c r="I19" s="1" t="s">
        <v>179</v>
      </c>
      <c r="J19" s="1" t="n">
        <v>11603.91</v>
      </c>
      <c r="K19" s="1" t="n">
        <v>10971.08</v>
      </c>
      <c r="L19" s="1" t="n">
        <v>8807.56</v>
      </c>
      <c r="M19" s="1" t="n">
        <v>2163.52</v>
      </c>
      <c r="N19" s="1" t="s">
        <v>41</v>
      </c>
      <c r="P19" s="1" t="n">
        <v>1</v>
      </c>
      <c r="Q19" s="1" t="s">
        <v>63</v>
      </c>
      <c r="R19" s="1" t="s">
        <v>74</v>
      </c>
      <c r="S19" s="6" t="n">
        <v>46234</v>
      </c>
      <c r="V19" s="7" t="s">
        <v>108</v>
      </c>
      <c r="W19" s="7" t="n">
        <f aca="false">COUNTIF(Claims[Claim_Type],V19)</f>
        <v>399</v>
      </c>
      <c r="X19" s="10" t="n">
        <f aca="false">W19/$W$2</f>
        <v>0.266</v>
      </c>
      <c r="Y19" s="8" t="n">
        <f aca="false">SUMIF(Claims[Claim_Type],V19,Claims[Billed_Amount])</f>
        <v>10429787.81</v>
      </c>
      <c r="Z19" s="8" t="n">
        <f aca="false">SUMIF(Claims[Claim_Type],V19,Claims[Paid_Amount])</f>
        <v>3917719.65</v>
      </c>
      <c r="AA19" s="7" t="n">
        <f aca="false">COUNTIFS(Claims[Claim_Type],V19,Claims[Claim_Status],"Denied")</f>
        <v>82</v>
      </c>
      <c r="AB19" s="10" t="n">
        <f aca="false">AA19/W19</f>
        <v>0.205513784461153</v>
      </c>
      <c r="AC19" s="9" t="n">
        <f aca="false">AVERAGEIF(Claims[Claim_Type],V19,Claims[Processing_Days])</f>
        <v>5.54636591478697</v>
      </c>
    </row>
    <row r="20" customFormat="false" ht="14.25" hidden="false" customHeight="true" outlineLevel="0" collapsed="false">
      <c r="A20" s="1" t="s">
        <v>180</v>
      </c>
      <c r="B20" s="1" t="s">
        <v>181</v>
      </c>
      <c r="C20" s="1" t="s">
        <v>182</v>
      </c>
      <c r="D20" s="1" t="s">
        <v>183</v>
      </c>
      <c r="E20" s="6" t="n">
        <v>46092</v>
      </c>
      <c r="F20" s="6" t="n">
        <v>46088</v>
      </c>
      <c r="G20" s="1" t="s">
        <v>108</v>
      </c>
      <c r="H20" s="1" t="s">
        <v>184</v>
      </c>
      <c r="I20" s="1" t="s">
        <v>185</v>
      </c>
      <c r="J20" s="1" t="n">
        <v>29899.24</v>
      </c>
      <c r="K20" s="1" t="n">
        <v>19864.7</v>
      </c>
      <c r="L20" s="1" t="n">
        <v>0</v>
      </c>
      <c r="M20" s="1" t="n">
        <v>19864.7</v>
      </c>
      <c r="N20" s="1" t="s">
        <v>111</v>
      </c>
      <c r="P20" s="1" t="n">
        <v>5</v>
      </c>
      <c r="Q20" s="1" t="s">
        <v>63</v>
      </c>
      <c r="R20" s="1" t="s">
        <v>54</v>
      </c>
      <c r="V20" s="7" t="s">
        <v>38</v>
      </c>
      <c r="W20" s="7" t="n">
        <f aca="false">COUNTIF(Claims[Claim_Type],V20)</f>
        <v>353</v>
      </c>
      <c r="X20" s="10" t="n">
        <f aca="false">W20/$W$2</f>
        <v>0.235333333333333</v>
      </c>
      <c r="Y20" s="8" t="n">
        <f aca="false">SUMIF(Claims[Claim_Type],V20,Claims[Billed_Amount])</f>
        <v>8837669.49</v>
      </c>
      <c r="Z20" s="8" t="n">
        <f aca="false">SUMIF(Claims[Claim_Type],V20,Claims[Paid_Amount])</f>
        <v>3522797.72</v>
      </c>
      <c r="AA20" s="7" t="n">
        <f aca="false">COUNTIFS(Claims[Claim_Type],V20,Claims[Claim_Status],"Denied")</f>
        <v>68</v>
      </c>
      <c r="AB20" s="10" t="n">
        <f aca="false">AA20/W20</f>
        <v>0.192634560906516</v>
      </c>
      <c r="AC20" s="9" t="n">
        <f aca="false">AVERAGEIF(Claims[Claim_Type],V20,Claims[Processing_Days])</f>
        <v>5.53257790368272</v>
      </c>
    </row>
    <row r="21" customFormat="false" ht="14.25" hidden="false" customHeight="true" outlineLevel="0" collapsed="false">
      <c r="A21" s="1" t="s">
        <v>186</v>
      </c>
      <c r="B21" s="1" t="s">
        <v>187</v>
      </c>
      <c r="C21" s="1" t="s">
        <v>188</v>
      </c>
      <c r="D21" s="1" t="s">
        <v>189</v>
      </c>
      <c r="E21" s="6" t="n">
        <v>46165</v>
      </c>
      <c r="F21" s="6" t="n">
        <v>46163</v>
      </c>
      <c r="G21" s="1" t="s">
        <v>70</v>
      </c>
      <c r="H21" s="1" t="s">
        <v>190</v>
      </c>
      <c r="I21" s="1" t="s">
        <v>191</v>
      </c>
      <c r="J21" s="1" t="n">
        <v>8079.79</v>
      </c>
      <c r="K21" s="1" t="n">
        <v>6936.97</v>
      </c>
      <c r="L21" s="1" t="n">
        <v>6295.84</v>
      </c>
      <c r="M21" s="1" t="n">
        <v>641.13</v>
      </c>
      <c r="N21" s="1" t="s">
        <v>41</v>
      </c>
      <c r="P21" s="1" t="n">
        <v>5</v>
      </c>
      <c r="Q21" s="1" t="s">
        <v>63</v>
      </c>
      <c r="R21" s="1" t="s">
        <v>125</v>
      </c>
      <c r="S21" s="6" t="n">
        <v>46170</v>
      </c>
      <c r="V21" s="7" t="s">
        <v>70</v>
      </c>
      <c r="W21" s="7" t="n">
        <f aca="false">COUNTIF(Claims[Claim_Type],V21)</f>
        <v>376</v>
      </c>
      <c r="X21" s="10" t="n">
        <f aca="false">W21/$W$2</f>
        <v>0.250666666666667</v>
      </c>
      <c r="Y21" s="8" t="n">
        <f aca="false">SUMIF(Claims[Claim_Type],V21,Claims[Billed_Amount])</f>
        <v>9936667.49</v>
      </c>
      <c r="Z21" s="8" t="n">
        <f aca="false">SUMIF(Claims[Claim_Type],V21,Claims[Paid_Amount])</f>
        <v>4287879.54</v>
      </c>
      <c r="AA21" s="7" t="n">
        <f aca="false">COUNTIFS(Claims[Claim_Type],V21,Claims[Claim_Status],"Denied")</f>
        <v>72</v>
      </c>
      <c r="AB21" s="10" t="n">
        <f aca="false">AA21/W21</f>
        <v>0.191489361702128</v>
      </c>
      <c r="AC21" s="9" t="n">
        <f aca="false">AVERAGEIF(Claims[Claim_Type],V21,Claims[Processing_Days])</f>
        <v>5.2686170212766</v>
      </c>
    </row>
    <row r="22" customFormat="false" ht="14.25" hidden="false" customHeight="true" outlineLevel="0" collapsed="false">
      <c r="A22" s="1" t="s">
        <v>192</v>
      </c>
      <c r="B22" s="1" t="s">
        <v>193</v>
      </c>
      <c r="C22" s="1" t="s">
        <v>36</v>
      </c>
      <c r="D22" s="1" t="s">
        <v>86</v>
      </c>
      <c r="E22" s="6" t="n">
        <v>46053</v>
      </c>
      <c r="F22" s="6" t="n">
        <v>46049</v>
      </c>
      <c r="G22" s="1" t="s">
        <v>38</v>
      </c>
      <c r="H22" s="1" t="s">
        <v>194</v>
      </c>
      <c r="I22" s="1" t="s">
        <v>195</v>
      </c>
      <c r="J22" s="1" t="n">
        <v>6327.86</v>
      </c>
      <c r="K22" s="1" t="n">
        <v>4329.55</v>
      </c>
      <c r="L22" s="1" t="n">
        <v>0</v>
      </c>
      <c r="M22" s="1" t="n">
        <v>4329.55</v>
      </c>
      <c r="N22" s="1" t="s">
        <v>111</v>
      </c>
      <c r="P22" s="1" t="n">
        <v>5</v>
      </c>
      <c r="Q22" s="1" t="s">
        <v>42</v>
      </c>
      <c r="R22" s="1" t="s">
        <v>140</v>
      </c>
      <c r="V22" s="7" t="s">
        <v>49</v>
      </c>
      <c r="W22" s="7" t="n">
        <f aca="false">COUNTIF(Claims[Claim_Type],V22)</f>
        <v>372</v>
      </c>
      <c r="X22" s="10" t="n">
        <f aca="false">W22/$W$2</f>
        <v>0.248</v>
      </c>
      <c r="Y22" s="8" t="n">
        <f aca="false">SUMIF(Claims[Claim_Type],V22,Claims[Billed_Amount])</f>
        <v>9495447.01</v>
      </c>
      <c r="Z22" s="8" t="n">
        <f aca="false">SUMIF(Claims[Claim_Type],V22,Claims[Paid_Amount])</f>
        <v>4052838.05</v>
      </c>
      <c r="AA22" s="7" t="n">
        <f aca="false">COUNTIFS(Claims[Claim_Type],V22,Claims[Claim_Status],"Denied")</f>
        <v>69</v>
      </c>
      <c r="AB22" s="10" t="n">
        <f aca="false">AA22/W22</f>
        <v>0.185483870967742</v>
      </c>
      <c r="AC22" s="9" t="n">
        <f aca="false">AVERAGEIF(Claims[Claim_Type],V22,Claims[Processing_Days])</f>
        <v>5.01075268817204</v>
      </c>
    </row>
    <row r="23" customFormat="false" ht="14.25" hidden="false" customHeight="true" outlineLevel="0" collapsed="false">
      <c r="A23" s="1" t="s">
        <v>196</v>
      </c>
      <c r="B23" s="1" t="s">
        <v>197</v>
      </c>
      <c r="C23" s="1" t="s">
        <v>198</v>
      </c>
      <c r="D23" s="1" t="s">
        <v>93</v>
      </c>
      <c r="E23" s="6" t="n">
        <v>46119</v>
      </c>
      <c r="F23" s="6" t="n">
        <v>46114</v>
      </c>
      <c r="G23" s="1" t="s">
        <v>108</v>
      </c>
      <c r="H23" s="1" t="s">
        <v>199</v>
      </c>
      <c r="I23" s="1" t="s">
        <v>200</v>
      </c>
      <c r="J23" s="1" t="n">
        <v>8438.49</v>
      </c>
      <c r="K23" s="1" t="n">
        <v>6872.66</v>
      </c>
      <c r="L23" s="1" t="n">
        <v>6718.64</v>
      </c>
      <c r="M23" s="1" t="n">
        <v>154.02</v>
      </c>
      <c r="N23" s="1" t="s">
        <v>41</v>
      </c>
      <c r="P23" s="1" t="n">
        <v>8</v>
      </c>
      <c r="Q23" s="1" t="s">
        <v>155</v>
      </c>
      <c r="R23" s="1" t="s">
        <v>125</v>
      </c>
      <c r="S23" s="6" t="n">
        <v>46127</v>
      </c>
    </row>
    <row r="24" customFormat="false" ht="14.25" hidden="false" customHeight="true" outlineLevel="0" collapsed="false">
      <c r="A24" s="1" t="s">
        <v>201</v>
      </c>
      <c r="B24" s="1" t="s">
        <v>202</v>
      </c>
      <c r="C24" s="1" t="s">
        <v>78</v>
      </c>
      <c r="D24" s="1" t="s">
        <v>203</v>
      </c>
      <c r="E24" s="6" t="n">
        <v>46174</v>
      </c>
      <c r="F24" s="6" t="n">
        <v>46169</v>
      </c>
      <c r="G24" s="1" t="s">
        <v>49</v>
      </c>
      <c r="H24" s="1" t="s">
        <v>204</v>
      </c>
      <c r="I24" s="1" t="s">
        <v>205</v>
      </c>
      <c r="J24" s="1" t="n">
        <v>47497.58</v>
      </c>
      <c r="K24" s="1" t="n">
        <v>41981.11</v>
      </c>
      <c r="L24" s="1" t="n">
        <v>32273.48</v>
      </c>
      <c r="M24" s="1" t="n">
        <v>9707.63</v>
      </c>
      <c r="N24" s="1" t="s">
        <v>41</v>
      </c>
      <c r="P24" s="1" t="n">
        <v>2</v>
      </c>
      <c r="Q24" s="1" t="s">
        <v>63</v>
      </c>
      <c r="R24" s="1" t="s">
        <v>54</v>
      </c>
      <c r="S24" s="6" t="n">
        <v>46176</v>
      </c>
    </row>
    <row r="25" customFormat="false" ht="14.25" hidden="false" customHeight="true" outlineLevel="0" collapsed="false">
      <c r="A25" s="1" t="s">
        <v>206</v>
      </c>
      <c r="B25" s="1" t="s">
        <v>207</v>
      </c>
      <c r="C25" s="1" t="s">
        <v>92</v>
      </c>
      <c r="D25" s="1" t="s">
        <v>208</v>
      </c>
      <c r="E25" s="6" t="n">
        <v>46049</v>
      </c>
      <c r="F25" s="6" t="n">
        <v>46048</v>
      </c>
      <c r="G25" s="1" t="s">
        <v>108</v>
      </c>
      <c r="H25" s="1" t="s">
        <v>209</v>
      </c>
      <c r="I25" s="1" t="s">
        <v>210</v>
      </c>
      <c r="J25" s="1" t="n">
        <v>42686.31</v>
      </c>
      <c r="K25" s="1" t="n">
        <v>32358.97</v>
      </c>
      <c r="L25" s="1" t="n">
        <v>0</v>
      </c>
      <c r="M25" s="1" t="n">
        <v>32358.97</v>
      </c>
      <c r="N25" s="1" t="s">
        <v>52</v>
      </c>
      <c r="O25" s="1" t="s">
        <v>62</v>
      </c>
      <c r="P25" s="1" t="n">
        <v>6</v>
      </c>
      <c r="Q25" s="1" t="s">
        <v>42</v>
      </c>
      <c r="R25" s="1" t="s">
        <v>74</v>
      </c>
      <c r="V25" s="5" t="s">
        <v>168</v>
      </c>
      <c r="W25" s="5" t="s">
        <v>211</v>
      </c>
      <c r="X25" s="5" t="s">
        <v>212</v>
      </c>
    </row>
    <row r="26" customFormat="false" ht="14.25" hidden="false" customHeight="true" outlineLevel="0" collapsed="false">
      <c r="A26" s="1" t="s">
        <v>213</v>
      </c>
      <c r="B26" s="1" t="s">
        <v>214</v>
      </c>
      <c r="C26" s="1" t="s">
        <v>215</v>
      </c>
      <c r="D26" s="1" t="s">
        <v>216</v>
      </c>
      <c r="E26" s="6" t="n">
        <v>46068</v>
      </c>
      <c r="F26" s="6" t="n">
        <v>46066</v>
      </c>
      <c r="G26" s="1" t="s">
        <v>108</v>
      </c>
      <c r="H26" s="1" t="s">
        <v>217</v>
      </c>
      <c r="I26" s="1" t="s">
        <v>218</v>
      </c>
      <c r="J26" s="1" t="n">
        <v>22166.87</v>
      </c>
      <c r="K26" s="1" t="n">
        <v>18543.52</v>
      </c>
      <c r="L26" s="1" t="n">
        <v>17980.15</v>
      </c>
      <c r="M26" s="1" t="n">
        <v>563.37</v>
      </c>
      <c r="N26" s="1" t="s">
        <v>41</v>
      </c>
      <c r="P26" s="1" t="n">
        <v>2</v>
      </c>
      <c r="Q26" s="1" t="s">
        <v>63</v>
      </c>
      <c r="R26" s="1" t="s">
        <v>102</v>
      </c>
      <c r="S26" s="6" t="n">
        <v>46070</v>
      </c>
      <c r="V26" s="7" t="s">
        <v>108</v>
      </c>
      <c r="W26" s="7" t="n">
        <f aca="false">COUNTIFS(Claims[Claim_Type],V26,Claims[Denial_Reason],"Out of Network")</f>
        <v>13</v>
      </c>
      <c r="X26" s="10" t="n">
        <f aca="false">W26/$W$37</f>
        <v>0.295454545454545</v>
      </c>
    </row>
    <row r="27" customFormat="false" ht="14.25" hidden="false" customHeight="true" outlineLevel="0" collapsed="false">
      <c r="A27" s="1" t="s">
        <v>219</v>
      </c>
      <c r="B27" s="1" t="s">
        <v>220</v>
      </c>
      <c r="C27" s="1" t="s">
        <v>221</v>
      </c>
      <c r="D27" s="1" t="s">
        <v>222</v>
      </c>
      <c r="E27" s="6" t="n">
        <v>46126</v>
      </c>
      <c r="F27" s="6" t="n">
        <v>46121</v>
      </c>
      <c r="G27" s="1" t="s">
        <v>108</v>
      </c>
      <c r="H27" s="1" t="s">
        <v>223</v>
      </c>
      <c r="I27" s="1" t="s">
        <v>224</v>
      </c>
      <c r="J27" s="1" t="n">
        <v>40095.01</v>
      </c>
      <c r="K27" s="1" t="n">
        <v>33866.41</v>
      </c>
      <c r="L27" s="1" t="n">
        <v>0</v>
      </c>
      <c r="M27" s="1" t="n">
        <v>33866.41</v>
      </c>
      <c r="N27" s="1" t="s">
        <v>52</v>
      </c>
      <c r="O27" s="1" t="s">
        <v>53</v>
      </c>
      <c r="P27" s="1" t="n">
        <v>3</v>
      </c>
      <c r="Q27" s="1" t="s">
        <v>155</v>
      </c>
      <c r="R27" s="1" t="s">
        <v>43</v>
      </c>
      <c r="V27" s="7" t="s">
        <v>38</v>
      </c>
      <c r="W27" s="7" t="n">
        <f aca="false">COUNTIFS(Claims[Claim_Type],V27,Claims[Denial_Reason],"Out of Network")</f>
        <v>10</v>
      </c>
      <c r="X27" s="10" t="n">
        <f aca="false">W27/$W$37</f>
        <v>0.227272727272727</v>
      </c>
    </row>
    <row r="28" customFormat="false" ht="14.25" hidden="false" customHeight="true" outlineLevel="0" collapsed="false">
      <c r="A28" s="1" t="s">
        <v>225</v>
      </c>
      <c r="B28" s="1" t="s">
        <v>226</v>
      </c>
      <c r="C28" s="1" t="s">
        <v>164</v>
      </c>
      <c r="D28" s="1" t="s">
        <v>227</v>
      </c>
      <c r="E28" s="6" t="n">
        <v>46177</v>
      </c>
      <c r="F28" s="6" t="n">
        <v>46174</v>
      </c>
      <c r="G28" s="1" t="s">
        <v>38</v>
      </c>
      <c r="H28" s="1" t="s">
        <v>228</v>
      </c>
      <c r="I28" s="1" t="s">
        <v>229</v>
      </c>
      <c r="J28" s="1" t="n">
        <v>34080.46</v>
      </c>
      <c r="K28" s="1" t="n">
        <v>24005.53</v>
      </c>
      <c r="L28" s="1" t="n">
        <v>0</v>
      </c>
      <c r="M28" s="1" t="n">
        <v>24005.53</v>
      </c>
      <c r="N28" s="1" t="s">
        <v>52</v>
      </c>
      <c r="O28" s="1" t="s">
        <v>230</v>
      </c>
      <c r="P28" s="1" t="n">
        <v>7</v>
      </c>
      <c r="Q28" s="1" t="s">
        <v>155</v>
      </c>
      <c r="R28" s="1" t="s">
        <v>43</v>
      </c>
      <c r="V28" s="7" t="s">
        <v>70</v>
      </c>
      <c r="W28" s="7" t="n">
        <f aca="false">COUNTIFS(Claims[Claim_Type],V28,Claims[Denial_Reason],"Out of Network")</f>
        <v>11</v>
      </c>
      <c r="X28" s="10" t="n">
        <f aca="false">W28/$W$37</f>
        <v>0.25</v>
      </c>
    </row>
    <row r="29" customFormat="false" ht="14.25" hidden="false" customHeight="true" outlineLevel="0" collapsed="false">
      <c r="A29" s="1" t="s">
        <v>231</v>
      </c>
      <c r="B29" s="1" t="s">
        <v>232</v>
      </c>
      <c r="C29" s="1" t="s">
        <v>233</v>
      </c>
      <c r="D29" s="1" t="s">
        <v>234</v>
      </c>
      <c r="E29" s="6" t="n">
        <v>46135</v>
      </c>
      <c r="F29" s="6" t="n">
        <v>46135</v>
      </c>
      <c r="G29" s="1" t="s">
        <v>108</v>
      </c>
      <c r="H29" s="1" t="s">
        <v>235</v>
      </c>
      <c r="I29" s="1" t="s">
        <v>236</v>
      </c>
      <c r="J29" s="1" t="n">
        <v>32921.19</v>
      </c>
      <c r="K29" s="1" t="n">
        <v>21520.85</v>
      </c>
      <c r="L29" s="1" t="n">
        <v>20812.45</v>
      </c>
      <c r="M29" s="1" t="n">
        <v>708.4</v>
      </c>
      <c r="N29" s="1" t="s">
        <v>41</v>
      </c>
      <c r="P29" s="1" t="n">
        <v>4</v>
      </c>
      <c r="Q29" s="1" t="s">
        <v>63</v>
      </c>
      <c r="R29" s="1" t="s">
        <v>102</v>
      </c>
      <c r="S29" s="6" t="n">
        <v>46139</v>
      </c>
      <c r="V29" s="7" t="s">
        <v>49</v>
      </c>
      <c r="W29" s="7" t="n">
        <f aca="false">COUNTIFS(Claims[Claim_Type],V29,Claims[Denial_Reason],"Out of Network")</f>
        <v>10</v>
      </c>
      <c r="X29" s="10" t="n">
        <f aca="false">W29/$W$37</f>
        <v>0.227272727272727</v>
      </c>
    </row>
    <row r="30" customFormat="false" ht="14.25" hidden="false" customHeight="true" outlineLevel="0" collapsed="false">
      <c r="A30" s="1" t="s">
        <v>237</v>
      </c>
      <c r="B30" s="1" t="s">
        <v>238</v>
      </c>
      <c r="C30" s="1" t="s">
        <v>151</v>
      </c>
      <c r="D30" s="1" t="s">
        <v>239</v>
      </c>
      <c r="E30" s="6" t="n">
        <v>46197</v>
      </c>
      <c r="F30" s="6" t="n">
        <v>46192</v>
      </c>
      <c r="G30" s="1" t="s">
        <v>38</v>
      </c>
      <c r="H30" s="1" t="s">
        <v>240</v>
      </c>
      <c r="I30" s="1" t="s">
        <v>241</v>
      </c>
      <c r="J30" s="1" t="n">
        <v>7858.4</v>
      </c>
      <c r="K30" s="1" t="n">
        <v>7056.3</v>
      </c>
      <c r="L30" s="1" t="n">
        <v>0</v>
      </c>
      <c r="M30" s="1" t="n">
        <v>7056.3</v>
      </c>
      <c r="N30" s="1" t="s">
        <v>111</v>
      </c>
      <c r="P30" s="1" t="n">
        <v>13</v>
      </c>
      <c r="Q30" s="1" t="s">
        <v>63</v>
      </c>
      <c r="R30" s="1" t="s">
        <v>125</v>
      </c>
    </row>
    <row r="31" customFormat="false" ht="14.25" hidden="false" customHeight="true" outlineLevel="0" collapsed="false">
      <c r="A31" s="1" t="s">
        <v>242</v>
      </c>
      <c r="B31" s="1" t="s">
        <v>243</v>
      </c>
      <c r="C31" s="1" t="s">
        <v>244</v>
      </c>
      <c r="D31" s="1" t="s">
        <v>245</v>
      </c>
      <c r="E31" s="6" t="n">
        <v>46065</v>
      </c>
      <c r="F31" s="6" t="n">
        <v>46065</v>
      </c>
      <c r="G31" s="1" t="s">
        <v>49</v>
      </c>
      <c r="H31" s="1" t="s">
        <v>246</v>
      </c>
      <c r="I31" s="1" t="s">
        <v>247</v>
      </c>
      <c r="J31" s="1" t="n">
        <v>16371.37</v>
      </c>
      <c r="K31" s="1" t="n">
        <v>12266.55</v>
      </c>
      <c r="L31" s="1" t="n">
        <v>0</v>
      </c>
      <c r="M31" s="1" t="n">
        <v>12266.55</v>
      </c>
      <c r="N31" s="1" t="s">
        <v>52</v>
      </c>
      <c r="O31" s="1" t="s">
        <v>53</v>
      </c>
      <c r="P31" s="1" t="n">
        <v>5</v>
      </c>
      <c r="Q31" s="1" t="s">
        <v>155</v>
      </c>
      <c r="R31" s="1" t="s">
        <v>43</v>
      </c>
    </row>
    <row r="32" customFormat="false" ht="14.25" hidden="false" customHeight="true" outlineLevel="0" collapsed="false">
      <c r="A32" s="1" t="s">
        <v>248</v>
      </c>
      <c r="B32" s="1" t="s">
        <v>249</v>
      </c>
      <c r="C32" s="1" t="s">
        <v>92</v>
      </c>
      <c r="D32" s="1" t="s">
        <v>250</v>
      </c>
      <c r="E32" s="6" t="n">
        <v>46140</v>
      </c>
      <c r="F32" s="6" t="n">
        <v>46136</v>
      </c>
      <c r="G32" s="1" t="s">
        <v>49</v>
      </c>
      <c r="H32" s="1" t="s">
        <v>251</v>
      </c>
      <c r="I32" s="1" t="s">
        <v>252</v>
      </c>
      <c r="J32" s="1" t="n">
        <v>42901.17</v>
      </c>
      <c r="K32" s="1" t="n">
        <v>33639.68</v>
      </c>
      <c r="L32" s="1" t="n">
        <v>26228.08</v>
      </c>
      <c r="M32" s="1" t="n">
        <v>7411.6</v>
      </c>
      <c r="N32" s="1" t="s">
        <v>41</v>
      </c>
      <c r="P32" s="1" t="n">
        <v>8</v>
      </c>
      <c r="Q32" s="1" t="s">
        <v>155</v>
      </c>
      <c r="R32" s="1" t="s">
        <v>125</v>
      </c>
      <c r="S32" s="6" t="n">
        <v>46148</v>
      </c>
      <c r="V32" s="5" t="s">
        <v>253</v>
      </c>
      <c r="W32" s="5" t="s">
        <v>173</v>
      </c>
      <c r="X32" s="5" t="s">
        <v>254</v>
      </c>
      <c r="Y32" s="5" t="s">
        <v>171</v>
      </c>
      <c r="Z32" s="5" t="s">
        <v>89</v>
      </c>
    </row>
    <row r="33" customFormat="false" ht="14.25" hidden="false" customHeight="true" outlineLevel="0" collapsed="false">
      <c r="A33" s="1" t="s">
        <v>255</v>
      </c>
      <c r="B33" s="1" t="s">
        <v>256</v>
      </c>
      <c r="C33" s="1" t="s">
        <v>215</v>
      </c>
      <c r="D33" s="1" t="s">
        <v>257</v>
      </c>
      <c r="E33" s="6" t="n">
        <v>46050</v>
      </c>
      <c r="F33" s="6" t="n">
        <v>46046</v>
      </c>
      <c r="G33" s="1" t="s">
        <v>108</v>
      </c>
      <c r="H33" s="1" t="s">
        <v>258</v>
      </c>
      <c r="I33" s="1" t="s">
        <v>259</v>
      </c>
      <c r="J33" s="1" t="n">
        <v>32058.14</v>
      </c>
      <c r="K33" s="1" t="n">
        <v>29398.38</v>
      </c>
      <c r="L33" s="1" t="n">
        <v>0</v>
      </c>
      <c r="M33" s="1" t="n">
        <v>29398.38</v>
      </c>
      <c r="N33" s="1" t="s">
        <v>260</v>
      </c>
      <c r="P33" s="1" t="n">
        <v>4</v>
      </c>
      <c r="Q33" s="1" t="s">
        <v>63</v>
      </c>
      <c r="R33" s="1" t="s">
        <v>102</v>
      </c>
      <c r="V33" s="7" t="s">
        <v>230</v>
      </c>
      <c r="W33" s="7" t="n">
        <f aca="false">COUNTIF(Claims[Denial_Reason],V33)</f>
        <v>65</v>
      </c>
      <c r="X33" s="10" t="n">
        <f aca="false">W33/$W$10</f>
        <v>0.223367697594502</v>
      </c>
      <c r="Y33" s="8" t="n">
        <f aca="false">SUMIF(Claims[Denial_Reason],V33,Claims[Billed_Amount])</f>
        <v>1612819.79</v>
      </c>
      <c r="Z33" s="9" t="n">
        <f aca="false">AVERAGEIF(Claims[Denial_Reason],V33,Claims[Processing_Days])</f>
        <v>4.27692307692308</v>
      </c>
    </row>
    <row r="34" customFormat="false" ht="14.25" hidden="false" customHeight="true" outlineLevel="0" collapsed="false">
      <c r="A34" s="1" t="s">
        <v>261</v>
      </c>
      <c r="B34" s="1" t="s">
        <v>262</v>
      </c>
      <c r="C34" s="1" t="s">
        <v>92</v>
      </c>
      <c r="D34" s="1" t="s">
        <v>208</v>
      </c>
      <c r="E34" s="6" t="n">
        <v>46170</v>
      </c>
      <c r="F34" s="6" t="n">
        <v>46166</v>
      </c>
      <c r="G34" s="1" t="s">
        <v>38</v>
      </c>
      <c r="H34" s="1" t="s">
        <v>263</v>
      </c>
      <c r="I34" s="1" t="s">
        <v>264</v>
      </c>
      <c r="J34" s="1" t="n">
        <v>35974.57</v>
      </c>
      <c r="K34" s="1" t="n">
        <v>27304.28</v>
      </c>
      <c r="L34" s="1" t="n">
        <v>0</v>
      </c>
      <c r="M34" s="1" t="n">
        <v>27304.28</v>
      </c>
      <c r="N34" s="1" t="s">
        <v>111</v>
      </c>
      <c r="P34" s="1" t="n">
        <v>11</v>
      </c>
      <c r="Q34" s="1" t="s">
        <v>63</v>
      </c>
      <c r="R34" s="1" t="s">
        <v>125</v>
      </c>
      <c r="V34" s="7" t="s">
        <v>265</v>
      </c>
      <c r="W34" s="7" t="n">
        <f aca="false">COUNTIF(Claims[Denial_Reason],V34)</f>
        <v>63</v>
      </c>
      <c r="X34" s="10" t="n">
        <f aca="false">W34/$W$10</f>
        <v>0.216494845360825</v>
      </c>
      <c r="Y34" s="8" t="n">
        <f aca="false">SUMIF(Claims[Denial_Reason],V34,Claims[Billed_Amount])</f>
        <v>1486274.76</v>
      </c>
      <c r="Z34" s="9" t="n">
        <f aca="false">AVERAGEIF(Claims[Denial_Reason],V34,Claims[Processing_Days])</f>
        <v>4.73015873015873</v>
      </c>
    </row>
    <row r="35" customFormat="false" ht="14.25" hidden="false" customHeight="true" outlineLevel="0" collapsed="false">
      <c r="A35" s="1" t="s">
        <v>266</v>
      </c>
      <c r="B35" s="1" t="s">
        <v>267</v>
      </c>
      <c r="C35" s="1" t="s">
        <v>47</v>
      </c>
      <c r="D35" s="1" t="s">
        <v>268</v>
      </c>
      <c r="E35" s="6" t="n">
        <v>46187</v>
      </c>
      <c r="F35" s="6" t="n">
        <v>46185</v>
      </c>
      <c r="G35" s="1" t="s">
        <v>49</v>
      </c>
      <c r="H35" s="1" t="s">
        <v>269</v>
      </c>
      <c r="I35" s="1" t="s">
        <v>270</v>
      </c>
      <c r="J35" s="1" t="n">
        <v>19007.57</v>
      </c>
      <c r="K35" s="1" t="n">
        <v>12961.2</v>
      </c>
      <c r="L35" s="1" t="n">
        <v>12627.05</v>
      </c>
      <c r="M35" s="1" t="n">
        <v>334.15</v>
      </c>
      <c r="N35" s="1" t="s">
        <v>41</v>
      </c>
      <c r="P35" s="1" t="n">
        <v>8</v>
      </c>
      <c r="Q35" s="1" t="s">
        <v>42</v>
      </c>
      <c r="R35" s="1" t="s">
        <v>140</v>
      </c>
      <c r="S35" s="6" t="n">
        <v>46195</v>
      </c>
      <c r="V35" s="7" t="s">
        <v>53</v>
      </c>
      <c r="W35" s="7" t="n">
        <f aca="false">COUNTIF(Claims[Denial_Reason],V35)</f>
        <v>60</v>
      </c>
      <c r="X35" s="10" t="n">
        <f aca="false">W35/$W$10</f>
        <v>0.206185567010309</v>
      </c>
      <c r="Y35" s="8" t="n">
        <f aca="false">SUMIF(Claims[Denial_Reason],V35,Claims[Billed_Amount])</f>
        <v>1592803.46</v>
      </c>
      <c r="Z35" s="9" t="n">
        <f aca="false">AVERAGEIF(Claims[Denial_Reason],V35,Claims[Processing_Days])</f>
        <v>4.43333333333333</v>
      </c>
    </row>
    <row r="36" customFormat="false" ht="14.25" hidden="false" customHeight="true" outlineLevel="0" collapsed="false">
      <c r="A36" s="1" t="s">
        <v>271</v>
      </c>
      <c r="B36" s="1" t="s">
        <v>272</v>
      </c>
      <c r="C36" s="1" t="s">
        <v>273</v>
      </c>
      <c r="D36" s="1" t="s">
        <v>274</v>
      </c>
      <c r="E36" s="6" t="n">
        <v>46071</v>
      </c>
      <c r="F36" s="6" t="n">
        <v>46071</v>
      </c>
      <c r="G36" s="1" t="s">
        <v>108</v>
      </c>
      <c r="H36" s="1" t="s">
        <v>275</v>
      </c>
      <c r="I36" s="1" t="s">
        <v>276</v>
      </c>
      <c r="J36" s="1" t="n">
        <v>19948.38</v>
      </c>
      <c r="K36" s="1" t="n">
        <v>15701.65</v>
      </c>
      <c r="L36" s="1" t="n">
        <v>0</v>
      </c>
      <c r="M36" s="1" t="n">
        <v>15701.65</v>
      </c>
      <c r="N36" s="1" t="s">
        <v>52</v>
      </c>
      <c r="O36" s="1" t="s">
        <v>230</v>
      </c>
      <c r="P36" s="1" t="n">
        <v>4</v>
      </c>
      <c r="Q36" s="1" t="s">
        <v>63</v>
      </c>
      <c r="R36" s="1" t="s">
        <v>43</v>
      </c>
      <c r="V36" s="7" t="s">
        <v>62</v>
      </c>
      <c r="W36" s="7" t="n">
        <f aca="false">COUNTIF(Claims[Denial_Reason],V36)</f>
        <v>59</v>
      </c>
      <c r="X36" s="10" t="n">
        <f aca="false">W36/$W$10</f>
        <v>0.202749140893471</v>
      </c>
      <c r="Y36" s="8" t="n">
        <f aca="false">SUMIF(Claims[Denial_Reason],V36,Claims[Billed_Amount])</f>
        <v>1560988.1</v>
      </c>
      <c r="Z36" s="9" t="n">
        <f aca="false">AVERAGEIF(Claims[Denial_Reason],V36,Claims[Processing_Days])</f>
        <v>4.33898305084746</v>
      </c>
    </row>
    <row r="37" customFormat="false" ht="14.25" hidden="false" customHeight="true" outlineLevel="0" collapsed="false">
      <c r="A37" s="1" t="s">
        <v>277</v>
      </c>
      <c r="B37" s="1" t="s">
        <v>278</v>
      </c>
      <c r="C37" s="1" t="s">
        <v>279</v>
      </c>
      <c r="D37" s="1" t="s">
        <v>280</v>
      </c>
      <c r="E37" s="6" t="n">
        <v>46195</v>
      </c>
      <c r="F37" s="6" t="n">
        <v>46191</v>
      </c>
      <c r="G37" s="1" t="s">
        <v>49</v>
      </c>
      <c r="H37" s="1" t="s">
        <v>281</v>
      </c>
      <c r="I37" s="1" t="s">
        <v>282</v>
      </c>
      <c r="J37" s="1" t="n">
        <v>7164.48</v>
      </c>
      <c r="K37" s="1" t="n">
        <v>5729.07</v>
      </c>
      <c r="L37" s="1" t="n">
        <v>0</v>
      </c>
      <c r="M37" s="1" t="n">
        <v>5729.07</v>
      </c>
      <c r="N37" s="1" t="s">
        <v>260</v>
      </c>
      <c r="P37" s="1" t="n">
        <v>1</v>
      </c>
      <c r="Q37" s="1" t="s">
        <v>42</v>
      </c>
      <c r="R37" s="1" t="s">
        <v>64</v>
      </c>
      <c r="V37" s="7" t="s">
        <v>73</v>
      </c>
      <c r="W37" s="7" t="n">
        <f aca="false">COUNTIF(Claims[Denial_Reason],V37)</f>
        <v>44</v>
      </c>
      <c r="X37" s="10" t="n">
        <f aca="false">W37/$W$10</f>
        <v>0.151202749140893</v>
      </c>
      <c r="Y37" s="8" t="n">
        <f aca="false">SUMIF(Claims[Denial_Reason],V37,Claims[Billed_Amount])</f>
        <v>1046057.32</v>
      </c>
      <c r="Z37" s="9" t="n">
        <f aca="false">AVERAGEIF(Claims[Denial_Reason],V37,Claims[Processing_Days])</f>
        <v>4.95454545454545</v>
      </c>
    </row>
    <row r="38" customFormat="false" ht="14.25" hidden="false" customHeight="true" outlineLevel="0" collapsed="false">
      <c r="A38" s="1" t="s">
        <v>283</v>
      </c>
      <c r="B38" s="1" t="s">
        <v>150</v>
      </c>
      <c r="C38" s="1" t="s">
        <v>136</v>
      </c>
      <c r="D38" s="1" t="s">
        <v>86</v>
      </c>
      <c r="E38" s="6" t="n">
        <v>46072</v>
      </c>
      <c r="F38" s="6" t="n">
        <v>46067</v>
      </c>
      <c r="G38" s="1" t="s">
        <v>38</v>
      </c>
      <c r="H38" s="1" t="s">
        <v>60</v>
      </c>
      <c r="I38" s="1" t="s">
        <v>284</v>
      </c>
      <c r="J38" s="1" t="n">
        <v>5625.92</v>
      </c>
      <c r="K38" s="1" t="n">
        <v>4766.6</v>
      </c>
      <c r="L38" s="1" t="n">
        <v>0</v>
      </c>
      <c r="M38" s="1" t="n">
        <v>4766.6</v>
      </c>
      <c r="N38" s="1" t="s">
        <v>52</v>
      </c>
      <c r="O38" s="1" t="s">
        <v>73</v>
      </c>
      <c r="P38" s="1" t="n">
        <v>6</v>
      </c>
      <c r="Q38" s="1" t="s">
        <v>63</v>
      </c>
      <c r="R38" s="1" t="s">
        <v>102</v>
      </c>
    </row>
    <row r="39" customFormat="false" ht="14.25" hidden="false" customHeight="true" outlineLevel="0" collapsed="false">
      <c r="A39" s="1" t="s">
        <v>285</v>
      </c>
      <c r="B39" s="1" t="s">
        <v>278</v>
      </c>
      <c r="C39" s="1" t="s">
        <v>286</v>
      </c>
      <c r="D39" s="1" t="s">
        <v>287</v>
      </c>
      <c r="E39" s="6" t="n">
        <v>46139</v>
      </c>
      <c r="F39" s="6" t="n">
        <v>46138</v>
      </c>
      <c r="G39" s="1" t="s">
        <v>38</v>
      </c>
      <c r="H39" s="1" t="s">
        <v>288</v>
      </c>
      <c r="I39" s="1" t="s">
        <v>289</v>
      </c>
      <c r="J39" s="1" t="n">
        <v>30324.96</v>
      </c>
      <c r="K39" s="1" t="n">
        <v>27775.57</v>
      </c>
      <c r="L39" s="1" t="n">
        <v>24389</v>
      </c>
      <c r="M39" s="1" t="n">
        <v>3386.57</v>
      </c>
      <c r="N39" s="1" t="s">
        <v>41</v>
      </c>
      <c r="P39" s="1" t="n">
        <v>6</v>
      </c>
      <c r="Q39" s="1" t="s">
        <v>42</v>
      </c>
      <c r="R39" s="1" t="s">
        <v>102</v>
      </c>
      <c r="S39" s="6" t="n">
        <v>46145</v>
      </c>
    </row>
    <row r="40" customFormat="false" ht="14.25" hidden="false" customHeight="true" outlineLevel="0" collapsed="false">
      <c r="A40" s="1" t="s">
        <v>290</v>
      </c>
      <c r="B40" s="1" t="s">
        <v>207</v>
      </c>
      <c r="C40" s="1" t="s">
        <v>273</v>
      </c>
      <c r="D40" s="1" t="s">
        <v>291</v>
      </c>
      <c r="E40" s="6" t="n">
        <v>46196</v>
      </c>
      <c r="F40" s="6" t="n">
        <v>46195</v>
      </c>
      <c r="G40" s="1" t="s">
        <v>49</v>
      </c>
      <c r="H40" s="1" t="s">
        <v>292</v>
      </c>
      <c r="I40" s="1" t="s">
        <v>293</v>
      </c>
      <c r="J40" s="1" t="n">
        <v>32679.28</v>
      </c>
      <c r="K40" s="1" t="n">
        <v>30636.76</v>
      </c>
      <c r="L40" s="1" t="n">
        <v>0</v>
      </c>
      <c r="M40" s="1" t="n">
        <v>30636.76</v>
      </c>
      <c r="N40" s="1" t="s">
        <v>260</v>
      </c>
      <c r="P40" s="1" t="n">
        <v>6</v>
      </c>
      <c r="Q40" s="1" t="s">
        <v>42</v>
      </c>
      <c r="R40" s="1" t="s">
        <v>74</v>
      </c>
    </row>
    <row r="41" customFormat="false" ht="14.25" hidden="false" customHeight="true" outlineLevel="0" collapsed="false">
      <c r="A41" s="1" t="s">
        <v>294</v>
      </c>
      <c r="B41" s="1" t="s">
        <v>295</v>
      </c>
      <c r="C41" s="1" t="s">
        <v>296</v>
      </c>
      <c r="D41" s="1" t="s">
        <v>130</v>
      </c>
      <c r="E41" s="6" t="n">
        <v>46161</v>
      </c>
      <c r="F41" s="6" t="n">
        <v>46159</v>
      </c>
      <c r="G41" s="1" t="s">
        <v>108</v>
      </c>
      <c r="H41" s="1" t="s">
        <v>297</v>
      </c>
      <c r="I41" s="1" t="s">
        <v>298</v>
      </c>
      <c r="J41" s="1" t="n">
        <v>21408.13</v>
      </c>
      <c r="K41" s="1" t="n">
        <v>13997.3</v>
      </c>
      <c r="L41" s="1" t="n">
        <v>0</v>
      </c>
      <c r="M41" s="1" t="n">
        <v>13997.3</v>
      </c>
      <c r="N41" s="1" t="s">
        <v>52</v>
      </c>
      <c r="O41" s="1" t="s">
        <v>53</v>
      </c>
      <c r="P41" s="1" t="n">
        <v>2</v>
      </c>
      <c r="Q41" s="1" t="s">
        <v>155</v>
      </c>
      <c r="R41" s="1" t="s">
        <v>102</v>
      </c>
    </row>
    <row r="42" customFormat="false" ht="14.25" hidden="false" customHeight="true" outlineLevel="0" collapsed="false">
      <c r="A42" s="1" t="s">
        <v>299</v>
      </c>
      <c r="B42" s="1" t="s">
        <v>114</v>
      </c>
      <c r="C42" s="1" t="s">
        <v>300</v>
      </c>
      <c r="D42" s="1" t="s">
        <v>159</v>
      </c>
      <c r="E42" s="6" t="n">
        <v>46199</v>
      </c>
      <c r="F42" s="6" t="n">
        <v>46197</v>
      </c>
      <c r="G42" s="1" t="s">
        <v>38</v>
      </c>
      <c r="H42" s="1" t="s">
        <v>301</v>
      </c>
      <c r="I42" s="1" t="s">
        <v>302</v>
      </c>
      <c r="J42" s="1" t="n">
        <v>3570.62</v>
      </c>
      <c r="K42" s="1" t="n">
        <v>3161.1</v>
      </c>
      <c r="L42" s="1" t="n">
        <v>2532.04</v>
      </c>
      <c r="M42" s="1" t="n">
        <v>629.06</v>
      </c>
      <c r="N42" s="1" t="s">
        <v>41</v>
      </c>
      <c r="P42" s="1" t="n">
        <v>1</v>
      </c>
      <c r="Q42" s="1" t="s">
        <v>155</v>
      </c>
      <c r="R42" s="1" t="s">
        <v>64</v>
      </c>
      <c r="S42" s="6" t="n">
        <v>46200</v>
      </c>
    </row>
    <row r="43" customFormat="false" ht="14.25" hidden="false" customHeight="true" outlineLevel="0" collapsed="false">
      <c r="A43" s="1" t="s">
        <v>303</v>
      </c>
      <c r="B43" s="1" t="s">
        <v>304</v>
      </c>
      <c r="C43" s="1" t="s">
        <v>182</v>
      </c>
      <c r="D43" s="1" t="s">
        <v>305</v>
      </c>
      <c r="E43" s="6" t="n">
        <v>46228</v>
      </c>
      <c r="F43" s="6" t="n">
        <v>46223</v>
      </c>
      <c r="G43" s="1" t="s">
        <v>70</v>
      </c>
      <c r="H43" s="1" t="s">
        <v>306</v>
      </c>
      <c r="I43" s="1" t="s">
        <v>307</v>
      </c>
      <c r="J43" s="1" t="n">
        <v>33392.43</v>
      </c>
      <c r="K43" s="1" t="n">
        <v>30986.35</v>
      </c>
      <c r="L43" s="1" t="n">
        <v>26241.99</v>
      </c>
      <c r="M43" s="1" t="n">
        <v>4744.36</v>
      </c>
      <c r="N43" s="1" t="s">
        <v>41</v>
      </c>
      <c r="P43" s="1" t="n">
        <v>6</v>
      </c>
      <c r="Q43" s="1" t="s">
        <v>155</v>
      </c>
      <c r="R43" s="1" t="s">
        <v>74</v>
      </c>
      <c r="S43" s="6" t="n">
        <v>46234</v>
      </c>
    </row>
    <row r="44" customFormat="false" ht="14.25" hidden="false" customHeight="true" outlineLevel="0" collapsed="false">
      <c r="A44" s="1" t="s">
        <v>308</v>
      </c>
      <c r="B44" s="1" t="s">
        <v>309</v>
      </c>
      <c r="C44" s="1" t="s">
        <v>310</v>
      </c>
      <c r="D44" s="1" t="s">
        <v>222</v>
      </c>
      <c r="E44" s="6" t="n">
        <v>46208</v>
      </c>
      <c r="F44" s="6" t="n">
        <v>46203</v>
      </c>
      <c r="G44" s="1" t="s">
        <v>38</v>
      </c>
      <c r="H44" s="1" t="s">
        <v>311</v>
      </c>
      <c r="I44" s="1" t="s">
        <v>312</v>
      </c>
      <c r="J44" s="1" t="n">
        <v>37877.83</v>
      </c>
      <c r="K44" s="1" t="n">
        <v>30831.97</v>
      </c>
      <c r="L44" s="1" t="n">
        <v>0</v>
      </c>
      <c r="M44" s="1" t="n">
        <v>30831.97</v>
      </c>
      <c r="N44" s="1" t="s">
        <v>111</v>
      </c>
      <c r="P44" s="1" t="n">
        <v>13</v>
      </c>
      <c r="Q44" s="1" t="s">
        <v>155</v>
      </c>
      <c r="R44" s="1" t="s">
        <v>74</v>
      </c>
    </row>
    <row r="45" customFormat="false" ht="14.25" hidden="false" customHeight="true" outlineLevel="0" collapsed="false">
      <c r="A45" s="1" t="s">
        <v>313</v>
      </c>
      <c r="B45" s="1" t="s">
        <v>314</v>
      </c>
      <c r="C45" s="1" t="s">
        <v>144</v>
      </c>
      <c r="D45" s="1" t="s">
        <v>315</v>
      </c>
      <c r="E45" s="6" t="n">
        <v>46043</v>
      </c>
      <c r="F45" s="6" t="n">
        <v>46042</v>
      </c>
      <c r="G45" s="1" t="s">
        <v>70</v>
      </c>
      <c r="H45" s="1" t="s">
        <v>316</v>
      </c>
      <c r="I45" s="1" t="s">
        <v>317</v>
      </c>
      <c r="J45" s="1" t="n">
        <v>36886.43</v>
      </c>
      <c r="K45" s="1" t="n">
        <v>25296.94</v>
      </c>
      <c r="L45" s="1" t="n">
        <v>0</v>
      </c>
      <c r="M45" s="1" t="n">
        <v>25296.94</v>
      </c>
      <c r="N45" s="1" t="s">
        <v>260</v>
      </c>
      <c r="P45" s="1" t="n">
        <v>1</v>
      </c>
      <c r="Q45" s="1" t="s">
        <v>42</v>
      </c>
      <c r="R45" s="1" t="s">
        <v>125</v>
      </c>
    </row>
    <row r="46" customFormat="false" ht="14.25" hidden="false" customHeight="true" outlineLevel="0" collapsed="false">
      <c r="A46" s="1" t="s">
        <v>318</v>
      </c>
      <c r="B46" s="1" t="s">
        <v>319</v>
      </c>
      <c r="C46" s="1" t="s">
        <v>310</v>
      </c>
      <c r="D46" s="1" t="s">
        <v>320</v>
      </c>
      <c r="E46" s="6" t="n">
        <v>46088</v>
      </c>
      <c r="F46" s="6" t="n">
        <v>46088</v>
      </c>
      <c r="G46" s="1" t="s">
        <v>70</v>
      </c>
      <c r="H46" s="1" t="s">
        <v>321</v>
      </c>
      <c r="I46" s="1" t="s">
        <v>322</v>
      </c>
      <c r="J46" s="1" t="n">
        <v>35629.62</v>
      </c>
      <c r="K46" s="1" t="n">
        <v>24813.95</v>
      </c>
      <c r="L46" s="1" t="n">
        <v>19563.96</v>
      </c>
      <c r="M46" s="1" t="n">
        <v>5249.99</v>
      </c>
      <c r="N46" s="1" t="s">
        <v>41</v>
      </c>
      <c r="P46" s="1" t="n">
        <v>6</v>
      </c>
      <c r="Q46" s="1" t="s">
        <v>155</v>
      </c>
      <c r="R46" s="1" t="s">
        <v>125</v>
      </c>
      <c r="S46" s="6" t="n">
        <v>46094</v>
      </c>
    </row>
    <row r="47" customFormat="false" ht="14.25" hidden="false" customHeight="true" outlineLevel="0" collapsed="false">
      <c r="A47" s="1" t="s">
        <v>323</v>
      </c>
      <c r="B47" s="1" t="s">
        <v>324</v>
      </c>
      <c r="C47" s="1" t="s">
        <v>325</v>
      </c>
      <c r="D47" s="1" t="s">
        <v>326</v>
      </c>
      <c r="E47" s="6" t="n">
        <v>46206</v>
      </c>
      <c r="F47" s="6" t="n">
        <v>46204</v>
      </c>
      <c r="G47" s="1" t="s">
        <v>49</v>
      </c>
      <c r="H47" s="1" t="s">
        <v>327</v>
      </c>
      <c r="I47" s="1" t="s">
        <v>328</v>
      </c>
      <c r="J47" s="1" t="n">
        <v>47870.89</v>
      </c>
      <c r="K47" s="1" t="n">
        <v>38592.64</v>
      </c>
      <c r="L47" s="1" t="n">
        <v>36530.43</v>
      </c>
      <c r="M47" s="1" t="n">
        <v>2062.21</v>
      </c>
      <c r="N47" s="1" t="s">
        <v>41</v>
      </c>
      <c r="P47" s="1" t="n">
        <v>3</v>
      </c>
      <c r="Q47" s="1" t="s">
        <v>155</v>
      </c>
      <c r="R47" s="1" t="s">
        <v>140</v>
      </c>
      <c r="S47" s="6" t="n">
        <v>46209</v>
      </c>
    </row>
    <row r="48" customFormat="false" ht="14.25" hidden="false" customHeight="true" outlineLevel="0" collapsed="false">
      <c r="A48" s="1" t="s">
        <v>329</v>
      </c>
      <c r="B48" s="1" t="s">
        <v>330</v>
      </c>
      <c r="C48" s="1" t="s">
        <v>273</v>
      </c>
      <c r="D48" s="1" t="s">
        <v>331</v>
      </c>
      <c r="E48" s="6" t="n">
        <v>46194</v>
      </c>
      <c r="F48" s="6" t="n">
        <v>46192</v>
      </c>
      <c r="G48" s="1" t="s">
        <v>108</v>
      </c>
      <c r="H48" s="1" t="s">
        <v>332</v>
      </c>
      <c r="I48" s="1" t="s">
        <v>333</v>
      </c>
      <c r="J48" s="1" t="n">
        <v>15031.93</v>
      </c>
      <c r="K48" s="1" t="n">
        <v>14056.24</v>
      </c>
      <c r="L48" s="1" t="n">
        <v>12714.86</v>
      </c>
      <c r="M48" s="1" t="n">
        <v>1341.38</v>
      </c>
      <c r="N48" s="1" t="s">
        <v>41</v>
      </c>
      <c r="P48" s="1" t="n">
        <v>8</v>
      </c>
      <c r="Q48" s="1" t="s">
        <v>63</v>
      </c>
      <c r="R48" s="1" t="s">
        <v>140</v>
      </c>
      <c r="S48" s="6" t="n">
        <v>46202</v>
      </c>
    </row>
    <row r="49" customFormat="false" ht="14.25" hidden="false" customHeight="true" outlineLevel="0" collapsed="false">
      <c r="A49" s="1" t="s">
        <v>334</v>
      </c>
      <c r="B49" s="1" t="s">
        <v>262</v>
      </c>
      <c r="C49" s="1" t="s">
        <v>335</v>
      </c>
      <c r="D49" s="1" t="s">
        <v>336</v>
      </c>
      <c r="E49" s="6" t="n">
        <v>46191</v>
      </c>
      <c r="F49" s="6" t="n">
        <v>46187</v>
      </c>
      <c r="G49" s="1" t="s">
        <v>70</v>
      </c>
      <c r="H49" s="1" t="s">
        <v>337</v>
      </c>
      <c r="I49" s="1" t="s">
        <v>338</v>
      </c>
      <c r="J49" s="1" t="n">
        <v>12569.44</v>
      </c>
      <c r="K49" s="1" t="n">
        <v>8320.51</v>
      </c>
      <c r="L49" s="1" t="n">
        <v>0</v>
      </c>
      <c r="M49" s="1" t="n">
        <v>8320.51</v>
      </c>
      <c r="N49" s="1" t="s">
        <v>52</v>
      </c>
      <c r="O49" s="1" t="s">
        <v>62</v>
      </c>
      <c r="P49" s="1" t="n">
        <v>6</v>
      </c>
      <c r="Q49" s="1" t="s">
        <v>63</v>
      </c>
      <c r="R49" s="1" t="s">
        <v>64</v>
      </c>
    </row>
    <row r="50" customFormat="false" ht="14.25" hidden="false" customHeight="true" outlineLevel="0" collapsed="false">
      <c r="A50" s="1" t="s">
        <v>339</v>
      </c>
      <c r="B50" s="1" t="s">
        <v>340</v>
      </c>
      <c r="C50" s="1" t="s">
        <v>176</v>
      </c>
      <c r="D50" s="1" t="s">
        <v>341</v>
      </c>
      <c r="E50" s="6" t="n">
        <v>46232</v>
      </c>
      <c r="F50" s="6" t="n">
        <v>46228</v>
      </c>
      <c r="G50" s="1" t="s">
        <v>108</v>
      </c>
      <c r="H50" s="1" t="s">
        <v>342</v>
      </c>
      <c r="I50" s="1" t="s">
        <v>343</v>
      </c>
      <c r="J50" s="1" t="n">
        <v>2670.66</v>
      </c>
      <c r="K50" s="1" t="n">
        <v>2455.63</v>
      </c>
      <c r="L50" s="1" t="n">
        <v>1959.91</v>
      </c>
      <c r="M50" s="1" t="n">
        <v>495.72</v>
      </c>
      <c r="N50" s="1" t="s">
        <v>41</v>
      </c>
      <c r="P50" s="1" t="n">
        <v>2</v>
      </c>
      <c r="Q50" s="1" t="s">
        <v>155</v>
      </c>
      <c r="R50" s="1" t="s">
        <v>74</v>
      </c>
      <c r="S50" s="6" t="n">
        <v>46234</v>
      </c>
    </row>
    <row r="51" customFormat="false" ht="14.25" hidden="false" customHeight="true" outlineLevel="0" collapsed="false">
      <c r="A51" s="1" t="s">
        <v>344</v>
      </c>
      <c r="B51" s="1" t="s">
        <v>345</v>
      </c>
      <c r="C51" s="1" t="s">
        <v>346</v>
      </c>
      <c r="D51" s="1" t="s">
        <v>347</v>
      </c>
      <c r="E51" s="6" t="n">
        <v>46185</v>
      </c>
      <c r="F51" s="6" t="n">
        <v>46184</v>
      </c>
      <c r="G51" s="1" t="s">
        <v>70</v>
      </c>
      <c r="H51" s="1" t="s">
        <v>348</v>
      </c>
      <c r="I51" s="1" t="s">
        <v>349</v>
      </c>
      <c r="J51" s="1" t="n">
        <v>21498.37</v>
      </c>
      <c r="K51" s="1" t="n">
        <v>14644.22</v>
      </c>
      <c r="L51" s="1" t="n">
        <v>0</v>
      </c>
      <c r="M51" s="1" t="n">
        <v>14644.22</v>
      </c>
      <c r="N51" s="1" t="s">
        <v>52</v>
      </c>
      <c r="O51" s="1" t="s">
        <v>53</v>
      </c>
      <c r="P51" s="1" t="n">
        <v>7</v>
      </c>
      <c r="Q51" s="1" t="s">
        <v>155</v>
      </c>
      <c r="R51" s="1" t="s">
        <v>54</v>
      </c>
    </row>
    <row r="52" customFormat="false" ht="14.25" hidden="false" customHeight="true" outlineLevel="0" collapsed="false">
      <c r="A52" s="1" t="s">
        <v>350</v>
      </c>
      <c r="B52" s="1" t="s">
        <v>351</v>
      </c>
      <c r="C52" s="1" t="s">
        <v>286</v>
      </c>
      <c r="D52" s="1" t="s">
        <v>250</v>
      </c>
      <c r="E52" s="6" t="n">
        <v>46070</v>
      </c>
      <c r="F52" s="6" t="n">
        <v>46068</v>
      </c>
      <c r="G52" s="1" t="s">
        <v>49</v>
      </c>
      <c r="H52" s="1" t="s">
        <v>352</v>
      </c>
      <c r="I52" s="1" t="s">
        <v>353</v>
      </c>
      <c r="J52" s="1" t="n">
        <v>28960.63</v>
      </c>
      <c r="K52" s="1" t="n">
        <v>20802.24</v>
      </c>
      <c r="L52" s="1" t="n">
        <v>16946.79</v>
      </c>
      <c r="M52" s="1" t="n">
        <v>3855.45</v>
      </c>
      <c r="N52" s="1" t="s">
        <v>41</v>
      </c>
      <c r="P52" s="1" t="n">
        <v>7</v>
      </c>
      <c r="Q52" s="1" t="s">
        <v>63</v>
      </c>
      <c r="R52" s="1" t="s">
        <v>74</v>
      </c>
      <c r="S52" s="6" t="n">
        <v>46077</v>
      </c>
    </row>
    <row r="53" customFormat="false" ht="14.25" hidden="false" customHeight="true" outlineLevel="0" collapsed="false">
      <c r="A53" s="1" t="s">
        <v>354</v>
      </c>
      <c r="B53" s="1" t="s">
        <v>355</v>
      </c>
      <c r="C53" s="1" t="s">
        <v>356</v>
      </c>
      <c r="D53" s="1" t="s">
        <v>48</v>
      </c>
      <c r="E53" s="6" t="n">
        <v>46057</v>
      </c>
      <c r="F53" s="6" t="n">
        <v>46053</v>
      </c>
      <c r="G53" s="1" t="s">
        <v>108</v>
      </c>
      <c r="H53" s="1" t="s">
        <v>357</v>
      </c>
      <c r="I53" s="1" t="s">
        <v>358</v>
      </c>
      <c r="J53" s="1" t="n">
        <v>36154.14</v>
      </c>
      <c r="K53" s="1" t="n">
        <v>24186.08</v>
      </c>
      <c r="L53" s="1" t="n">
        <v>22649.97</v>
      </c>
      <c r="M53" s="1" t="n">
        <v>1536.11</v>
      </c>
      <c r="N53" s="1" t="s">
        <v>41</v>
      </c>
      <c r="P53" s="1" t="n">
        <v>1</v>
      </c>
      <c r="Q53" s="1" t="s">
        <v>42</v>
      </c>
      <c r="R53" s="1" t="s">
        <v>54</v>
      </c>
      <c r="S53" s="6" t="n">
        <v>46058</v>
      </c>
    </row>
    <row r="54" customFormat="false" ht="14.25" hidden="false" customHeight="true" outlineLevel="0" collapsed="false">
      <c r="A54" s="1" t="s">
        <v>359</v>
      </c>
      <c r="B54" s="1" t="s">
        <v>360</v>
      </c>
      <c r="C54" s="1" t="s">
        <v>361</v>
      </c>
      <c r="D54" s="1" t="s">
        <v>362</v>
      </c>
      <c r="E54" s="6" t="n">
        <v>46098</v>
      </c>
      <c r="F54" s="6" t="n">
        <v>46095</v>
      </c>
      <c r="G54" s="1" t="s">
        <v>70</v>
      </c>
      <c r="H54" s="1" t="s">
        <v>363</v>
      </c>
      <c r="I54" s="1" t="s">
        <v>364</v>
      </c>
      <c r="J54" s="1" t="n">
        <v>41195.06</v>
      </c>
      <c r="K54" s="1" t="n">
        <v>27157.67</v>
      </c>
      <c r="L54" s="1" t="n">
        <v>21429.6</v>
      </c>
      <c r="M54" s="1" t="n">
        <v>5728.07</v>
      </c>
      <c r="N54" s="1" t="s">
        <v>41</v>
      </c>
      <c r="P54" s="1" t="n">
        <v>4</v>
      </c>
      <c r="Q54" s="1" t="s">
        <v>63</v>
      </c>
      <c r="R54" s="1" t="s">
        <v>74</v>
      </c>
      <c r="S54" s="6" t="n">
        <v>46102</v>
      </c>
    </row>
    <row r="55" customFormat="false" ht="14.25" hidden="false" customHeight="true" outlineLevel="0" collapsed="false">
      <c r="A55" s="1" t="s">
        <v>365</v>
      </c>
      <c r="B55" s="1" t="s">
        <v>366</v>
      </c>
      <c r="C55" s="1" t="s">
        <v>367</v>
      </c>
      <c r="D55" s="1" t="s">
        <v>368</v>
      </c>
      <c r="E55" s="6" t="n">
        <v>46231</v>
      </c>
      <c r="F55" s="6" t="n">
        <v>46226</v>
      </c>
      <c r="G55" s="1" t="s">
        <v>108</v>
      </c>
      <c r="H55" s="1" t="s">
        <v>369</v>
      </c>
      <c r="I55" s="1" t="s">
        <v>370</v>
      </c>
      <c r="J55" s="1" t="n">
        <v>47890.89</v>
      </c>
      <c r="K55" s="1" t="n">
        <v>31289.28</v>
      </c>
      <c r="L55" s="1" t="n">
        <v>0</v>
      </c>
      <c r="M55" s="1" t="n">
        <v>31289.28</v>
      </c>
      <c r="N55" s="1" t="s">
        <v>111</v>
      </c>
      <c r="P55" s="1" t="n">
        <v>12</v>
      </c>
      <c r="Q55" s="1" t="s">
        <v>42</v>
      </c>
      <c r="R55" s="1" t="s">
        <v>64</v>
      </c>
    </row>
    <row r="56" customFormat="false" ht="14.25" hidden="false" customHeight="true" outlineLevel="0" collapsed="false">
      <c r="A56" s="1" t="s">
        <v>371</v>
      </c>
      <c r="B56" s="1" t="s">
        <v>372</v>
      </c>
      <c r="C56" s="1" t="s">
        <v>68</v>
      </c>
      <c r="D56" s="1" t="s">
        <v>79</v>
      </c>
      <c r="E56" s="6" t="n">
        <v>46046</v>
      </c>
      <c r="F56" s="6" t="n">
        <v>46044</v>
      </c>
      <c r="G56" s="1" t="s">
        <v>70</v>
      </c>
      <c r="H56" s="1" t="s">
        <v>373</v>
      </c>
      <c r="I56" s="1" t="s">
        <v>374</v>
      </c>
      <c r="J56" s="1" t="n">
        <v>37200.81</v>
      </c>
      <c r="K56" s="1" t="n">
        <v>32282.16</v>
      </c>
      <c r="L56" s="1" t="n">
        <v>25920.45</v>
      </c>
      <c r="M56" s="1" t="n">
        <v>6361.71</v>
      </c>
      <c r="N56" s="1" t="s">
        <v>41</v>
      </c>
      <c r="P56" s="1" t="n">
        <v>3</v>
      </c>
      <c r="Q56" s="1" t="s">
        <v>155</v>
      </c>
      <c r="R56" s="1" t="s">
        <v>74</v>
      </c>
      <c r="S56" s="6" t="n">
        <v>46049</v>
      </c>
    </row>
    <row r="57" customFormat="false" ht="14.25" hidden="false" customHeight="true" outlineLevel="0" collapsed="false">
      <c r="A57" s="1" t="s">
        <v>375</v>
      </c>
      <c r="B57" s="1" t="s">
        <v>355</v>
      </c>
      <c r="C57" s="1" t="s">
        <v>376</v>
      </c>
      <c r="D57" s="1" t="s">
        <v>377</v>
      </c>
      <c r="E57" s="6" t="n">
        <v>46231</v>
      </c>
      <c r="F57" s="6" t="n">
        <v>46227</v>
      </c>
      <c r="G57" s="1" t="s">
        <v>108</v>
      </c>
      <c r="H57" s="1" t="s">
        <v>378</v>
      </c>
      <c r="I57" s="1" t="s">
        <v>379</v>
      </c>
      <c r="J57" s="1" t="n">
        <v>42643.69</v>
      </c>
      <c r="K57" s="1" t="n">
        <v>39646.31</v>
      </c>
      <c r="L57" s="1" t="n">
        <v>0</v>
      </c>
      <c r="M57" s="1" t="n">
        <v>39646.31</v>
      </c>
      <c r="N57" s="1" t="s">
        <v>52</v>
      </c>
      <c r="O57" s="1" t="s">
        <v>73</v>
      </c>
      <c r="P57" s="1" t="n">
        <v>8</v>
      </c>
      <c r="Q57" s="1" t="s">
        <v>155</v>
      </c>
      <c r="R57" s="1" t="s">
        <v>74</v>
      </c>
    </row>
    <row r="58" customFormat="false" ht="14.25" hidden="false" customHeight="true" outlineLevel="0" collapsed="false">
      <c r="A58" s="1" t="s">
        <v>380</v>
      </c>
      <c r="B58" s="1" t="s">
        <v>381</v>
      </c>
      <c r="C58" s="1" t="s">
        <v>376</v>
      </c>
      <c r="D58" s="1" t="s">
        <v>382</v>
      </c>
      <c r="E58" s="6" t="n">
        <v>46174</v>
      </c>
      <c r="F58" s="6" t="n">
        <v>46171</v>
      </c>
      <c r="G58" s="1" t="s">
        <v>108</v>
      </c>
      <c r="H58" s="1" t="s">
        <v>373</v>
      </c>
      <c r="I58" s="1" t="s">
        <v>383</v>
      </c>
      <c r="J58" s="1" t="n">
        <v>18178.35</v>
      </c>
      <c r="K58" s="1" t="n">
        <v>15476.84</v>
      </c>
      <c r="L58" s="1" t="n">
        <v>0</v>
      </c>
      <c r="M58" s="1" t="n">
        <v>15476.84</v>
      </c>
      <c r="N58" s="1" t="s">
        <v>260</v>
      </c>
      <c r="P58" s="1" t="n">
        <v>4</v>
      </c>
      <c r="Q58" s="1" t="s">
        <v>63</v>
      </c>
      <c r="R58" s="1" t="s">
        <v>43</v>
      </c>
    </row>
    <row r="59" customFormat="false" ht="14.25" hidden="false" customHeight="true" outlineLevel="0" collapsed="false">
      <c r="A59" s="1" t="s">
        <v>384</v>
      </c>
      <c r="B59" s="1" t="s">
        <v>385</v>
      </c>
      <c r="C59" s="1" t="s">
        <v>386</v>
      </c>
      <c r="D59" s="1" t="s">
        <v>387</v>
      </c>
      <c r="E59" s="6" t="n">
        <v>46111</v>
      </c>
      <c r="F59" s="6" t="n">
        <v>46107</v>
      </c>
      <c r="G59" s="1" t="s">
        <v>38</v>
      </c>
      <c r="H59" s="1" t="s">
        <v>388</v>
      </c>
      <c r="I59" s="1" t="s">
        <v>389</v>
      </c>
      <c r="J59" s="1" t="n">
        <v>34826.18</v>
      </c>
      <c r="K59" s="1" t="n">
        <v>24229.22</v>
      </c>
      <c r="L59" s="1" t="n">
        <v>0</v>
      </c>
      <c r="M59" s="1" t="n">
        <v>24229.22</v>
      </c>
      <c r="N59" s="1" t="s">
        <v>111</v>
      </c>
      <c r="P59" s="1" t="n">
        <v>13</v>
      </c>
      <c r="Q59" s="1" t="s">
        <v>155</v>
      </c>
      <c r="R59" s="1" t="s">
        <v>125</v>
      </c>
    </row>
    <row r="60" customFormat="false" ht="14.25" hidden="false" customHeight="true" outlineLevel="0" collapsed="false">
      <c r="A60" s="1" t="s">
        <v>390</v>
      </c>
      <c r="B60" s="1" t="s">
        <v>197</v>
      </c>
      <c r="C60" s="1" t="s">
        <v>129</v>
      </c>
      <c r="D60" s="1" t="s">
        <v>391</v>
      </c>
      <c r="E60" s="6" t="n">
        <v>46084</v>
      </c>
      <c r="F60" s="6" t="n">
        <v>46079</v>
      </c>
      <c r="G60" s="1" t="s">
        <v>49</v>
      </c>
      <c r="H60" s="1" t="s">
        <v>392</v>
      </c>
      <c r="I60" s="1" t="s">
        <v>393</v>
      </c>
      <c r="J60" s="1" t="n">
        <v>22088.14</v>
      </c>
      <c r="K60" s="1" t="n">
        <v>19924.23</v>
      </c>
      <c r="L60" s="1" t="n">
        <v>0</v>
      </c>
      <c r="M60" s="1" t="n">
        <v>19924.23</v>
      </c>
      <c r="N60" s="1" t="s">
        <v>111</v>
      </c>
      <c r="P60" s="1" t="n">
        <v>6</v>
      </c>
      <c r="Q60" s="1" t="s">
        <v>63</v>
      </c>
      <c r="R60" s="1" t="s">
        <v>64</v>
      </c>
    </row>
    <row r="61" customFormat="false" ht="14.25" hidden="false" customHeight="true" outlineLevel="0" collapsed="false">
      <c r="A61" s="1" t="s">
        <v>394</v>
      </c>
      <c r="B61" s="1" t="s">
        <v>395</v>
      </c>
      <c r="C61" s="1" t="s">
        <v>36</v>
      </c>
      <c r="D61" s="1" t="s">
        <v>396</v>
      </c>
      <c r="E61" s="6" t="n">
        <v>46051</v>
      </c>
      <c r="F61" s="6" t="n">
        <v>46050</v>
      </c>
      <c r="G61" s="1" t="s">
        <v>108</v>
      </c>
      <c r="H61" s="1" t="s">
        <v>397</v>
      </c>
      <c r="I61" s="1" t="s">
        <v>398</v>
      </c>
      <c r="J61" s="1" t="n">
        <v>4557.7</v>
      </c>
      <c r="K61" s="1" t="n">
        <v>3346.19</v>
      </c>
      <c r="L61" s="1" t="n">
        <v>0</v>
      </c>
      <c r="M61" s="1" t="n">
        <v>3346.19</v>
      </c>
      <c r="N61" s="1" t="s">
        <v>111</v>
      </c>
      <c r="P61" s="1" t="n">
        <v>6</v>
      </c>
      <c r="Q61" s="1" t="s">
        <v>155</v>
      </c>
      <c r="R61" s="1" t="s">
        <v>125</v>
      </c>
    </row>
    <row r="62" customFormat="false" ht="14.25" hidden="false" customHeight="true" outlineLevel="0" collapsed="false">
      <c r="A62" s="1" t="s">
        <v>399</v>
      </c>
      <c r="B62" s="1" t="s">
        <v>304</v>
      </c>
      <c r="C62" s="1" t="s">
        <v>85</v>
      </c>
      <c r="D62" s="1" t="s">
        <v>400</v>
      </c>
      <c r="E62" s="6" t="n">
        <v>46157</v>
      </c>
      <c r="F62" s="6" t="n">
        <v>46152</v>
      </c>
      <c r="G62" s="1" t="s">
        <v>49</v>
      </c>
      <c r="H62" s="1" t="s">
        <v>401</v>
      </c>
      <c r="I62" s="1" t="s">
        <v>402</v>
      </c>
      <c r="J62" s="1" t="n">
        <v>29303.58</v>
      </c>
      <c r="K62" s="1" t="n">
        <v>22608.89</v>
      </c>
      <c r="L62" s="1" t="n">
        <v>20291.68</v>
      </c>
      <c r="M62" s="1" t="n">
        <v>2317.21</v>
      </c>
      <c r="N62" s="1" t="s">
        <v>41</v>
      </c>
      <c r="P62" s="1" t="n">
        <v>1</v>
      </c>
      <c r="Q62" s="1" t="s">
        <v>63</v>
      </c>
      <c r="R62" s="1" t="s">
        <v>43</v>
      </c>
      <c r="S62" s="6" t="n">
        <v>46158</v>
      </c>
    </row>
    <row r="63" customFormat="false" ht="14.25" hidden="false" customHeight="true" outlineLevel="0" collapsed="false">
      <c r="A63" s="1" t="s">
        <v>403</v>
      </c>
      <c r="B63" s="1" t="s">
        <v>404</v>
      </c>
      <c r="C63" s="1" t="s">
        <v>106</v>
      </c>
      <c r="D63" s="1" t="s">
        <v>257</v>
      </c>
      <c r="E63" s="6" t="n">
        <v>46084</v>
      </c>
      <c r="F63" s="6" t="n">
        <v>46080</v>
      </c>
      <c r="G63" s="1" t="s">
        <v>108</v>
      </c>
      <c r="H63" s="1" t="s">
        <v>405</v>
      </c>
      <c r="I63" s="1" t="s">
        <v>406</v>
      </c>
      <c r="J63" s="1" t="n">
        <v>14904.46</v>
      </c>
      <c r="K63" s="1" t="n">
        <v>11765.73</v>
      </c>
      <c r="L63" s="1" t="n">
        <v>0</v>
      </c>
      <c r="M63" s="1" t="n">
        <v>11765.73</v>
      </c>
      <c r="N63" s="1" t="s">
        <v>111</v>
      </c>
      <c r="P63" s="1" t="n">
        <v>12</v>
      </c>
      <c r="Q63" s="1" t="s">
        <v>42</v>
      </c>
      <c r="R63" s="1" t="s">
        <v>74</v>
      </c>
    </row>
    <row r="64" customFormat="false" ht="14.25" hidden="false" customHeight="true" outlineLevel="0" collapsed="false">
      <c r="A64" s="1" t="s">
        <v>407</v>
      </c>
      <c r="B64" s="1" t="s">
        <v>408</v>
      </c>
      <c r="C64" s="1" t="s">
        <v>356</v>
      </c>
      <c r="D64" s="1" t="s">
        <v>368</v>
      </c>
      <c r="E64" s="6" t="n">
        <v>46069</v>
      </c>
      <c r="F64" s="6" t="n">
        <v>46065</v>
      </c>
      <c r="G64" s="1" t="s">
        <v>38</v>
      </c>
      <c r="H64" s="1" t="s">
        <v>409</v>
      </c>
      <c r="I64" s="1" t="s">
        <v>410</v>
      </c>
      <c r="J64" s="1" t="n">
        <v>8381.51</v>
      </c>
      <c r="K64" s="1" t="n">
        <v>6872.06</v>
      </c>
      <c r="L64" s="1" t="n">
        <v>6126.12</v>
      </c>
      <c r="M64" s="1" t="n">
        <v>745.94</v>
      </c>
      <c r="N64" s="1" t="s">
        <v>41</v>
      </c>
      <c r="P64" s="1" t="n">
        <v>3</v>
      </c>
      <c r="Q64" s="1" t="s">
        <v>155</v>
      </c>
      <c r="R64" s="1" t="s">
        <v>54</v>
      </c>
      <c r="S64" s="6" t="n">
        <v>46072</v>
      </c>
    </row>
    <row r="65" customFormat="false" ht="14.25" hidden="false" customHeight="true" outlineLevel="0" collapsed="false">
      <c r="A65" s="1" t="s">
        <v>411</v>
      </c>
      <c r="B65" s="1" t="s">
        <v>412</v>
      </c>
      <c r="C65" s="1" t="s">
        <v>413</v>
      </c>
      <c r="D65" s="1" t="s">
        <v>368</v>
      </c>
      <c r="E65" s="6" t="n">
        <v>46092</v>
      </c>
      <c r="F65" s="6" t="n">
        <v>46090</v>
      </c>
      <c r="G65" s="1" t="s">
        <v>108</v>
      </c>
      <c r="H65" s="1" t="s">
        <v>414</v>
      </c>
      <c r="I65" s="1" t="s">
        <v>415</v>
      </c>
      <c r="J65" s="1" t="n">
        <v>33594.99</v>
      </c>
      <c r="K65" s="1" t="n">
        <v>27056.25</v>
      </c>
      <c r="L65" s="1" t="n">
        <v>25645.68</v>
      </c>
      <c r="M65" s="1" t="n">
        <v>1410.57</v>
      </c>
      <c r="N65" s="1" t="s">
        <v>41</v>
      </c>
      <c r="P65" s="1" t="n">
        <v>7</v>
      </c>
      <c r="Q65" s="1" t="s">
        <v>155</v>
      </c>
      <c r="R65" s="1" t="s">
        <v>74</v>
      </c>
      <c r="S65" s="6" t="n">
        <v>46099</v>
      </c>
    </row>
    <row r="66" customFormat="false" ht="14.25" hidden="false" customHeight="true" outlineLevel="0" collapsed="false">
      <c r="A66" s="1" t="s">
        <v>416</v>
      </c>
      <c r="B66" s="1" t="s">
        <v>417</v>
      </c>
      <c r="C66" s="1" t="s">
        <v>58</v>
      </c>
      <c r="D66" s="1" t="s">
        <v>418</v>
      </c>
      <c r="E66" s="6" t="n">
        <v>46161</v>
      </c>
      <c r="F66" s="6" t="n">
        <v>46156</v>
      </c>
      <c r="G66" s="1" t="s">
        <v>108</v>
      </c>
      <c r="H66" s="1" t="s">
        <v>419</v>
      </c>
      <c r="I66" s="1" t="s">
        <v>420</v>
      </c>
      <c r="J66" s="1" t="n">
        <v>41826.18</v>
      </c>
      <c r="K66" s="1" t="n">
        <v>30491.07</v>
      </c>
      <c r="L66" s="1" t="n">
        <v>0</v>
      </c>
      <c r="M66" s="1" t="n">
        <v>30491.07</v>
      </c>
      <c r="N66" s="1" t="s">
        <v>52</v>
      </c>
      <c r="O66" s="1" t="s">
        <v>62</v>
      </c>
      <c r="P66" s="1" t="n">
        <v>3</v>
      </c>
      <c r="Q66" s="1" t="s">
        <v>63</v>
      </c>
      <c r="R66" s="1" t="s">
        <v>140</v>
      </c>
    </row>
    <row r="67" customFormat="false" ht="14.25" hidden="false" customHeight="true" outlineLevel="0" collapsed="false">
      <c r="A67" s="1" t="s">
        <v>421</v>
      </c>
      <c r="B67" s="1" t="s">
        <v>422</v>
      </c>
      <c r="C67" s="1" t="s">
        <v>158</v>
      </c>
      <c r="D67" s="1" t="s">
        <v>37</v>
      </c>
      <c r="E67" s="6" t="n">
        <v>46158</v>
      </c>
      <c r="F67" s="6" t="n">
        <v>46155</v>
      </c>
      <c r="G67" s="1" t="s">
        <v>38</v>
      </c>
      <c r="H67" s="1" t="s">
        <v>423</v>
      </c>
      <c r="I67" s="1" t="s">
        <v>424</v>
      </c>
      <c r="J67" s="1" t="n">
        <v>43452.11</v>
      </c>
      <c r="K67" s="1" t="n">
        <v>34590.42</v>
      </c>
      <c r="L67" s="1" t="n">
        <v>30111.91</v>
      </c>
      <c r="M67" s="1" t="n">
        <v>4478.51</v>
      </c>
      <c r="N67" s="1" t="s">
        <v>41</v>
      </c>
      <c r="P67" s="1" t="n">
        <v>1</v>
      </c>
      <c r="Q67" s="1" t="s">
        <v>42</v>
      </c>
      <c r="R67" s="1" t="s">
        <v>74</v>
      </c>
      <c r="S67" s="6" t="n">
        <v>46159</v>
      </c>
    </row>
    <row r="68" customFormat="false" ht="14.25" hidden="false" customHeight="true" outlineLevel="0" collapsed="false">
      <c r="A68" s="1" t="s">
        <v>425</v>
      </c>
      <c r="B68" s="1" t="s">
        <v>324</v>
      </c>
      <c r="C68" s="1" t="s">
        <v>215</v>
      </c>
      <c r="D68" s="1" t="s">
        <v>222</v>
      </c>
      <c r="E68" s="6" t="n">
        <v>46095</v>
      </c>
      <c r="F68" s="6" t="n">
        <v>46094</v>
      </c>
      <c r="G68" s="1" t="s">
        <v>108</v>
      </c>
      <c r="H68" s="1" t="s">
        <v>426</v>
      </c>
      <c r="I68" s="1" t="s">
        <v>427</v>
      </c>
      <c r="J68" s="1" t="n">
        <v>8289.19</v>
      </c>
      <c r="K68" s="1" t="n">
        <v>6885.05</v>
      </c>
      <c r="L68" s="1" t="n">
        <v>6569.98</v>
      </c>
      <c r="M68" s="1" t="n">
        <v>315.07</v>
      </c>
      <c r="N68" s="1" t="s">
        <v>41</v>
      </c>
      <c r="P68" s="1" t="n">
        <v>4</v>
      </c>
      <c r="Q68" s="1" t="s">
        <v>63</v>
      </c>
      <c r="R68" s="1" t="s">
        <v>140</v>
      </c>
      <c r="S68" s="6" t="n">
        <v>46099</v>
      </c>
    </row>
    <row r="69" customFormat="false" ht="14.25" hidden="false" customHeight="true" outlineLevel="0" collapsed="false">
      <c r="A69" s="1" t="s">
        <v>428</v>
      </c>
      <c r="B69" s="1" t="s">
        <v>429</v>
      </c>
      <c r="C69" s="1" t="s">
        <v>430</v>
      </c>
      <c r="D69" s="1" t="s">
        <v>431</v>
      </c>
      <c r="E69" s="6" t="n">
        <v>46175</v>
      </c>
      <c r="F69" s="6" t="n">
        <v>46174</v>
      </c>
      <c r="G69" s="1" t="s">
        <v>38</v>
      </c>
      <c r="H69" s="1" t="s">
        <v>432</v>
      </c>
      <c r="I69" s="1" t="s">
        <v>433</v>
      </c>
      <c r="J69" s="1" t="n">
        <v>20839.51</v>
      </c>
      <c r="K69" s="1" t="n">
        <v>15069.07</v>
      </c>
      <c r="L69" s="1" t="n">
        <v>0</v>
      </c>
      <c r="M69" s="1" t="n">
        <v>15069.07</v>
      </c>
      <c r="N69" s="1" t="s">
        <v>111</v>
      </c>
      <c r="P69" s="1" t="n">
        <v>6</v>
      </c>
      <c r="Q69" s="1" t="s">
        <v>155</v>
      </c>
      <c r="R69" s="1" t="s">
        <v>64</v>
      </c>
    </row>
    <row r="70" customFormat="false" ht="14.25" hidden="false" customHeight="true" outlineLevel="0" collapsed="false">
      <c r="A70" s="1" t="s">
        <v>434</v>
      </c>
      <c r="B70" s="1" t="s">
        <v>435</v>
      </c>
      <c r="C70" s="1" t="s">
        <v>436</v>
      </c>
      <c r="D70" s="1" t="s">
        <v>287</v>
      </c>
      <c r="E70" s="6" t="n">
        <v>46060</v>
      </c>
      <c r="F70" s="6" t="n">
        <v>46060</v>
      </c>
      <c r="G70" s="1" t="s">
        <v>49</v>
      </c>
      <c r="H70" s="1" t="s">
        <v>437</v>
      </c>
      <c r="I70" s="1" t="s">
        <v>438</v>
      </c>
      <c r="J70" s="1" t="n">
        <v>46161.12</v>
      </c>
      <c r="K70" s="1" t="n">
        <v>37159.34</v>
      </c>
      <c r="L70" s="1" t="n">
        <v>31636.13</v>
      </c>
      <c r="M70" s="1" t="n">
        <v>5523.21</v>
      </c>
      <c r="N70" s="1" t="s">
        <v>41</v>
      </c>
      <c r="P70" s="1" t="n">
        <v>1</v>
      </c>
      <c r="Q70" s="1" t="s">
        <v>63</v>
      </c>
      <c r="R70" s="1" t="s">
        <v>140</v>
      </c>
      <c r="S70" s="6" t="n">
        <v>46061</v>
      </c>
    </row>
    <row r="71" customFormat="false" ht="14.25" hidden="false" customHeight="true" outlineLevel="0" collapsed="false">
      <c r="A71" s="1" t="s">
        <v>439</v>
      </c>
      <c r="B71" s="1" t="s">
        <v>440</v>
      </c>
      <c r="C71" s="1" t="s">
        <v>85</v>
      </c>
      <c r="D71" s="1" t="s">
        <v>441</v>
      </c>
      <c r="E71" s="6" t="n">
        <v>46082</v>
      </c>
      <c r="F71" s="6" t="n">
        <v>46079</v>
      </c>
      <c r="G71" s="1" t="s">
        <v>70</v>
      </c>
      <c r="H71" s="1" t="s">
        <v>442</v>
      </c>
      <c r="I71" s="1" t="s">
        <v>443</v>
      </c>
      <c r="J71" s="1" t="n">
        <v>39833.5</v>
      </c>
      <c r="K71" s="1" t="n">
        <v>35696.23</v>
      </c>
      <c r="L71" s="1" t="n">
        <v>0</v>
      </c>
      <c r="M71" s="1" t="n">
        <v>35696.23</v>
      </c>
      <c r="N71" s="1" t="s">
        <v>111</v>
      </c>
      <c r="P71" s="1" t="n">
        <v>6</v>
      </c>
      <c r="Q71" s="1" t="s">
        <v>155</v>
      </c>
      <c r="R71" s="1" t="s">
        <v>43</v>
      </c>
    </row>
    <row r="72" customFormat="false" ht="14.25" hidden="false" customHeight="true" outlineLevel="0" collapsed="false">
      <c r="A72" s="1" t="s">
        <v>444</v>
      </c>
      <c r="B72" s="1" t="s">
        <v>445</v>
      </c>
      <c r="C72" s="1" t="s">
        <v>446</v>
      </c>
      <c r="D72" s="1" t="s">
        <v>189</v>
      </c>
      <c r="E72" s="6" t="n">
        <v>46122</v>
      </c>
      <c r="F72" s="6" t="n">
        <v>46121</v>
      </c>
      <c r="G72" s="1" t="s">
        <v>38</v>
      </c>
      <c r="H72" s="1" t="s">
        <v>447</v>
      </c>
      <c r="I72" s="1" t="s">
        <v>448</v>
      </c>
      <c r="J72" s="1" t="n">
        <v>10516.25</v>
      </c>
      <c r="K72" s="1" t="n">
        <v>9547.47</v>
      </c>
      <c r="L72" s="1" t="n">
        <v>8364.44</v>
      </c>
      <c r="M72" s="1" t="n">
        <v>1183.03</v>
      </c>
      <c r="N72" s="1" t="s">
        <v>41</v>
      </c>
      <c r="P72" s="1" t="n">
        <v>7</v>
      </c>
      <c r="Q72" s="1" t="s">
        <v>42</v>
      </c>
      <c r="R72" s="1" t="s">
        <v>64</v>
      </c>
      <c r="S72" s="6" t="n">
        <v>46129</v>
      </c>
    </row>
    <row r="73" customFormat="false" ht="14.25" hidden="false" customHeight="true" outlineLevel="0" collapsed="false">
      <c r="A73" s="1" t="s">
        <v>449</v>
      </c>
      <c r="B73" s="1" t="s">
        <v>450</v>
      </c>
      <c r="C73" s="1" t="s">
        <v>233</v>
      </c>
      <c r="D73" s="1" t="s">
        <v>274</v>
      </c>
      <c r="E73" s="6" t="n">
        <v>46215</v>
      </c>
      <c r="F73" s="6" t="n">
        <v>46215</v>
      </c>
      <c r="G73" s="1" t="s">
        <v>70</v>
      </c>
      <c r="H73" s="1" t="s">
        <v>451</v>
      </c>
      <c r="I73" s="1" t="s">
        <v>452</v>
      </c>
      <c r="J73" s="1" t="n">
        <v>33139.93</v>
      </c>
      <c r="K73" s="1" t="n">
        <v>30508.47</v>
      </c>
      <c r="L73" s="1" t="n">
        <v>26994.55</v>
      </c>
      <c r="M73" s="1" t="n">
        <v>3513.92</v>
      </c>
      <c r="N73" s="1" t="s">
        <v>41</v>
      </c>
      <c r="P73" s="1" t="n">
        <v>1</v>
      </c>
      <c r="Q73" s="1" t="s">
        <v>42</v>
      </c>
      <c r="R73" s="1" t="s">
        <v>64</v>
      </c>
      <c r="S73" s="6" t="n">
        <v>46216</v>
      </c>
    </row>
    <row r="74" customFormat="false" ht="14.25" hidden="false" customHeight="true" outlineLevel="0" collapsed="false">
      <c r="A74" s="1" t="s">
        <v>453</v>
      </c>
      <c r="B74" s="1" t="s">
        <v>454</v>
      </c>
      <c r="C74" s="1" t="s">
        <v>92</v>
      </c>
      <c r="D74" s="1" t="s">
        <v>387</v>
      </c>
      <c r="E74" s="6" t="n">
        <v>46133</v>
      </c>
      <c r="F74" s="6" t="n">
        <v>46132</v>
      </c>
      <c r="G74" s="1" t="s">
        <v>38</v>
      </c>
      <c r="H74" s="1" t="s">
        <v>455</v>
      </c>
      <c r="I74" s="1" t="s">
        <v>456</v>
      </c>
      <c r="J74" s="1" t="n">
        <v>24365.11</v>
      </c>
      <c r="K74" s="1" t="n">
        <v>21455.95</v>
      </c>
      <c r="L74" s="1" t="n">
        <v>0</v>
      </c>
      <c r="M74" s="1" t="n">
        <v>21455.95</v>
      </c>
      <c r="N74" s="1" t="s">
        <v>52</v>
      </c>
      <c r="O74" s="1" t="s">
        <v>73</v>
      </c>
      <c r="P74" s="1" t="n">
        <v>6</v>
      </c>
      <c r="Q74" s="1" t="s">
        <v>155</v>
      </c>
      <c r="R74" s="1" t="s">
        <v>125</v>
      </c>
    </row>
    <row r="75" customFormat="false" ht="14.25" hidden="false" customHeight="true" outlineLevel="0" collapsed="false">
      <c r="A75" s="1" t="s">
        <v>457</v>
      </c>
      <c r="B75" s="1" t="s">
        <v>458</v>
      </c>
      <c r="C75" s="1" t="s">
        <v>459</v>
      </c>
      <c r="D75" s="1" t="s">
        <v>234</v>
      </c>
      <c r="E75" s="6" t="n">
        <v>46046</v>
      </c>
      <c r="F75" s="6" t="n">
        <v>46044</v>
      </c>
      <c r="G75" s="1" t="s">
        <v>108</v>
      </c>
      <c r="H75" s="1" t="s">
        <v>460</v>
      </c>
      <c r="I75" s="1" t="s">
        <v>461</v>
      </c>
      <c r="J75" s="1" t="n">
        <v>27414.69</v>
      </c>
      <c r="K75" s="1" t="n">
        <v>19939.84</v>
      </c>
      <c r="L75" s="1" t="n">
        <v>0</v>
      </c>
      <c r="M75" s="1" t="n">
        <v>19939.84</v>
      </c>
      <c r="N75" s="1" t="s">
        <v>111</v>
      </c>
      <c r="P75" s="1" t="n">
        <v>4</v>
      </c>
      <c r="Q75" s="1" t="s">
        <v>63</v>
      </c>
      <c r="R75" s="1" t="s">
        <v>74</v>
      </c>
    </row>
    <row r="76" customFormat="false" ht="14.25" hidden="false" customHeight="true" outlineLevel="0" collapsed="false">
      <c r="A76" s="1" t="s">
        <v>462</v>
      </c>
      <c r="B76" s="1" t="s">
        <v>463</v>
      </c>
      <c r="C76" s="1" t="s">
        <v>85</v>
      </c>
      <c r="D76" s="1" t="s">
        <v>326</v>
      </c>
      <c r="E76" s="6" t="n">
        <v>46080</v>
      </c>
      <c r="F76" s="6" t="n">
        <v>46075</v>
      </c>
      <c r="G76" s="1" t="s">
        <v>49</v>
      </c>
      <c r="H76" s="1" t="s">
        <v>464</v>
      </c>
      <c r="I76" s="1" t="s">
        <v>465</v>
      </c>
      <c r="J76" s="1" t="n">
        <v>20737.83</v>
      </c>
      <c r="K76" s="1" t="n">
        <v>14142.68</v>
      </c>
      <c r="L76" s="1" t="n">
        <v>0</v>
      </c>
      <c r="M76" s="1" t="n">
        <v>14142.68</v>
      </c>
      <c r="N76" s="1" t="s">
        <v>52</v>
      </c>
      <c r="O76" s="1" t="s">
        <v>73</v>
      </c>
      <c r="P76" s="1" t="n">
        <v>7</v>
      </c>
      <c r="Q76" s="1" t="s">
        <v>42</v>
      </c>
      <c r="R76" s="1" t="s">
        <v>102</v>
      </c>
    </row>
    <row r="77" customFormat="false" ht="14.25" hidden="false" customHeight="true" outlineLevel="0" collapsed="false">
      <c r="A77" s="1" t="s">
        <v>466</v>
      </c>
      <c r="B77" s="1" t="s">
        <v>467</v>
      </c>
      <c r="C77" s="1" t="s">
        <v>468</v>
      </c>
      <c r="D77" s="1" t="s">
        <v>315</v>
      </c>
      <c r="E77" s="6" t="n">
        <v>46200</v>
      </c>
      <c r="F77" s="6" t="n">
        <v>46197</v>
      </c>
      <c r="G77" s="1" t="s">
        <v>49</v>
      </c>
      <c r="H77" s="1" t="s">
        <v>469</v>
      </c>
      <c r="I77" s="1" t="s">
        <v>470</v>
      </c>
      <c r="J77" s="1" t="n">
        <v>20954.79</v>
      </c>
      <c r="K77" s="1" t="n">
        <v>18547.85</v>
      </c>
      <c r="L77" s="1" t="n">
        <v>0</v>
      </c>
      <c r="M77" s="1" t="n">
        <v>18547.85</v>
      </c>
      <c r="N77" s="1" t="s">
        <v>52</v>
      </c>
      <c r="O77" s="1" t="s">
        <v>265</v>
      </c>
      <c r="P77" s="1" t="n">
        <v>8</v>
      </c>
      <c r="Q77" s="1" t="s">
        <v>42</v>
      </c>
      <c r="R77" s="1" t="s">
        <v>102</v>
      </c>
    </row>
    <row r="78" customFormat="false" ht="14.25" hidden="false" customHeight="true" outlineLevel="0" collapsed="false">
      <c r="A78" s="1" t="s">
        <v>471</v>
      </c>
      <c r="B78" s="1" t="s">
        <v>67</v>
      </c>
      <c r="C78" s="1" t="s">
        <v>221</v>
      </c>
      <c r="D78" s="1" t="s">
        <v>431</v>
      </c>
      <c r="E78" s="6" t="n">
        <v>46226</v>
      </c>
      <c r="F78" s="6" t="n">
        <v>46221</v>
      </c>
      <c r="G78" s="1" t="s">
        <v>108</v>
      </c>
      <c r="H78" s="1" t="s">
        <v>472</v>
      </c>
      <c r="I78" s="1" t="s">
        <v>473</v>
      </c>
      <c r="J78" s="1" t="n">
        <v>7334.39</v>
      </c>
      <c r="K78" s="1" t="n">
        <v>6668.05</v>
      </c>
      <c r="L78" s="1" t="n">
        <v>5199.55</v>
      </c>
      <c r="M78" s="1" t="n">
        <v>1468.5</v>
      </c>
      <c r="N78" s="1" t="s">
        <v>41</v>
      </c>
      <c r="P78" s="1" t="n">
        <v>4</v>
      </c>
      <c r="Q78" s="1" t="s">
        <v>63</v>
      </c>
      <c r="R78" s="1" t="s">
        <v>125</v>
      </c>
      <c r="S78" s="6" t="n">
        <v>46230</v>
      </c>
    </row>
    <row r="79" customFormat="false" ht="14.25" hidden="false" customHeight="true" outlineLevel="0" collapsed="false">
      <c r="A79" s="1" t="s">
        <v>474</v>
      </c>
      <c r="B79" s="1" t="s">
        <v>475</v>
      </c>
      <c r="C79" s="1" t="s">
        <v>436</v>
      </c>
      <c r="D79" s="1" t="s">
        <v>476</v>
      </c>
      <c r="E79" s="6" t="n">
        <v>46113</v>
      </c>
      <c r="F79" s="6" t="n">
        <v>46109</v>
      </c>
      <c r="G79" s="1" t="s">
        <v>49</v>
      </c>
      <c r="H79" s="1" t="s">
        <v>477</v>
      </c>
      <c r="I79" s="1" t="s">
        <v>478</v>
      </c>
      <c r="J79" s="1" t="n">
        <v>34385.94</v>
      </c>
      <c r="K79" s="1" t="n">
        <v>22887.83</v>
      </c>
      <c r="L79" s="1" t="n">
        <v>0</v>
      </c>
      <c r="M79" s="1" t="n">
        <v>22887.83</v>
      </c>
      <c r="N79" s="1" t="s">
        <v>111</v>
      </c>
      <c r="P79" s="1" t="n">
        <v>10</v>
      </c>
      <c r="Q79" s="1" t="s">
        <v>155</v>
      </c>
      <c r="R79" s="1" t="s">
        <v>54</v>
      </c>
    </row>
    <row r="80" customFormat="false" ht="14.25" hidden="false" customHeight="true" outlineLevel="0" collapsed="false">
      <c r="A80" s="1" t="s">
        <v>479</v>
      </c>
      <c r="B80" s="1" t="s">
        <v>480</v>
      </c>
      <c r="C80" s="1" t="s">
        <v>376</v>
      </c>
      <c r="D80" s="1" t="s">
        <v>481</v>
      </c>
      <c r="E80" s="6" t="n">
        <v>46091</v>
      </c>
      <c r="F80" s="6" t="n">
        <v>46090</v>
      </c>
      <c r="G80" s="1" t="s">
        <v>108</v>
      </c>
      <c r="H80" s="1" t="s">
        <v>482</v>
      </c>
      <c r="I80" s="1" t="s">
        <v>483</v>
      </c>
      <c r="J80" s="1" t="n">
        <v>30646.93</v>
      </c>
      <c r="K80" s="1" t="n">
        <v>26581.57</v>
      </c>
      <c r="L80" s="1" t="n">
        <v>26120.94</v>
      </c>
      <c r="M80" s="1" t="n">
        <v>460.63</v>
      </c>
      <c r="N80" s="1" t="s">
        <v>41</v>
      </c>
      <c r="P80" s="1" t="n">
        <v>7</v>
      </c>
      <c r="Q80" s="1" t="s">
        <v>42</v>
      </c>
      <c r="R80" s="1" t="s">
        <v>43</v>
      </c>
      <c r="S80" s="6" t="n">
        <v>46098</v>
      </c>
    </row>
    <row r="81" customFormat="false" ht="14.25" hidden="false" customHeight="true" outlineLevel="0" collapsed="false">
      <c r="A81" s="1" t="s">
        <v>484</v>
      </c>
      <c r="B81" s="1" t="s">
        <v>440</v>
      </c>
      <c r="C81" s="1" t="s">
        <v>233</v>
      </c>
      <c r="D81" s="1" t="s">
        <v>485</v>
      </c>
      <c r="E81" s="6" t="n">
        <v>46135</v>
      </c>
      <c r="F81" s="6" t="n">
        <v>46135</v>
      </c>
      <c r="G81" s="1" t="s">
        <v>38</v>
      </c>
      <c r="H81" s="1" t="s">
        <v>486</v>
      </c>
      <c r="I81" s="1" t="s">
        <v>487</v>
      </c>
      <c r="J81" s="1" t="n">
        <v>33015.77</v>
      </c>
      <c r="K81" s="1" t="n">
        <v>29422.76</v>
      </c>
      <c r="L81" s="1" t="n">
        <v>24170.85</v>
      </c>
      <c r="M81" s="1" t="n">
        <v>5251.91</v>
      </c>
      <c r="N81" s="1" t="s">
        <v>41</v>
      </c>
      <c r="P81" s="1" t="n">
        <v>1</v>
      </c>
      <c r="Q81" s="1" t="s">
        <v>42</v>
      </c>
      <c r="R81" s="1" t="s">
        <v>54</v>
      </c>
      <c r="S81" s="6" t="n">
        <v>46136</v>
      </c>
    </row>
    <row r="82" customFormat="false" ht="14.25" hidden="false" customHeight="true" outlineLevel="0" collapsed="false">
      <c r="A82" s="1" t="s">
        <v>488</v>
      </c>
      <c r="B82" s="1" t="s">
        <v>489</v>
      </c>
      <c r="C82" s="1" t="s">
        <v>356</v>
      </c>
      <c r="D82" s="1" t="s">
        <v>377</v>
      </c>
      <c r="E82" s="6" t="n">
        <v>46116</v>
      </c>
      <c r="F82" s="6" t="n">
        <v>46115</v>
      </c>
      <c r="G82" s="1" t="s">
        <v>49</v>
      </c>
      <c r="H82" s="1" t="s">
        <v>490</v>
      </c>
      <c r="I82" s="1" t="s">
        <v>491</v>
      </c>
      <c r="J82" s="1" t="n">
        <v>48794.47</v>
      </c>
      <c r="K82" s="1" t="n">
        <v>32987.64</v>
      </c>
      <c r="L82" s="1" t="n">
        <v>0</v>
      </c>
      <c r="M82" s="1" t="n">
        <v>32987.64</v>
      </c>
      <c r="N82" s="1" t="s">
        <v>111</v>
      </c>
      <c r="P82" s="1" t="n">
        <v>8</v>
      </c>
      <c r="Q82" s="1" t="s">
        <v>42</v>
      </c>
      <c r="R82" s="1" t="s">
        <v>54</v>
      </c>
    </row>
    <row r="83" customFormat="false" ht="14.25" hidden="false" customHeight="true" outlineLevel="0" collapsed="false">
      <c r="A83" s="1" t="s">
        <v>492</v>
      </c>
      <c r="B83" s="1" t="s">
        <v>493</v>
      </c>
      <c r="C83" s="1" t="s">
        <v>144</v>
      </c>
      <c r="D83" s="1" t="s">
        <v>79</v>
      </c>
      <c r="E83" s="6" t="n">
        <v>46216</v>
      </c>
      <c r="F83" s="6" t="n">
        <v>46211</v>
      </c>
      <c r="G83" s="1" t="s">
        <v>38</v>
      </c>
      <c r="H83" s="1" t="s">
        <v>494</v>
      </c>
      <c r="I83" s="1" t="s">
        <v>495</v>
      </c>
      <c r="J83" s="1" t="n">
        <v>4963.21</v>
      </c>
      <c r="K83" s="1" t="n">
        <v>3649.69</v>
      </c>
      <c r="L83" s="1" t="n">
        <v>3494.36</v>
      </c>
      <c r="M83" s="1" t="n">
        <v>155.33</v>
      </c>
      <c r="N83" s="1" t="s">
        <v>41</v>
      </c>
      <c r="P83" s="1" t="n">
        <v>6</v>
      </c>
      <c r="Q83" s="1" t="s">
        <v>42</v>
      </c>
      <c r="R83" s="1" t="s">
        <v>54</v>
      </c>
      <c r="S83" s="6" t="n">
        <v>46222</v>
      </c>
    </row>
    <row r="84" customFormat="false" ht="14.25" hidden="false" customHeight="true" outlineLevel="0" collapsed="false">
      <c r="A84" s="1" t="s">
        <v>496</v>
      </c>
      <c r="B84" s="1" t="s">
        <v>497</v>
      </c>
      <c r="C84" s="1" t="s">
        <v>85</v>
      </c>
      <c r="D84" s="1" t="s">
        <v>326</v>
      </c>
      <c r="E84" s="6" t="n">
        <v>46090</v>
      </c>
      <c r="F84" s="6" t="n">
        <v>46089</v>
      </c>
      <c r="G84" s="1" t="s">
        <v>70</v>
      </c>
      <c r="H84" s="1" t="s">
        <v>498</v>
      </c>
      <c r="I84" s="1" t="s">
        <v>499</v>
      </c>
      <c r="J84" s="1" t="n">
        <v>5770.02</v>
      </c>
      <c r="K84" s="1" t="n">
        <v>3875.81</v>
      </c>
      <c r="L84" s="1" t="n">
        <v>3191.97</v>
      </c>
      <c r="M84" s="1" t="n">
        <v>683.84</v>
      </c>
      <c r="N84" s="1" t="s">
        <v>41</v>
      </c>
      <c r="P84" s="1" t="n">
        <v>2</v>
      </c>
      <c r="Q84" s="1" t="s">
        <v>63</v>
      </c>
      <c r="R84" s="1" t="s">
        <v>64</v>
      </c>
      <c r="S84" s="6" t="n">
        <v>46092</v>
      </c>
    </row>
    <row r="85" customFormat="false" ht="14.25" hidden="false" customHeight="true" outlineLevel="0" collapsed="false">
      <c r="A85" s="1" t="s">
        <v>500</v>
      </c>
      <c r="B85" s="1" t="s">
        <v>226</v>
      </c>
      <c r="C85" s="1" t="s">
        <v>129</v>
      </c>
      <c r="D85" s="1" t="s">
        <v>501</v>
      </c>
      <c r="E85" s="6" t="n">
        <v>46147</v>
      </c>
      <c r="F85" s="6" t="n">
        <v>46146</v>
      </c>
      <c r="G85" s="1" t="s">
        <v>70</v>
      </c>
      <c r="H85" s="1" t="s">
        <v>502</v>
      </c>
      <c r="I85" s="1" t="s">
        <v>503</v>
      </c>
      <c r="J85" s="1" t="n">
        <v>48081.32</v>
      </c>
      <c r="K85" s="1" t="n">
        <v>37871.47</v>
      </c>
      <c r="L85" s="1" t="n">
        <v>0</v>
      </c>
      <c r="M85" s="1" t="n">
        <v>37871.47</v>
      </c>
      <c r="N85" s="1" t="s">
        <v>52</v>
      </c>
      <c r="O85" s="1" t="s">
        <v>73</v>
      </c>
      <c r="P85" s="1" t="n">
        <v>8</v>
      </c>
      <c r="Q85" s="1" t="s">
        <v>42</v>
      </c>
      <c r="R85" s="1" t="s">
        <v>125</v>
      </c>
    </row>
    <row r="86" customFormat="false" ht="14.25" hidden="false" customHeight="true" outlineLevel="0" collapsed="false">
      <c r="A86" s="1" t="s">
        <v>504</v>
      </c>
      <c r="B86" s="1" t="s">
        <v>505</v>
      </c>
      <c r="C86" s="1" t="s">
        <v>325</v>
      </c>
      <c r="D86" s="1" t="s">
        <v>305</v>
      </c>
      <c r="E86" s="6" t="n">
        <v>46084</v>
      </c>
      <c r="F86" s="6" t="n">
        <v>46079</v>
      </c>
      <c r="G86" s="1" t="s">
        <v>70</v>
      </c>
      <c r="H86" s="1" t="s">
        <v>506</v>
      </c>
      <c r="I86" s="1" t="s">
        <v>507</v>
      </c>
      <c r="J86" s="1" t="n">
        <v>40107.99</v>
      </c>
      <c r="K86" s="1" t="n">
        <v>31032.67</v>
      </c>
      <c r="L86" s="1" t="n">
        <v>0</v>
      </c>
      <c r="M86" s="1" t="n">
        <v>31032.67</v>
      </c>
      <c r="N86" s="1" t="s">
        <v>111</v>
      </c>
      <c r="P86" s="1" t="n">
        <v>9</v>
      </c>
      <c r="Q86" s="1" t="s">
        <v>155</v>
      </c>
      <c r="R86" s="1" t="s">
        <v>43</v>
      </c>
    </row>
    <row r="87" customFormat="false" ht="14.25" hidden="false" customHeight="true" outlineLevel="0" collapsed="false">
      <c r="A87" s="1" t="s">
        <v>508</v>
      </c>
      <c r="B87" s="1" t="s">
        <v>509</v>
      </c>
      <c r="C87" s="1" t="s">
        <v>510</v>
      </c>
      <c r="D87" s="1" t="s">
        <v>511</v>
      </c>
      <c r="E87" s="6" t="n">
        <v>46200</v>
      </c>
      <c r="F87" s="6" t="n">
        <v>46195</v>
      </c>
      <c r="G87" s="1" t="s">
        <v>70</v>
      </c>
      <c r="H87" s="1" t="s">
        <v>512</v>
      </c>
      <c r="I87" s="1" t="s">
        <v>513</v>
      </c>
      <c r="J87" s="1" t="n">
        <v>4263.43</v>
      </c>
      <c r="K87" s="1" t="n">
        <v>3962.51</v>
      </c>
      <c r="L87" s="1" t="n">
        <v>0</v>
      </c>
      <c r="M87" s="1" t="n">
        <v>3962.51</v>
      </c>
      <c r="N87" s="1" t="s">
        <v>52</v>
      </c>
      <c r="O87" s="1" t="s">
        <v>230</v>
      </c>
      <c r="P87" s="1" t="n">
        <v>8</v>
      </c>
      <c r="Q87" s="1" t="s">
        <v>63</v>
      </c>
      <c r="R87" s="1" t="s">
        <v>74</v>
      </c>
    </row>
    <row r="88" customFormat="false" ht="14.25" hidden="false" customHeight="true" outlineLevel="0" collapsed="false">
      <c r="A88" s="1" t="s">
        <v>514</v>
      </c>
      <c r="B88" s="1" t="s">
        <v>515</v>
      </c>
      <c r="C88" s="1" t="s">
        <v>516</v>
      </c>
      <c r="D88" s="1" t="s">
        <v>291</v>
      </c>
      <c r="E88" s="6" t="n">
        <v>46075</v>
      </c>
      <c r="F88" s="6" t="n">
        <v>46074</v>
      </c>
      <c r="G88" s="1" t="s">
        <v>38</v>
      </c>
      <c r="H88" s="1" t="s">
        <v>517</v>
      </c>
      <c r="I88" s="1" t="s">
        <v>518</v>
      </c>
      <c r="J88" s="1" t="n">
        <v>43700.75</v>
      </c>
      <c r="K88" s="1" t="n">
        <v>31116.4</v>
      </c>
      <c r="L88" s="1" t="n">
        <v>0</v>
      </c>
      <c r="M88" s="1" t="n">
        <v>31116.4</v>
      </c>
      <c r="N88" s="1" t="s">
        <v>111</v>
      </c>
      <c r="P88" s="1" t="n">
        <v>7</v>
      </c>
      <c r="Q88" s="1" t="s">
        <v>155</v>
      </c>
      <c r="R88" s="1" t="s">
        <v>54</v>
      </c>
    </row>
    <row r="89" customFormat="false" ht="14.25" hidden="false" customHeight="true" outlineLevel="0" collapsed="false">
      <c r="A89" s="1" t="s">
        <v>519</v>
      </c>
      <c r="B89" s="1" t="s">
        <v>214</v>
      </c>
      <c r="C89" s="1" t="s">
        <v>516</v>
      </c>
      <c r="D89" s="1" t="s">
        <v>520</v>
      </c>
      <c r="E89" s="6" t="n">
        <v>46201</v>
      </c>
      <c r="F89" s="6" t="n">
        <v>46196</v>
      </c>
      <c r="G89" s="1" t="s">
        <v>49</v>
      </c>
      <c r="H89" s="1" t="s">
        <v>521</v>
      </c>
      <c r="I89" s="1" t="s">
        <v>522</v>
      </c>
      <c r="J89" s="1" t="n">
        <v>827.87</v>
      </c>
      <c r="K89" s="1" t="n">
        <v>750.98</v>
      </c>
      <c r="L89" s="1" t="n">
        <v>743.09</v>
      </c>
      <c r="M89" s="1" t="n">
        <v>7.89</v>
      </c>
      <c r="N89" s="1" t="s">
        <v>41</v>
      </c>
      <c r="P89" s="1" t="n">
        <v>8</v>
      </c>
      <c r="Q89" s="1" t="s">
        <v>63</v>
      </c>
      <c r="R89" s="1" t="s">
        <v>140</v>
      </c>
      <c r="S89" s="6" t="n">
        <v>46209</v>
      </c>
    </row>
    <row r="90" customFormat="false" ht="14.25" hidden="false" customHeight="true" outlineLevel="0" collapsed="false">
      <c r="A90" s="1" t="s">
        <v>523</v>
      </c>
      <c r="B90" s="1" t="s">
        <v>524</v>
      </c>
      <c r="C90" s="1" t="s">
        <v>325</v>
      </c>
      <c r="D90" s="1" t="s">
        <v>152</v>
      </c>
      <c r="E90" s="6" t="n">
        <v>46222</v>
      </c>
      <c r="F90" s="6" t="n">
        <v>46218</v>
      </c>
      <c r="G90" s="1" t="s">
        <v>70</v>
      </c>
      <c r="H90" s="1" t="s">
        <v>525</v>
      </c>
      <c r="I90" s="1" t="s">
        <v>526</v>
      </c>
      <c r="J90" s="1" t="n">
        <v>11493.59</v>
      </c>
      <c r="K90" s="1" t="n">
        <v>9459.22</v>
      </c>
      <c r="L90" s="1" t="n">
        <v>7222.46</v>
      </c>
      <c r="M90" s="1" t="n">
        <v>2236.76</v>
      </c>
      <c r="N90" s="1" t="s">
        <v>41</v>
      </c>
      <c r="P90" s="1" t="n">
        <v>7</v>
      </c>
      <c r="Q90" s="1" t="s">
        <v>63</v>
      </c>
      <c r="R90" s="1" t="s">
        <v>54</v>
      </c>
      <c r="S90" s="6" t="n">
        <v>46229</v>
      </c>
    </row>
    <row r="91" customFormat="false" ht="14.25" hidden="false" customHeight="true" outlineLevel="0" collapsed="false">
      <c r="A91" s="1" t="s">
        <v>527</v>
      </c>
      <c r="B91" s="1" t="s">
        <v>528</v>
      </c>
      <c r="C91" s="1" t="s">
        <v>58</v>
      </c>
      <c r="D91" s="1" t="s">
        <v>529</v>
      </c>
      <c r="E91" s="6" t="n">
        <v>46205</v>
      </c>
      <c r="F91" s="6" t="n">
        <v>46201</v>
      </c>
      <c r="G91" s="1" t="s">
        <v>70</v>
      </c>
      <c r="H91" s="1" t="s">
        <v>530</v>
      </c>
      <c r="I91" s="1" t="s">
        <v>531</v>
      </c>
      <c r="J91" s="1" t="n">
        <v>34615.92</v>
      </c>
      <c r="K91" s="1" t="n">
        <v>22623.1</v>
      </c>
      <c r="L91" s="1" t="n">
        <v>18159.29</v>
      </c>
      <c r="M91" s="1" t="n">
        <v>4463.81</v>
      </c>
      <c r="N91" s="1" t="s">
        <v>41</v>
      </c>
      <c r="P91" s="1" t="n">
        <v>2</v>
      </c>
      <c r="Q91" s="1" t="s">
        <v>63</v>
      </c>
      <c r="R91" s="1" t="s">
        <v>140</v>
      </c>
      <c r="S91" s="6" t="n">
        <v>46207</v>
      </c>
    </row>
    <row r="92" customFormat="false" ht="14.25" hidden="false" customHeight="true" outlineLevel="0" collapsed="false">
      <c r="A92" s="1" t="s">
        <v>532</v>
      </c>
      <c r="B92" s="1" t="s">
        <v>533</v>
      </c>
      <c r="C92" s="1" t="s">
        <v>136</v>
      </c>
      <c r="D92" s="1" t="s">
        <v>485</v>
      </c>
      <c r="E92" s="6" t="n">
        <v>46094</v>
      </c>
      <c r="F92" s="6" t="n">
        <v>46091</v>
      </c>
      <c r="G92" s="1" t="s">
        <v>70</v>
      </c>
      <c r="H92" s="1" t="s">
        <v>534</v>
      </c>
      <c r="I92" s="1" t="s">
        <v>535</v>
      </c>
      <c r="J92" s="1" t="n">
        <v>17483.27</v>
      </c>
      <c r="K92" s="1" t="n">
        <v>12328.75</v>
      </c>
      <c r="L92" s="1" t="n">
        <v>0</v>
      </c>
      <c r="M92" s="1" t="n">
        <v>12328.75</v>
      </c>
      <c r="N92" s="1" t="s">
        <v>260</v>
      </c>
      <c r="P92" s="1" t="n">
        <v>7</v>
      </c>
      <c r="Q92" s="1" t="s">
        <v>63</v>
      </c>
      <c r="R92" s="1" t="s">
        <v>43</v>
      </c>
    </row>
    <row r="93" customFormat="false" ht="14.25" hidden="false" customHeight="true" outlineLevel="0" collapsed="false">
      <c r="A93" s="1" t="s">
        <v>536</v>
      </c>
      <c r="B93" s="1" t="s">
        <v>537</v>
      </c>
      <c r="C93" s="1" t="s">
        <v>468</v>
      </c>
      <c r="D93" s="1" t="s">
        <v>538</v>
      </c>
      <c r="E93" s="6" t="n">
        <v>46073</v>
      </c>
      <c r="F93" s="6" t="n">
        <v>46069</v>
      </c>
      <c r="G93" s="1" t="s">
        <v>49</v>
      </c>
      <c r="H93" s="1" t="s">
        <v>539</v>
      </c>
      <c r="I93" s="1" t="s">
        <v>540</v>
      </c>
      <c r="J93" s="1" t="n">
        <v>29006.69</v>
      </c>
      <c r="K93" s="1" t="n">
        <v>20843.34</v>
      </c>
      <c r="L93" s="1" t="n">
        <v>16152.91</v>
      </c>
      <c r="M93" s="1" t="n">
        <v>4690.43</v>
      </c>
      <c r="N93" s="1" t="s">
        <v>41</v>
      </c>
      <c r="P93" s="1" t="n">
        <v>5</v>
      </c>
      <c r="Q93" s="1" t="s">
        <v>42</v>
      </c>
      <c r="R93" s="1" t="s">
        <v>140</v>
      </c>
      <c r="S93" s="6" t="n">
        <v>46078</v>
      </c>
    </row>
    <row r="94" customFormat="false" ht="14.25" hidden="false" customHeight="true" outlineLevel="0" collapsed="false">
      <c r="A94" s="1" t="s">
        <v>541</v>
      </c>
      <c r="B94" s="1" t="s">
        <v>542</v>
      </c>
      <c r="C94" s="1" t="s">
        <v>543</v>
      </c>
      <c r="D94" s="1" t="s">
        <v>336</v>
      </c>
      <c r="E94" s="6" t="n">
        <v>46144</v>
      </c>
      <c r="F94" s="6" t="n">
        <v>46144</v>
      </c>
      <c r="G94" s="1" t="s">
        <v>108</v>
      </c>
      <c r="H94" s="1" t="s">
        <v>544</v>
      </c>
      <c r="I94" s="1" t="s">
        <v>545</v>
      </c>
      <c r="J94" s="1" t="n">
        <v>25230.09</v>
      </c>
      <c r="K94" s="1" t="n">
        <v>23934.99</v>
      </c>
      <c r="L94" s="1" t="n">
        <v>23033.78</v>
      </c>
      <c r="M94" s="1" t="n">
        <v>901.21</v>
      </c>
      <c r="N94" s="1" t="s">
        <v>41</v>
      </c>
      <c r="P94" s="1" t="n">
        <v>6</v>
      </c>
      <c r="Q94" s="1" t="s">
        <v>42</v>
      </c>
      <c r="R94" s="1" t="s">
        <v>140</v>
      </c>
      <c r="S94" s="6" t="n">
        <v>46150</v>
      </c>
    </row>
    <row r="95" customFormat="false" ht="14.25" hidden="false" customHeight="true" outlineLevel="0" collapsed="false">
      <c r="A95" s="1" t="s">
        <v>546</v>
      </c>
      <c r="B95" s="1" t="s">
        <v>547</v>
      </c>
      <c r="C95" s="1" t="s">
        <v>58</v>
      </c>
      <c r="D95" s="1" t="s">
        <v>257</v>
      </c>
      <c r="E95" s="6" t="n">
        <v>46039</v>
      </c>
      <c r="F95" s="6" t="n">
        <v>46038</v>
      </c>
      <c r="G95" s="1" t="s">
        <v>70</v>
      </c>
      <c r="H95" s="1" t="s">
        <v>71</v>
      </c>
      <c r="I95" s="1" t="s">
        <v>548</v>
      </c>
      <c r="J95" s="1" t="n">
        <v>24088.7</v>
      </c>
      <c r="K95" s="1" t="n">
        <v>20209.42</v>
      </c>
      <c r="L95" s="1" t="n">
        <v>0</v>
      </c>
      <c r="M95" s="1" t="n">
        <v>20209.42</v>
      </c>
      <c r="N95" s="1" t="s">
        <v>52</v>
      </c>
      <c r="O95" s="1" t="s">
        <v>230</v>
      </c>
      <c r="P95" s="1" t="n">
        <v>8</v>
      </c>
      <c r="Q95" s="1" t="s">
        <v>63</v>
      </c>
      <c r="R95" s="1" t="s">
        <v>54</v>
      </c>
    </row>
    <row r="96" customFormat="false" ht="14.25" hidden="false" customHeight="true" outlineLevel="0" collapsed="false">
      <c r="A96" s="1" t="s">
        <v>549</v>
      </c>
      <c r="B96" s="1" t="s">
        <v>435</v>
      </c>
      <c r="C96" s="1" t="s">
        <v>356</v>
      </c>
      <c r="D96" s="1" t="s">
        <v>550</v>
      </c>
      <c r="E96" s="6" t="n">
        <v>46117</v>
      </c>
      <c r="F96" s="6" t="n">
        <v>46112</v>
      </c>
      <c r="G96" s="1" t="s">
        <v>49</v>
      </c>
      <c r="H96" s="1" t="s">
        <v>551</v>
      </c>
      <c r="I96" s="1" t="s">
        <v>552</v>
      </c>
      <c r="J96" s="1" t="n">
        <v>10348.43</v>
      </c>
      <c r="K96" s="1" t="n">
        <v>8514.36</v>
      </c>
      <c r="L96" s="1" t="n">
        <v>0</v>
      </c>
      <c r="M96" s="1" t="n">
        <v>8514.36</v>
      </c>
      <c r="N96" s="1" t="s">
        <v>260</v>
      </c>
      <c r="P96" s="1" t="n">
        <v>3</v>
      </c>
      <c r="Q96" s="1" t="s">
        <v>155</v>
      </c>
      <c r="R96" s="1" t="s">
        <v>43</v>
      </c>
    </row>
    <row r="97" customFormat="false" ht="14.25" hidden="false" customHeight="true" outlineLevel="0" collapsed="false">
      <c r="A97" s="1" t="s">
        <v>553</v>
      </c>
      <c r="B97" s="1" t="s">
        <v>187</v>
      </c>
      <c r="C97" s="1" t="s">
        <v>286</v>
      </c>
      <c r="D97" s="1" t="s">
        <v>529</v>
      </c>
      <c r="E97" s="6" t="n">
        <v>46182</v>
      </c>
      <c r="F97" s="6" t="n">
        <v>46180</v>
      </c>
      <c r="G97" s="1" t="s">
        <v>49</v>
      </c>
      <c r="H97" s="1" t="s">
        <v>554</v>
      </c>
      <c r="I97" s="1" t="s">
        <v>555</v>
      </c>
      <c r="J97" s="1" t="n">
        <v>47851.42</v>
      </c>
      <c r="K97" s="1" t="n">
        <v>43567.63</v>
      </c>
      <c r="L97" s="1" t="n">
        <v>39652.87</v>
      </c>
      <c r="M97" s="1" t="n">
        <v>3914.76</v>
      </c>
      <c r="N97" s="1" t="s">
        <v>41</v>
      </c>
      <c r="P97" s="1" t="n">
        <v>6</v>
      </c>
      <c r="Q97" s="1" t="s">
        <v>155</v>
      </c>
      <c r="R97" s="1" t="s">
        <v>140</v>
      </c>
      <c r="S97" s="6" t="n">
        <v>46188</v>
      </c>
    </row>
    <row r="98" customFormat="false" ht="14.25" hidden="false" customHeight="true" outlineLevel="0" collapsed="false">
      <c r="A98" s="1" t="s">
        <v>556</v>
      </c>
      <c r="B98" s="1" t="s">
        <v>557</v>
      </c>
      <c r="C98" s="1" t="s">
        <v>300</v>
      </c>
      <c r="D98" s="1" t="s">
        <v>558</v>
      </c>
      <c r="E98" s="6" t="n">
        <v>46111</v>
      </c>
      <c r="F98" s="6" t="n">
        <v>46110</v>
      </c>
      <c r="G98" s="1" t="s">
        <v>70</v>
      </c>
      <c r="H98" s="1" t="s">
        <v>559</v>
      </c>
      <c r="I98" s="1" t="s">
        <v>560</v>
      </c>
      <c r="J98" s="1" t="n">
        <v>32824.15</v>
      </c>
      <c r="K98" s="1" t="n">
        <v>28331.51</v>
      </c>
      <c r="L98" s="1" t="n">
        <v>25536.5</v>
      </c>
      <c r="M98" s="1" t="n">
        <v>2795.01</v>
      </c>
      <c r="N98" s="1" t="s">
        <v>41</v>
      </c>
      <c r="P98" s="1" t="n">
        <v>7</v>
      </c>
      <c r="Q98" s="1" t="s">
        <v>63</v>
      </c>
      <c r="R98" s="1" t="s">
        <v>43</v>
      </c>
      <c r="S98" s="6" t="n">
        <v>46118</v>
      </c>
    </row>
    <row r="99" customFormat="false" ht="14.25" hidden="false" customHeight="true" outlineLevel="0" collapsed="false">
      <c r="A99" s="1" t="s">
        <v>561</v>
      </c>
      <c r="B99" s="1" t="s">
        <v>533</v>
      </c>
      <c r="C99" s="1" t="s">
        <v>176</v>
      </c>
      <c r="D99" s="1" t="s">
        <v>362</v>
      </c>
      <c r="E99" s="6" t="n">
        <v>46066</v>
      </c>
      <c r="F99" s="6" t="n">
        <v>46065</v>
      </c>
      <c r="G99" s="1" t="s">
        <v>108</v>
      </c>
      <c r="H99" s="1" t="s">
        <v>562</v>
      </c>
      <c r="I99" s="1" t="s">
        <v>563</v>
      </c>
      <c r="J99" s="1" t="n">
        <v>6689.48</v>
      </c>
      <c r="K99" s="1" t="n">
        <v>4819.02</v>
      </c>
      <c r="L99" s="1" t="n">
        <v>0</v>
      </c>
      <c r="M99" s="1" t="n">
        <v>4819.02</v>
      </c>
      <c r="N99" s="1" t="s">
        <v>52</v>
      </c>
      <c r="O99" s="1" t="s">
        <v>53</v>
      </c>
      <c r="P99" s="1" t="n">
        <v>5</v>
      </c>
      <c r="Q99" s="1" t="s">
        <v>63</v>
      </c>
      <c r="R99" s="1" t="s">
        <v>64</v>
      </c>
    </row>
    <row r="100" customFormat="false" ht="14.25" hidden="false" customHeight="true" outlineLevel="0" collapsed="false">
      <c r="A100" s="1" t="s">
        <v>564</v>
      </c>
      <c r="B100" s="1" t="s">
        <v>565</v>
      </c>
      <c r="C100" s="1" t="s">
        <v>436</v>
      </c>
      <c r="D100" s="1" t="s">
        <v>331</v>
      </c>
      <c r="E100" s="6" t="n">
        <v>46036</v>
      </c>
      <c r="F100" s="6" t="n">
        <v>46036</v>
      </c>
      <c r="G100" s="1" t="s">
        <v>49</v>
      </c>
      <c r="H100" s="1" t="s">
        <v>566</v>
      </c>
      <c r="I100" s="1" t="s">
        <v>567</v>
      </c>
      <c r="J100" s="1" t="n">
        <v>26437.15</v>
      </c>
      <c r="K100" s="1" t="n">
        <v>25083.68</v>
      </c>
      <c r="L100" s="1" t="n">
        <v>0</v>
      </c>
      <c r="M100" s="1" t="n">
        <v>25083.68</v>
      </c>
      <c r="N100" s="1" t="s">
        <v>52</v>
      </c>
      <c r="O100" s="1" t="s">
        <v>230</v>
      </c>
      <c r="P100" s="1" t="n">
        <v>2</v>
      </c>
      <c r="Q100" s="1" t="s">
        <v>155</v>
      </c>
      <c r="R100" s="1" t="s">
        <v>74</v>
      </c>
    </row>
    <row r="101" customFormat="false" ht="14.25" hidden="false" customHeight="true" outlineLevel="0" collapsed="false">
      <c r="A101" s="1" t="s">
        <v>568</v>
      </c>
      <c r="B101" s="1" t="s">
        <v>569</v>
      </c>
      <c r="C101" s="1" t="s">
        <v>188</v>
      </c>
      <c r="D101" s="1" t="s">
        <v>291</v>
      </c>
      <c r="E101" s="6" t="n">
        <v>46098</v>
      </c>
      <c r="F101" s="6" t="n">
        <v>46095</v>
      </c>
      <c r="G101" s="1" t="s">
        <v>70</v>
      </c>
      <c r="H101" s="1" t="s">
        <v>570</v>
      </c>
      <c r="I101" s="1" t="s">
        <v>571</v>
      </c>
      <c r="J101" s="1" t="n">
        <v>6998.22</v>
      </c>
      <c r="K101" s="1" t="n">
        <v>6309.28</v>
      </c>
      <c r="L101" s="1" t="n">
        <v>0</v>
      </c>
      <c r="M101" s="1" t="n">
        <v>6309.28</v>
      </c>
      <c r="N101" s="1" t="s">
        <v>111</v>
      </c>
      <c r="P101" s="1" t="n">
        <v>4</v>
      </c>
      <c r="Q101" s="1" t="s">
        <v>63</v>
      </c>
      <c r="R101" s="1" t="s">
        <v>125</v>
      </c>
    </row>
    <row r="102" customFormat="false" ht="14.25" hidden="false" customHeight="true" outlineLevel="0" collapsed="false">
      <c r="A102" s="1" t="s">
        <v>572</v>
      </c>
      <c r="B102" s="1" t="s">
        <v>573</v>
      </c>
      <c r="C102" s="1" t="s">
        <v>279</v>
      </c>
      <c r="D102" s="1" t="s">
        <v>574</v>
      </c>
      <c r="E102" s="6" t="n">
        <v>46163</v>
      </c>
      <c r="F102" s="6" t="n">
        <v>46161</v>
      </c>
      <c r="G102" s="1" t="s">
        <v>70</v>
      </c>
      <c r="H102" s="1" t="s">
        <v>575</v>
      </c>
      <c r="I102" s="1" t="s">
        <v>576</v>
      </c>
      <c r="J102" s="1" t="n">
        <v>7188.19</v>
      </c>
      <c r="K102" s="1" t="n">
        <v>6717.69</v>
      </c>
      <c r="L102" s="1" t="n">
        <v>5943.96</v>
      </c>
      <c r="M102" s="1" t="n">
        <v>773.73</v>
      </c>
      <c r="N102" s="1" t="s">
        <v>41</v>
      </c>
      <c r="P102" s="1" t="n">
        <v>8</v>
      </c>
      <c r="Q102" s="1" t="s">
        <v>42</v>
      </c>
      <c r="R102" s="1" t="s">
        <v>140</v>
      </c>
      <c r="S102" s="6" t="n">
        <v>46171</v>
      </c>
    </row>
    <row r="103" customFormat="false" ht="14.25" hidden="false" customHeight="true" outlineLevel="0" collapsed="false">
      <c r="A103" s="1" t="s">
        <v>577</v>
      </c>
      <c r="B103" s="1" t="s">
        <v>578</v>
      </c>
      <c r="C103" s="1" t="s">
        <v>273</v>
      </c>
      <c r="D103" s="1" t="s">
        <v>165</v>
      </c>
      <c r="E103" s="6" t="n">
        <v>46229</v>
      </c>
      <c r="F103" s="6" t="n">
        <v>46229</v>
      </c>
      <c r="G103" s="1" t="s">
        <v>70</v>
      </c>
      <c r="H103" s="1" t="s">
        <v>579</v>
      </c>
      <c r="I103" s="1" t="s">
        <v>580</v>
      </c>
      <c r="J103" s="1" t="n">
        <v>18606.27</v>
      </c>
      <c r="K103" s="1" t="n">
        <v>13544.29</v>
      </c>
      <c r="L103" s="1" t="n">
        <v>11186.14</v>
      </c>
      <c r="M103" s="1" t="n">
        <v>2358.15</v>
      </c>
      <c r="N103" s="1" t="s">
        <v>41</v>
      </c>
      <c r="P103" s="1" t="n">
        <v>1</v>
      </c>
      <c r="Q103" s="1" t="s">
        <v>42</v>
      </c>
      <c r="R103" s="1" t="s">
        <v>54</v>
      </c>
      <c r="S103" s="6" t="n">
        <v>46230</v>
      </c>
    </row>
    <row r="104" customFormat="false" ht="14.25" hidden="false" customHeight="true" outlineLevel="0" collapsed="false">
      <c r="A104" s="1" t="s">
        <v>581</v>
      </c>
      <c r="B104" s="1" t="s">
        <v>582</v>
      </c>
      <c r="C104" s="1" t="s">
        <v>151</v>
      </c>
      <c r="D104" s="1" t="s">
        <v>245</v>
      </c>
      <c r="E104" s="6" t="n">
        <v>46202</v>
      </c>
      <c r="F104" s="6" t="n">
        <v>46199</v>
      </c>
      <c r="G104" s="1" t="s">
        <v>70</v>
      </c>
      <c r="H104" s="1" t="s">
        <v>583</v>
      </c>
      <c r="I104" s="1" t="s">
        <v>584</v>
      </c>
      <c r="J104" s="1" t="n">
        <v>24114.82</v>
      </c>
      <c r="K104" s="1" t="n">
        <v>15740.7</v>
      </c>
      <c r="L104" s="1" t="n">
        <v>0</v>
      </c>
      <c r="M104" s="1" t="n">
        <v>15740.7</v>
      </c>
      <c r="N104" s="1" t="s">
        <v>52</v>
      </c>
      <c r="O104" s="1" t="s">
        <v>230</v>
      </c>
      <c r="P104" s="1" t="n">
        <v>7</v>
      </c>
      <c r="Q104" s="1" t="s">
        <v>42</v>
      </c>
      <c r="R104" s="1" t="s">
        <v>43</v>
      </c>
    </row>
    <row r="105" customFormat="false" ht="14.25" hidden="false" customHeight="true" outlineLevel="0" collapsed="false">
      <c r="A105" s="1" t="s">
        <v>585</v>
      </c>
      <c r="B105" s="1" t="s">
        <v>586</v>
      </c>
      <c r="C105" s="1" t="s">
        <v>279</v>
      </c>
      <c r="D105" s="1" t="s">
        <v>320</v>
      </c>
      <c r="E105" s="6" t="n">
        <v>46125</v>
      </c>
      <c r="F105" s="6" t="n">
        <v>46124</v>
      </c>
      <c r="G105" s="1" t="s">
        <v>38</v>
      </c>
      <c r="H105" s="1" t="s">
        <v>419</v>
      </c>
      <c r="I105" s="1" t="s">
        <v>587</v>
      </c>
      <c r="J105" s="1" t="n">
        <v>36987.33</v>
      </c>
      <c r="K105" s="1" t="n">
        <v>28366.21</v>
      </c>
      <c r="L105" s="1" t="n">
        <v>23957.8</v>
      </c>
      <c r="M105" s="1" t="n">
        <v>4408.41</v>
      </c>
      <c r="N105" s="1" t="s">
        <v>41</v>
      </c>
      <c r="P105" s="1" t="n">
        <v>5</v>
      </c>
      <c r="Q105" s="1" t="s">
        <v>63</v>
      </c>
      <c r="R105" s="1" t="s">
        <v>74</v>
      </c>
      <c r="S105" s="6" t="n">
        <v>46130</v>
      </c>
    </row>
    <row r="106" customFormat="false" ht="14.25" hidden="false" customHeight="true" outlineLevel="0" collapsed="false">
      <c r="A106" s="1" t="s">
        <v>588</v>
      </c>
      <c r="B106" s="1" t="s">
        <v>589</v>
      </c>
      <c r="C106" s="1" t="s">
        <v>367</v>
      </c>
      <c r="D106" s="1" t="s">
        <v>590</v>
      </c>
      <c r="E106" s="6" t="n">
        <v>46217</v>
      </c>
      <c r="F106" s="6" t="n">
        <v>46213</v>
      </c>
      <c r="G106" s="1" t="s">
        <v>49</v>
      </c>
      <c r="H106" s="1" t="s">
        <v>591</v>
      </c>
      <c r="I106" s="1" t="s">
        <v>592</v>
      </c>
      <c r="J106" s="1" t="n">
        <v>20938.74</v>
      </c>
      <c r="K106" s="1" t="n">
        <v>18971.43</v>
      </c>
      <c r="L106" s="1" t="n">
        <v>0</v>
      </c>
      <c r="M106" s="1" t="n">
        <v>18971.43</v>
      </c>
      <c r="N106" s="1" t="s">
        <v>52</v>
      </c>
      <c r="O106" s="1" t="s">
        <v>265</v>
      </c>
      <c r="P106" s="1" t="n">
        <v>3</v>
      </c>
      <c r="Q106" s="1" t="s">
        <v>63</v>
      </c>
      <c r="R106" s="1" t="s">
        <v>74</v>
      </c>
    </row>
    <row r="107" customFormat="false" ht="14.25" hidden="false" customHeight="true" outlineLevel="0" collapsed="false">
      <c r="A107" s="1" t="s">
        <v>593</v>
      </c>
      <c r="B107" s="1" t="s">
        <v>594</v>
      </c>
      <c r="C107" s="1" t="s">
        <v>376</v>
      </c>
      <c r="D107" s="1" t="s">
        <v>595</v>
      </c>
      <c r="E107" s="6" t="n">
        <v>46185</v>
      </c>
      <c r="F107" s="6" t="n">
        <v>46182</v>
      </c>
      <c r="G107" s="1" t="s">
        <v>38</v>
      </c>
      <c r="H107" s="1" t="s">
        <v>596</v>
      </c>
      <c r="I107" s="1" t="s">
        <v>597</v>
      </c>
      <c r="J107" s="1" t="n">
        <v>1460.07</v>
      </c>
      <c r="K107" s="1" t="n">
        <v>970.79</v>
      </c>
      <c r="L107" s="1" t="n">
        <v>857.93</v>
      </c>
      <c r="M107" s="1" t="n">
        <v>112.86</v>
      </c>
      <c r="N107" s="1" t="s">
        <v>41</v>
      </c>
      <c r="P107" s="1" t="n">
        <v>3</v>
      </c>
      <c r="Q107" s="1" t="s">
        <v>42</v>
      </c>
      <c r="R107" s="1" t="s">
        <v>54</v>
      </c>
      <c r="S107" s="6" t="n">
        <v>46188</v>
      </c>
    </row>
    <row r="108" customFormat="false" ht="14.25" hidden="false" customHeight="true" outlineLevel="0" collapsed="false">
      <c r="A108" s="1" t="s">
        <v>598</v>
      </c>
      <c r="B108" s="1" t="s">
        <v>214</v>
      </c>
      <c r="C108" s="1" t="s">
        <v>413</v>
      </c>
      <c r="D108" s="1" t="s">
        <v>485</v>
      </c>
      <c r="E108" s="6" t="n">
        <v>46082</v>
      </c>
      <c r="F108" s="6" t="n">
        <v>46082</v>
      </c>
      <c r="G108" s="1" t="s">
        <v>108</v>
      </c>
      <c r="H108" s="1" t="s">
        <v>599</v>
      </c>
      <c r="I108" s="1" t="s">
        <v>600</v>
      </c>
      <c r="J108" s="1" t="n">
        <v>24932.19</v>
      </c>
      <c r="K108" s="1" t="n">
        <v>18763.31</v>
      </c>
      <c r="L108" s="1" t="n">
        <v>15534.03</v>
      </c>
      <c r="M108" s="1" t="n">
        <v>3229.28</v>
      </c>
      <c r="N108" s="1" t="s">
        <v>41</v>
      </c>
      <c r="P108" s="1" t="n">
        <v>8</v>
      </c>
      <c r="Q108" s="1" t="s">
        <v>155</v>
      </c>
      <c r="R108" s="1" t="s">
        <v>54</v>
      </c>
      <c r="S108" s="6" t="n">
        <v>46090</v>
      </c>
    </row>
    <row r="109" customFormat="false" ht="14.25" hidden="false" customHeight="true" outlineLevel="0" collapsed="false">
      <c r="A109" s="1" t="s">
        <v>601</v>
      </c>
      <c r="B109" s="1" t="s">
        <v>602</v>
      </c>
      <c r="C109" s="1" t="s">
        <v>367</v>
      </c>
      <c r="D109" s="1" t="s">
        <v>341</v>
      </c>
      <c r="E109" s="6" t="n">
        <v>46094</v>
      </c>
      <c r="F109" s="6" t="n">
        <v>46091</v>
      </c>
      <c r="G109" s="1" t="s">
        <v>38</v>
      </c>
      <c r="H109" s="1" t="s">
        <v>603</v>
      </c>
      <c r="I109" s="1" t="s">
        <v>604</v>
      </c>
      <c r="J109" s="1" t="n">
        <v>23772.27</v>
      </c>
      <c r="K109" s="1" t="n">
        <v>16822.63</v>
      </c>
      <c r="L109" s="1" t="n">
        <v>16156.2</v>
      </c>
      <c r="M109" s="1" t="n">
        <v>666.43</v>
      </c>
      <c r="N109" s="1" t="s">
        <v>41</v>
      </c>
      <c r="P109" s="1" t="n">
        <v>7</v>
      </c>
      <c r="Q109" s="1" t="s">
        <v>155</v>
      </c>
      <c r="R109" s="1" t="s">
        <v>74</v>
      </c>
      <c r="S109" s="6" t="n">
        <v>46101</v>
      </c>
    </row>
    <row r="110" customFormat="false" ht="14.25" hidden="false" customHeight="true" outlineLevel="0" collapsed="false">
      <c r="A110" s="1" t="s">
        <v>605</v>
      </c>
      <c r="B110" s="1" t="s">
        <v>606</v>
      </c>
      <c r="C110" s="1" t="s">
        <v>164</v>
      </c>
      <c r="D110" s="1" t="s">
        <v>607</v>
      </c>
      <c r="E110" s="6" t="n">
        <v>46032</v>
      </c>
      <c r="F110" s="6" t="n">
        <v>46031</v>
      </c>
      <c r="G110" s="1" t="s">
        <v>70</v>
      </c>
      <c r="H110" s="1" t="s">
        <v>608</v>
      </c>
      <c r="I110" s="1" t="s">
        <v>609</v>
      </c>
      <c r="J110" s="1" t="n">
        <v>38664.3</v>
      </c>
      <c r="K110" s="1" t="n">
        <v>31176.64</v>
      </c>
      <c r="L110" s="1" t="n">
        <v>31037.25</v>
      </c>
      <c r="M110" s="1" t="n">
        <v>139.39</v>
      </c>
      <c r="N110" s="1" t="s">
        <v>41</v>
      </c>
      <c r="P110" s="1" t="n">
        <v>8</v>
      </c>
      <c r="Q110" s="1" t="s">
        <v>42</v>
      </c>
      <c r="R110" s="1" t="s">
        <v>64</v>
      </c>
      <c r="S110" s="6" t="n">
        <v>46040</v>
      </c>
    </row>
    <row r="111" customFormat="false" ht="14.25" hidden="false" customHeight="true" outlineLevel="0" collapsed="false">
      <c r="A111" s="1" t="s">
        <v>610</v>
      </c>
      <c r="B111" s="1" t="s">
        <v>611</v>
      </c>
      <c r="C111" s="1" t="s">
        <v>198</v>
      </c>
      <c r="D111" s="1" t="s">
        <v>590</v>
      </c>
      <c r="E111" s="6" t="n">
        <v>46156</v>
      </c>
      <c r="F111" s="6" t="n">
        <v>46156</v>
      </c>
      <c r="G111" s="1" t="s">
        <v>49</v>
      </c>
      <c r="H111" s="1" t="s">
        <v>612</v>
      </c>
      <c r="I111" s="1" t="s">
        <v>613</v>
      </c>
      <c r="J111" s="1" t="n">
        <v>32106.74</v>
      </c>
      <c r="K111" s="1" t="n">
        <v>22783.49</v>
      </c>
      <c r="L111" s="1" t="n">
        <v>22142.82</v>
      </c>
      <c r="M111" s="1" t="n">
        <v>640.67</v>
      </c>
      <c r="N111" s="1" t="s">
        <v>41</v>
      </c>
      <c r="P111" s="1" t="n">
        <v>4</v>
      </c>
      <c r="Q111" s="1" t="s">
        <v>155</v>
      </c>
      <c r="R111" s="1" t="s">
        <v>125</v>
      </c>
      <c r="S111" s="6" t="n">
        <v>46160</v>
      </c>
    </row>
    <row r="112" customFormat="false" ht="14.25" hidden="false" customHeight="true" outlineLevel="0" collapsed="false">
      <c r="A112" s="1" t="s">
        <v>614</v>
      </c>
      <c r="B112" s="1" t="s">
        <v>565</v>
      </c>
      <c r="C112" s="1" t="s">
        <v>58</v>
      </c>
      <c r="D112" s="1" t="s">
        <v>341</v>
      </c>
      <c r="E112" s="6" t="n">
        <v>46097</v>
      </c>
      <c r="F112" s="6" t="n">
        <v>46093</v>
      </c>
      <c r="G112" s="1" t="s">
        <v>108</v>
      </c>
      <c r="H112" s="1" t="s">
        <v>506</v>
      </c>
      <c r="I112" s="1" t="s">
        <v>615</v>
      </c>
      <c r="J112" s="1" t="n">
        <v>39562.62</v>
      </c>
      <c r="K112" s="1" t="n">
        <v>25821.69</v>
      </c>
      <c r="L112" s="1" t="n">
        <v>19637.35</v>
      </c>
      <c r="M112" s="1" t="n">
        <v>6184.34</v>
      </c>
      <c r="N112" s="1" t="s">
        <v>41</v>
      </c>
      <c r="P112" s="1" t="n">
        <v>8</v>
      </c>
      <c r="Q112" s="1" t="s">
        <v>63</v>
      </c>
      <c r="R112" s="1" t="s">
        <v>54</v>
      </c>
      <c r="S112" s="6" t="n">
        <v>46105</v>
      </c>
    </row>
    <row r="113" customFormat="false" ht="14.25" hidden="false" customHeight="true" outlineLevel="0" collapsed="false">
      <c r="A113" s="1" t="s">
        <v>616</v>
      </c>
      <c r="B113" s="1" t="s">
        <v>345</v>
      </c>
      <c r="C113" s="1" t="s">
        <v>221</v>
      </c>
      <c r="D113" s="1" t="s">
        <v>326</v>
      </c>
      <c r="E113" s="6" t="n">
        <v>46202</v>
      </c>
      <c r="F113" s="6" t="n">
        <v>46198</v>
      </c>
      <c r="G113" s="1" t="s">
        <v>108</v>
      </c>
      <c r="H113" s="1" t="s">
        <v>617</v>
      </c>
      <c r="I113" s="1" t="s">
        <v>618</v>
      </c>
      <c r="J113" s="1" t="n">
        <v>48497.76</v>
      </c>
      <c r="K113" s="1" t="n">
        <v>42574.63</v>
      </c>
      <c r="L113" s="1" t="n">
        <v>32570.15</v>
      </c>
      <c r="M113" s="1" t="n">
        <v>10004.48</v>
      </c>
      <c r="N113" s="1" t="s">
        <v>41</v>
      </c>
      <c r="P113" s="1" t="n">
        <v>6</v>
      </c>
      <c r="Q113" s="1" t="s">
        <v>155</v>
      </c>
      <c r="R113" s="1" t="s">
        <v>102</v>
      </c>
      <c r="S113" s="6" t="n">
        <v>46208</v>
      </c>
    </row>
    <row r="114" customFormat="false" ht="14.25" hidden="false" customHeight="true" outlineLevel="0" collapsed="false">
      <c r="A114" s="1" t="s">
        <v>619</v>
      </c>
      <c r="B114" s="1" t="s">
        <v>417</v>
      </c>
      <c r="C114" s="1" t="s">
        <v>356</v>
      </c>
      <c r="D114" s="1" t="s">
        <v>222</v>
      </c>
      <c r="E114" s="6" t="n">
        <v>46170</v>
      </c>
      <c r="F114" s="6" t="n">
        <v>46165</v>
      </c>
      <c r="G114" s="1" t="s">
        <v>38</v>
      </c>
      <c r="H114" s="1" t="s">
        <v>378</v>
      </c>
      <c r="I114" s="1" t="s">
        <v>620</v>
      </c>
      <c r="J114" s="1" t="n">
        <v>40373.51</v>
      </c>
      <c r="K114" s="1" t="n">
        <v>31556.57</v>
      </c>
      <c r="L114" s="1" t="n">
        <v>0</v>
      </c>
      <c r="M114" s="1" t="n">
        <v>31556.57</v>
      </c>
      <c r="N114" s="1" t="s">
        <v>52</v>
      </c>
      <c r="O114" s="1" t="s">
        <v>53</v>
      </c>
      <c r="P114" s="1" t="n">
        <v>4</v>
      </c>
      <c r="Q114" s="1" t="s">
        <v>63</v>
      </c>
      <c r="R114" s="1" t="s">
        <v>74</v>
      </c>
    </row>
    <row r="115" customFormat="false" ht="14.25" hidden="false" customHeight="true" outlineLevel="0" collapsed="false">
      <c r="A115" s="1" t="s">
        <v>621</v>
      </c>
      <c r="B115" s="1" t="s">
        <v>622</v>
      </c>
      <c r="C115" s="1" t="s">
        <v>623</v>
      </c>
      <c r="D115" s="1" t="s">
        <v>391</v>
      </c>
      <c r="E115" s="6" t="n">
        <v>46139</v>
      </c>
      <c r="F115" s="6" t="n">
        <v>46135</v>
      </c>
      <c r="G115" s="1" t="s">
        <v>70</v>
      </c>
      <c r="H115" s="1" t="s">
        <v>624</v>
      </c>
      <c r="I115" s="1" t="s">
        <v>625</v>
      </c>
      <c r="J115" s="1" t="n">
        <v>35003.37</v>
      </c>
      <c r="K115" s="1" t="n">
        <v>24745.03</v>
      </c>
      <c r="L115" s="1" t="n">
        <v>19713.29</v>
      </c>
      <c r="M115" s="1" t="n">
        <v>5031.74</v>
      </c>
      <c r="N115" s="1" t="s">
        <v>41</v>
      </c>
      <c r="P115" s="1" t="n">
        <v>6</v>
      </c>
      <c r="Q115" s="1" t="s">
        <v>155</v>
      </c>
      <c r="R115" s="1" t="s">
        <v>64</v>
      </c>
      <c r="S115" s="6" t="n">
        <v>46145</v>
      </c>
    </row>
    <row r="116" customFormat="false" ht="14.25" hidden="false" customHeight="true" outlineLevel="0" collapsed="false">
      <c r="A116" s="1" t="s">
        <v>626</v>
      </c>
      <c r="B116" s="1" t="s">
        <v>627</v>
      </c>
      <c r="C116" s="1" t="s">
        <v>346</v>
      </c>
      <c r="D116" s="1" t="s">
        <v>382</v>
      </c>
      <c r="E116" s="6" t="n">
        <v>46065</v>
      </c>
      <c r="F116" s="6" t="n">
        <v>46062</v>
      </c>
      <c r="G116" s="1" t="s">
        <v>70</v>
      </c>
      <c r="H116" s="1" t="s">
        <v>628</v>
      </c>
      <c r="I116" s="1" t="s">
        <v>629</v>
      </c>
      <c r="J116" s="1" t="n">
        <v>13535.79</v>
      </c>
      <c r="K116" s="1" t="n">
        <v>10289.01</v>
      </c>
      <c r="L116" s="1" t="n">
        <v>7718.61</v>
      </c>
      <c r="M116" s="1" t="n">
        <v>2570.4</v>
      </c>
      <c r="N116" s="1" t="s">
        <v>41</v>
      </c>
      <c r="P116" s="1" t="n">
        <v>7</v>
      </c>
      <c r="Q116" s="1" t="s">
        <v>63</v>
      </c>
      <c r="R116" s="1" t="s">
        <v>74</v>
      </c>
      <c r="S116" s="6" t="n">
        <v>46072</v>
      </c>
    </row>
    <row r="117" customFormat="false" ht="14.25" hidden="false" customHeight="true" outlineLevel="0" collapsed="false">
      <c r="A117" s="1" t="s">
        <v>630</v>
      </c>
      <c r="B117" s="1" t="s">
        <v>304</v>
      </c>
      <c r="C117" s="1" t="s">
        <v>296</v>
      </c>
      <c r="D117" s="1" t="s">
        <v>529</v>
      </c>
      <c r="E117" s="6" t="n">
        <v>46044</v>
      </c>
      <c r="F117" s="6" t="n">
        <v>46039</v>
      </c>
      <c r="G117" s="1" t="s">
        <v>70</v>
      </c>
      <c r="H117" s="1" t="s">
        <v>631</v>
      </c>
      <c r="I117" s="1" t="s">
        <v>632</v>
      </c>
      <c r="J117" s="1" t="n">
        <v>41042.96</v>
      </c>
      <c r="K117" s="1" t="n">
        <v>29015.77</v>
      </c>
      <c r="L117" s="1" t="n">
        <v>0</v>
      </c>
      <c r="M117" s="1" t="n">
        <v>29015.77</v>
      </c>
      <c r="N117" s="1" t="s">
        <v>260</v>
      </c>
      <c r="P117" s="1" t="n">
        <v>8</v>
      </c>
      <c r="Q117" s="1" t="s">
        <v>42</v>
      </c>
      <c r="R117" s="1" t="s">
        <v>102</v>
      </c>
    </row>
    <row r="118" customFormat="false" ht="14.25" hidden="false" customHeight="true" outlineLevel="0" collapsed="false">
      <c r="A118" s="1" t="s">
        <v>633</v>
      </c>
      <c r="B118" s="1" t="s">
        <v>634</v>
      </c>
      <c r="C118" s="1" t="s">
        <v>92</v>
      </c>
      <c r="D118" s="1" t="s">
        <v>635</v>
      </c>
      <c r="E118" s="6" t="n">
        <v>46051</v>
      </c>
      <c r="F118" s="6" t="n">
        <v>46051</v>
      </c>
      <c r="G118" s="1" t="s">
        <v>38</v>
      </c>
      <c r="H118" s="1" t="s">
        <v>636</v>
      </c>
      <c r="I118" s="1" t="s">
        <v>637</v>
      </c>
      <c r="J118" s="1" t="n">
        <v>3800.65</v>
      </c>
      <c r="K118" s="1" t="n">
        <v>3422.71</v>
      </c>
      <c r="L118" s="1" t="n">
        <v>2678.08</v>
      </c>
      <c r="M118" s="1" t="n">
        <v>744.63</v>
      </c>
      <c r="N118" s="1" t="s">
        <v>41</v>
      </c>
      <c r="P118" s="1" t="n">
        <v>1</v>
      </c>
      <c r="Q118" s="1" t="s">
        <v>42</v>
      </c>
      <c r="R118" s="1" t="s">
        <v>74</v>
      </c>
      <c r="S118" s="6" t="n">
        <v>46052</v>
      </c>
    </row>
    <row r="119" customFormat="false" ht="14.25" hidden="false" customHeight="true" outlineLevel="0" collapsed="false">
      <c r="A119" s="1" t="s">
        <v>638</v>
      </c>
      <c r="B119" s="1" t="s">
        <v>639</v>
      </c>
      <c r="C119" s="1" t="s">
        <v>151</v>
      </c>
      <c r="D119" s="1" t="s">
        <v>145</v>
      </c>
      <c r="E119" s="6" t="n">
        <v>46127</v>
      </c>
      <c r="F119" s="6" t="n">
        <v>46122</v>
      </c>
      <c r="G119" s="1" t="s">
        <v>49</v>
      </c>
      <c r="H119" s="1" t="s">
        <v>640</v>
      </c>
      <c r="I119" s="1" t="s">
        <v>641</v>
      </c>
      <c r="J119" s="1" t="n">
        <v>31386.54</v>
      </c>
      <c r="K119" s="1" t="n">
        <v>25959.5</v>
      </c>
      <c r="L119" s="1" t="n">
        <v>19788.18</v>
      </c>
      <c r="M119" s="1" t="n">
        <v>6171.32</v>
      </c>
      <c r="N119" s="1" t="s">
        <v>41</v>
      </c>
      <c r="P119" s="1" t="n">
        <v>4</v>
      </c>
      <c r="Q119" s="1" t="s">
        <v>63</v>
      </c>
      <c r="R119" s="1" t="s">
        <v>125</v>
      </c>
      <c r="S119" s="6" t="n">
        <v>46131</v>
      </c>
    </row>
    <row r="120" customFormat="false" ht="14.25" hidden="false" customHeight="true" outlineLevel="0" collapsed="false">
      <c r="A120" s="1" t="s">
        <v>642</v>
      </c>
      <c r="B120" s="1" t="s">
        <v>643</v>
      </c>
      <c r="C120" s="1" t="s">
        <v>233</v>
      </c>
      <c r="D120" s="1" t="s">
        <v>368</v>
      </c>
      <c r="E120" s="6" t="n">
        <v>46186</v>
      </c>
      <c r="F120" s="6" t="n">
        <v>46186</v>
      </c>
      <c r="G120" s="1" t="s">
        <v>108</v>
      </c>
      <c r="H120" s="1" t="s">
        <v>644</v>
      </c>
      <c r="I120" s="1" t="s">
        <v>645</v>
      </c>
      <c r="J120" s="1" t="n">
        <v>37302.13</v>
      </c>
      <c r="K120" s="1" t="n">
        <v>34210.87</v>
      </c>
      <c r="L120" s="1" t="n">
        <v>32688.71</v>
      </c>
      <c r="M120" s="1" t="n">
        <v>1522.16</v>
      </c>
      <c r="N120" s="1" t="s">
        <v>41</v>
      </c>
      <c r="P120" s="1" t="n">
        <v>1</v>
      </c>
      <c r="Q120" s="1" t="s">
        <v>155</v>
      </c>
      <c r="R120" s="1" t="s">
        <v>140</v>
      </c>
      <c r="S120" s="6" t="n">
        <v>46187</v>
      </c>
    </row>
    <row r="121" customFormat="false" ht="14.25" hidden="false" customHeight="true" outlineLevel="0" collapsed="false">
      <c r="A121" s="1" t="s">
        <v>646</v>
      </c>
      <c r="B121" s="1" t="s">
        <v>647</v>
      </c>
      <c r="C121" s="1" t="s">
        <v>286</v>
      </c>
      <c r="D121" s="1" t="s">
        <v>648</v>
      </c>
      <c r="E121" s="6" t="n">
        <v>46155</v>
      </c>
      <c r="F121" s="6" t="n">
        <v>46155</v>
      </c>
      <c r="G121" s="1" t="s">
        <v>49</v>
      </c>
      <c r="H121" s="1" t="s">
        <v>649</v>
      </c>
      <c r="I121" s="1" t="s">
        <v>650</v>
      </c>
      <c r="J121" s="1" t="n">
        <v>11935.39</v>
      </c>
      <c r="K121" s="1" t="n">
        <v>9137.73</v>
      </c>
      <c r="L121" s="1" t="n">
        <v>7294.47</v>
      </c>
      <c r="M121" s="1" t="n">
        <v>1843.26</v>
      </c>
      <c r="N121" s="1" t="s">
        <v>41</v>
      </c>
      <c r="P121" s="1" t="n">
        <v>4</v>
      </c>
      <c r="Q121" s="1" t="s">
        <v>42</v>
      </c>
      <c r="R121" s="1" t="s">
        <v>64</v>
      </c>
      <c r="S121" s="6" t="n">
        <v>46159</v>
      </c>
    </row>
    <row r="122" customFormat="false" ht="14.25" hidden="false" customHeight="true" outlineLevel="0" collapsed="false">
      <c r="A122" s="1" t="s">
        <v>651</v>
      </c>
      <c r="B122" s="1" t="s">
        <v>652</v>
      </c>
      <c r="C122" s="1" t="s">
        <v>106</v>
      </c>
      <c r="D122" s="1" t="s">
        <v>48</v>
      </c>
      <c r="E122" s="6" t="n">
        <v>46119</v>
      </c>
      <c r="F122" s="6" t="n">
        <v>46114</v>
      </c>
      <c r="G122" s="1" t="s">
        <v>70</v>
      </c>
      <c r="H122" s="1" t="s">
        <v>653</v>
      </c>
      <c r="I122" s="1" t="s">
        <v>654</v>
      </c>
      <c r="J122" s="1" t="n">
        <v>33429.5</v>
      </c>
      <c r="K122" s="1" t="n">
        <v>30582.88</v>
      </c>
      <c r="L122" s="1" t="n">
        <v>24212.54</v>
      </c>
      <c r="M122" s="1" t="n">
        <v>6370.34</v>
      </c>
      <c r="N122" s="1" t="s">
        <v>41</v>
      </c>
      <c r="P122" s="1" t="n">
        <v>3</v>
      </c>
      <c r="Q122" s="1" t="s">
        <v>42</v>
      </c>
      <c r="R122" s="1" t="s">
        <v>64</v>
      </c>
      <c r="S122" s="6" t="n">
        <v>46122</v>
      </c>
    </row>
    <row r="123" customFormat="false" ht="14.25" hidden="false" customHeight="true" outlineLevel="0" collapsed="false">
      <c r="A123" s="1" t="s">
        <v>655</v>
      </c>
      <c r="B123" s="1" t="s">
        <v>450</v>
      </c>
      <c r="C123" s="1" t="s">
        <v>623</v>
      </c>
      <c r="D123" s="1" t="s">
        <v>550</v>
      </c>
      <c r="E123" s="6" t="n">
        <v>46138</v>
      </c>
      <c r="F123" s="6" t="n">
        <v>46136</v>
      </c>
      <c r="G123" s="1" t="s">
        <v>38</v>
      </c>
      <c r="H123" s="1" t="s">
        <v>656</v>
      </c>
      <c r="I123" s="1" t="s">
        <v>657</v>
      </c>
      <c r="J123" s="1" t="n">
        <v>27729.03</v>
      </c>
      <c r="K123" s="1" t="n">
        <v>26316.38</v>
      </c>
      <c r="L123" s="1" t="n">
        <v>0</v>
      </c>
      <c r="M123" s="1" t="n">
        <v>26316.38</v>
      </c>
      <c r="N123" s="1" t="s">
        <v>52</v>
      </c>
      <c r="O123" s="1" t="s">
        <v>62</v>
      </c>
      <c r="P123" s="1" t="n">
        <v>6</v>
      </c>
      <c r="Q123" s="1" t="s">
        <v>155</v>
      </c>
      <c r="R123" s="1" t="s">
        <v>43</v>
      </c>
    </row>
    <row r="124" customFormat="false" ht="14.25" hidden="false" customHeight="true" outlineLevel="0" collapsed="false">
      <c r="A124" s="1" t="s">
        <v>658</v>
      </c>
      <c r="B124" s="1" t="s">
        <v>659</v>
      </c>
      <c r="C124" s="1" t="s">
        <v>623</v>
      </c>
      <c r="D124" s="1" t="s">
        <v>152</v>
      </c>
      <c r="E124" s="6" t="n">
        <v>46223</v>
      </c>
      <c r="F124" s="6" t="n">
        <v>46219</v>
      </c>
      <c r="G124" s="1" t="s">
        <v>70</v>
      </c>
      <c r="H124" s="1" t="s">
        <v>660</v>
      </c>
      <c r="I124" s="1" t="s">
        <v>661</v>
      </c>
      <c r="J124" s="1" t="n">
        <v>13077.41</v>
      </c>
      <c r="K124" s="1" t="n">
        <v>12273.09</v>
      </c>
      <c r="L124" s="1" t="n">
        <v>0</v>
      </c>
      <c r="M124" s="1" t="n">
        <v>12273.09</v>
      </c>
      <c r="N124" s="1" t="s">
        <v>52</v>
      </c>
      <c r="O124" s="1" t="s">
        <v>62</v>
      </c>
      <c r="P124" s="1" t="n">
        <v>8</v>
      </c>
      <c r="Q124" s="1" t="s">
        <v>42</v>
      </c>
      <c r="R124" s="1" t="s">
        <v>140</v>
      </c>
    </row>
    <row r="125" customFormat="false" ht="14.25" hidden="false" customHeight="true" outlineLevel="0" collapsed="false">
      <c r="A125" s="1" t="s">
        <v>662</v>
      </c>
      <c r="B125" s="1" t="s">
        <v>278</v>
      </c>
      <c r="C125" s="1" t="s">
        <v>115</v>
      </c>
      <c r="D125" s="1" t="s">
        <v>315</v>
      </c>
      <c r="E125" s="6" t="n">
        <v>46100</v>
      </c>
      <c r="F125" s="6" t="n">
        <v>46100</v>
      </c>
      <c r="G125" s="1" t="s">
        <v>38</v>
      </c>
      <c r="H125" s="1" t="s">
        <v>663</v>
      </c>
      <c r="I125" s="1" t="s">
        <v>664</v>
      </c>
      <c r="J125" s="1" t="n">
        <v>11483.39</v>
      </c>
      <c r="K125" s="1" t="n">
        <v>10412.17</v>
      </c>
      <c r="L125" s="1" t="n">
        <v>7865.62</v>
      </c>
      <c r="M125" s="1" t="n">
        <v>2546.55</v>
      </c>
      <c r="N125" s="1" t="s">
        <v>41</v>
      </c>
      <c r="P125" s="1" t="n">
        <v>5</v>
      </c>
      <c r="Q125" s="1" t="s">
        <v>63</v>
      </c>
      <c r="R125" s="1" t="s">
        <v>102</v>
      </c>
      <c r="S125" s="6" t="n">
        <v>46105</v>
      </c>
    </row>
    <row r="126" customFormat="false" ht="14.25" hidden="false" customHeight="true" outlineLevel="0" collapsed="false">
      <c r="A126" s="1" t="s">
        <v>665</v>
      </c>
      <c r="B126" s="1" t="s">
        <v>666</v>
      </c>
      <c r="C126" s="1" t="s">
        <v>459</v>
      </c>
      <c r="D126" s="1" t="s">
        <v>250</v>
      </c>
      <c r="E126" s="6" t="n">
        <v>46063</v>
      </c>
      <c r="F126" s="6" t="n">
        <v>46062</v>
      </c>
      <c r="G126" s="1" t="s">
        <v>38</v>
      </c>
      <c r="H126" s="1" t="s">
        <v>667</v>
      </c>
      <c r="I126" s="1" t="s">
        <v>668</v>
      </c>
      <c r="J126" s="1" t="n">
        <v>44536.45</v>
      </c>
      <c r="K126" s="1" t="n">
        <v>32287.01</v>
      </c>
      <c r="L126" s="1" t="n">
        <v>26283.59</v>
      </c>
      <c r="M126" s="1" t="n">
        <v>6003.42</v>
      </c>
      <c r="N126" s="1" t="s">
        <v>41</v>
      </c>
      <c r="P126" s="1" t="n">
        <v>5</v>
      </c>
      <c r="Q126" s="1" t="s">
        <v>42</v>
      </c>
      <c r="R126" s="1" t="s">
        <v>102</v>
      </c>
      <c r="S126" s="6" t="n">
        <v>46068</v>
      </c>
    </row>
    <row r="127" customFormat="false" ht="14.25" hidden="false" customHeight="true" outlineLevel="0" collapsed="false">
      <c r="A127" s="1" t="s">
        <v>669</v>
      </c>
      <c r="B127" s="1" t="s">
        <v>670</v>
      </c>
      <c r="C127" s="1" t="s">
        <v>671</v>
      </c>
      <c r="D127" s="1" t="s">
        <v>227</v>
      </c>
      <c r="E127" s="6" t="n">
        <v>46228</v>
      </c>
      <c r="F127" s="6" t="n">
        <v>46225</v>
      </c>
      <c r="G127" s="1" t="s">
        <v>49</v>
      </c>
      <c r="H127" s="1" t="s">
        <v>672</v>
      </c>
      <c r="I127" s="1" t="s">
        <v>673</v>
      </c>
      <c r="J127" s="1" t="n">
        <v>41372.41</v>
      </c>
      <c r="K127" s="1" t="n">
        <v>35451.13</v>
      </c>
      <c r="L127" s="1" t="n">
        <v>31695.37</v>
      </c>
      <c r="M127" s="1" t="n">
        <v>3755.76</v>
      </c>
      <c r="N127" s="1" t="s">
        <v>41</v>
      </c>
      <c r="P127" s="1" t="n">
        <v>2</v>
      </c>
      <c r="Q127" s="1" t="s">
        <v>63</v>
      </c>
      <c r="R127" s="1" t="s">
        <v>102</v>
      </c>
      <c r="S127" s="6" t="n">
        <v>46230</v>
      </c>
    </row>
    <row r="128" customFormat="false" ht="14.25" hidden="false" customHeight="true" outlineLevel="0" collapsed="false">
      <c r="A128" s="1" t="s">
        <v>674</v>
      </c>
      <c r="B128" s="1" t="s">
        <v>295</v>
      </c>
      <c r="C128" s="1" t="s">
        <v>182</v>
      </c>
      <c r="D128" s="1" t="s">
        <v>607</v>
      </c>
      <c r="E128" s="6" t="n">
        <v>46235</v>
      </c>
      <c r="F128" s="6" t="n">
        <v>46232</v>
      </c>
      <c r="G128" s="1" t="s">
        <v>108</v>
      </c>
      <c r="H128" s="1" t="s">
        <v>675</v>
      </c>
      <c r="I128" s="1" t="s">
        <v>676</v>
      </c>
      <c r="J128" s="1" t="n">
        <v>43457.64</v>
      </c>
      <c r="K128" s="1" t="n">
        <v>39587.13</v>
      </c>
      <c r="L128" s="1" t="n">
        <v>31934.12</v>
      </c>
      <c r="M128" s="1" t="n">
        <v>7653.01</v>
      </c>
      <c r="N128" s="1" t="s">
        <v>41</v>
      </c>
      <c r="P128" s="1" t="n">
        <v>1</v>
      </c>
      <c r="Q128" s="1" t="s">
        <v>42</v>
      </c>
      <c r="R128" s="1" t="s">
        <v>140</v>
      </c>
      <c r="S128" s="6" t="n">
        <v>46236</v>
      </c>
    </row>
    <row r="129" customFormat="false" ht="14.25" hidden="false" customHeight="true" outlineLevel="0" collapsed="false">
      <c r="A129" s="1" t="s">
        <v>677</v>
      </c>
      <c r="B129" s="1" t="s">
        <v>67</v>
      </c>
      <c r="C129" s="1" t="s">
        <v>273</v>
      </c>
      <c r="D129" s="1" t="s">
        <v>678</v>
      </c>
      <c r="E129" s="6" t="n">
        <v>46110</v>
      </c>
      <c r="F129" s="6" t="n">
        <v>46106</v>
      </c>
      <c r="G129" s="1" t="s">
        <v>108</v>
      </c>
      <c r="H129" s="1" t="s">
        <v>679</v>
      </c>
      <c r="I129" s="1" t="s">
        <v>680</v>
      </c>
      <c r="J129" s="1" t="n">
        <v>8083.28</v>
      </c>
      <c r="K129" s="1" t="n">
        <v>6887.69</v>
      </c>
      <c r="L129" s="1" t="n">
        <v>0</v>
      </c>
      <c r="M129" s="1" t="n">
        <v>6887.69</v>
      </c>
      <c r="N129" s="1" t="s">
        <v>111</v>
      </c>
      <c r="P129" s="1" t="n">
        <v>10</v>
      </c>
      <c r="Q129" s="1" t="s">
        <v>63</v>
      </c>
      <c r="R129" s="1" t="s">
        <v>125</v>
      </c>
    </row>
    <row r="130" customFormat="false" ht="14.25" hidden="false" customHeight="true" outlineLevel="0" collapsed="false">
      <c r="A130" s="1" t="s">
        <v>681</v>
      </c>
      <c r="B130" s="1" t="s">
        <v>682</v>
      </c>
      <c r="C130" s="1" t="s">
        <v>436</v>
      </c>
      <c r="D130" s="1" t="s">
        <v>250</v>
      </c>
      <c r="E130" s="6" t="n">
        <v>46124</v>
      </c>
      <c r="F130" s="6" t="n">
        <v>46123</v>
      </c>
      <c r="G130" s="1" t="s">
        <v>49</v>
      </c>
      <c r="H130" s="1" t="s">
        <v>482</v>
      </c>
      <c r="I130" s="1" t="s">
        <v>683</v>
      </c>
      <c r="J130" s="1" t="n">
        <v>4585.98</v>
      </c>
      <c r="K130" s="1" t="n">
        <v>3767.07</v>
      </c>
      <c r="L130" s="1" t="n">
        <v>2871.74</v>
      </c>
      <c r="M130" s="1" t="n">
        <v>895.33</v>
      </c>
      <c r="N130" s="1" t="s">
        <v>41</v>
      </c>
      <c r="P130" s="1" t="n">
        <v>7</v>
      </c>
      <c r="Q130" s="1" t="s">
        <v>155</v>
      </c>
      <c r="R130" s="1" t="s">
        <v>43</v>
      </c>
      <c r="S130" s="6" t="n">
        <v>46131</v>
      </c>
    </row>
    <row r="131" customFormat="false" ht="14.25" hidden="false" customHeight="true" outlineLevel="0" collapsed="false">
      <c r="A131" s="1" t="s">
        <v>684</v>
      </c>
      <c r="B131" s="1" t="s">
        <v>685</v>
      </c>
      <c r="C131" s="1" t="s">
        <v>686</v>
      </c>
      <c r="D131" s="1" t="s">
        <v>595</v>
      </c>
      <c r="E131" s="6" t="n">
        <v>46167</v>
      </c>
      <c r="F131" s="6" t="n">
        <v>46166</v>
      </c>
      <c r="G131" s="1" t="s">
        <v>49</v>
      </c>
      <c r="H131" s="1" t="s">
        <v>687</v>
      </c>
      <c r="I131" s="1" t="s">
        <v>688</v>
      </c>
      <c r="J131" s="1" t="n">
        <v>32786.3</v>
      </c>
      <c r="K131" s="1" t="n">
        <v>23239.91</v>
      </c>
      <c r="L131" s="1" t="n">
        <v>21008.86</v>
      </c>
      <c r="M131" s="1" t="n">
        <v>2231.05</v>
      </c>
      <c r="N131" s="1" t="s">
        <v>41</v>
      </c>
      <c r="P131" s="1" t="n">
        <v>4</v>
      </c>
      <c r="Q131" s="1" t="s">
        <v>155</v>
      </c>
      <c r="R131" s="1" t="s">
        <v>74</v>
      </c>
      <c r="S131" s="6" t="n">
        <v>46171</v>
      </c>
    </row>
    <row r="132" customFormat="false" ht="14.25" hidden="false" customHeight="true" outlineLevel="0" collapsed="false">
      <c r="A132" s="1" t="s">
        <v>689</v>
      </c>
      <c r="B132" s="1" t="s">
        <v>690</v>
      </c>
      <c r="C132" s="1" t="s">
        <v>356</v>
      </c>
      <c r="D132" s="1" t="s">
        <v>529</v>
      </c>
      <c r="E132" s="6" t="n">
        <v>46131</v>
      </c>
      <c r="F132" s="6" t="n">
        <v>46128</v>
      </c>
      <c r="G132" s="1" t="s">
        <v>49</v>
      </c>
      <c r="H132" s="1" t="s">
        <v>691</v>
      </c>
      <c r="I132" s="1" t="s">
        <v>540</v>
      </c>
      <c r="J132" s="1" t="n">
        <v>9929.24</v>
      </c>
      <c r="K132" s="1" t="n">
        <v>7480.27</v>
      </c>
      <c r="L132" s="1" t="n">
        <v>6835.86</v>
      </c>
      <c r="M132" s="1" t="n">
        <v>644.41</v>
      </c>
      <c r="N132" s="1" t="s">
        <v>41</v>
      </c>
      <c r="P132" s="1" t="n">
        <v>5</v>
      </c>
      <c r="Q132" s="1" t="s">
        <v>63</v>
      </c>
      <c r="R132" s="1" t="s">
        <v>54</v>
      </c>
      <c r="S132" s="6" t="n">
        <v>46136</v>
      </c>
    </row>
    <row r="133" customFormat="false" ht="14.25" hidden="false" customHeight="true" outlineLevel="0" collapsed="false">
      <c r="A133" s="1" t="s">
        <v>692</v>
      </c>
      <c r="B133" s="1" t="s">
        <v>238</v>
      </c>
      <c r="C133" s="1" t="s">
        <v>198</v>
      </c>
      <c r="D133" s="1" t="s">
        <v>382</v>
      </c>
      <c r="E133" s="6" t="n">
        <v>46233</v>
      </c>
      <c r="F133" s="6" t="n">
        <v>46232</v>
      </c>
      <c r="G133" s="1" t="s">
        <v>38</v>
      </c>
      <c r="H133" s="1" t="s">
        <v>693</v>
      </c>
      <c r="I133" s="1" t="s">
        <v>694</v>
      </c>
      <c r="J133" s="1" t="n">
        <v>19004.13</v>
      </c>
      <c r="K133" s="1" t="n">
        <v>16672.71</v>
      </c>
      <c r="L133" s="1" t="n">
        <v>16059</v>
      </c>
      <c r="M133" s="1" t="n">
        <v>613.71</v>
      </c>
      <c r="N133" s="1" t="s">
        <v>41</v>
      </c>
      <c r="P133" s="1" t="n">
        <v>2</v>
      </c>
      <c r="Q133" s="1" t="s">
        <v>155</v>
      </c>
      <c r="R133" s="1" t="s">
        <v>102</v>
      </c>
      <c r="S133" s="6" t="n">
        <v>46235</v>
      </c>
    </row>
    <row r="134" customFormat="false" ht="14.25" hidden="false" customHeight="true" outlineLevel="0" collapsed="false">
      <c r="A134" s="1" t="s">
        <v>695</v>
      </c>
      <c r="B134" s="1" t="s">
        <v>696</v>
      </c>
      <c r="C134" s="1" t="s">
        <v>325</v>
      </c>
      <c r="D134" s="1" t="s">
        <v>234</v>
      </c>
      <c r="E134" s="6" t="n">
        <v>46200</v>
      </c>
      <c r="F134" s="6" t="n">
        <v>46200</v>
      </c>
      <c r="G134" s="1" t="s">
        <v>70</v>
      </c>
      <c r="H134" s="1" t="s">
        <v>697</v>
      </c>
      <c r="I134" s="1" t="s">
        <v>698</v>
      </c>
      <c r="J134" s="1" t="n">
        <v>23823.92</v>
      </c>
      <c r="K134" s="1" t="n">
        <v>17857.53</v>
      </c>
      <c r="L134" s="1" t="n">
        <v>16696.85</v>
      </c>
      <c r="M134" s="1" t="n">
        <v>1160.68</v>
      </c>
      <c r="N134" s="1" t="s">
        <v>41</v>
      </c>
      <c r="P134" s="1" t="n">
        <v>4</v>
      </c>
      <c r="Q134" s="1" t="s">
        <v>42</v>
      </c>
      <c r="R134" s="1" t="s">
        <v>74</v>
      </c>
      <c r="S134" s="6" t="n">
        <v>46204</v>
      </c>
    </row>
    <row r="135" customFormat="false" ht="14.25" hidden="false" customHeight="true" outlineLevel="0" collapsed="false">
      <c r="A135" s="1" t="s">
        <v>699</v>
      </c>
      <c r="B135" s="1" t="s">
        <v>700</v>
      </c>
      <c r="C135" s="1" t="s">
        <v>671</v>
      </c>
      <c r="D135" s="1" t="s">
        <v>336</v>
      </c>
      <c r="E135" s="6" t="n">
        <v>46064</v>
      </c>
      <c r="F135" s="6" t="n">
        <v>46059</v>
      </c>
      <c r="G135" s="1" t="s">
        <v>38</v>
      </c>
      <c r="H135" s="1" t="s">
        <v>701</v>
      </c>
      <c r="I135" s="1" t="s">
        <v>702</v>
      </c>
      <c r="J135" s="1" t="n">
        <v>1410.23</v>
      </c>
      <c r="K135" s="1" t="n">
        <v>1163.3</v>
      </c>
      <c r="L135" s="1" t="n">
        <v>0</v>
      </c>
      <c r="M135" s="1" t="n">
        <v>1163.3</v>
      </c>
      <c r="N135" s="1" t="s">
        <v>111</v>
      </c>
      <c r="P135" s="1" t="n">
        <v>14</v>
      </c>
      <c r="Q135" s="1" t="s">
        <v>155</v>
      </c>
      <c r="R135" s="1" t="s">
        <v>125</v>
      </c>
    </row>
    <row r="136" customFormat="false" ht="14.25" hidden="false" customHeight="true" outlineLevel="0" collapsed="false">
      <c r="A136" s="1" t="s">
        <v>703</v>
      </c>
      <c r="B136" s="1" t="s">
        <v>704</v>
      </c>
      <c r="C136" s="1" t="s">
        <v>92</v>
      </c>
      <c r="D136" s="1" t="s">
        <v>705</v>
      </c>
      <c r="E136" s="6" t="n">
        <v>46205</v>
      </c>
      <c r="F136" s="6" t="n">
        <v>46201</v>
      </c>
      <c r="G136" s="1" t="s">
        <v>70</v>
      </c>
      <c r="H136" s="1" t="s">
        <v>624</v>
      </c>
      <c r="I136" s="1" t="s">
        <v>706</v>
      </c>
      <c r="J136" s="1" t="n">
        <v>23515.56</v>
      </c>
      <c r="K136" s="1" t="n">
        <v>21953.02</v>
      </c>
      <c r="L136" s="1" t="n">
        <v>16830.27</v>
      </c>
      <c r="M136" s="1" t="n">
        <v>5122.75</v>
      </c>
      <c r="N136" s="1" t="s">
        <v>41</v>
      </c>
      <c r="P136" s="1" t="n">
        <v>5</v>
      </c>
      <c r="Q136" s="1" t="s">
        <v>155</v>
      </c>
      <c r="R136" s="1" t="s">
        <v>43</v>
      </c>
      <c r="S136" s="6" t="n">
        <v>46210</v>
      </c>
    </row>
    <row r="137" customFormat="false" ht="14.25" hidden="false" customHeight="true" outlineLevel="0" collapsed="false">
      <c r="A137" s="1" t="s">
        <v>707</v>
      </c>
      <c r="B137" s="1" t="s">
        <v>708</v>
      </c>
      <c r="C137" s="1" t="s">
        <v>115</v>
      </c>
      <c r="D137" s="1" t="s">
        <v>347</v>
      </c>
      <c r="E137" s="6" t="n">
        <v>46158</v>
      </c>
      <c r="F137" s="6" t="n">
        <v>46153</v>
      </c>
      <c r="G137" s="1" t="s">
        <v>108</v>
      </c>
      <c r="H137" s="1" t="s">
        <v>709</v>
      </c>
      <c r="I137" s="1" t="s">
        <v>710</v>
      </c>
      <c r="J137" s="1" t="n">
        <v>16115.07</v>
      </c>
      <c r="K137" s="1" t="n">
        <v>14665.23</v>
      </c>
      <c r="L137" s="1" t="n">
        <v>12947.79</v>
      </c>
      <c r="M137" s="1" t="n">
        <v>1717.44</v>
      </c>
      <c r="N137" s="1" t="s">
        <v>41</v>
      </c>
      <c r="P137" s="1" t="n">
        <v>3</v>
      </c>
      <c r="Q137" s="1" t="s">
        <v>42</v>
      </c>
      <c r="R137" s="1" t="s">
        <v>102</v>
      </c>
      <c r="S137" s="6" t="n">
        <v>46161</v>
      </c>
    </row>
    <row r="138" customFormat="false" ht="14.25" hidden="false" customHeight="true" outlineLevel="0" collapsed="false">
      <c r="A138" s="1" t="s">
        <v>711</v>
      </c>
      <c r="B138" s="1" t="s">
        <v>537</v>
      </c>
      <c r="C138" s="1" t="s">
        <v>115</v>
      </c>
      <c r="D138" s="1" t="s">
        <v>712</v>
      </c>
      <c r="E138" s="6" t="n">
        <v>46111</v>
      </c>
      <c r="F138" s="6" t="n">
        <v>46108</v>
      </c>
      <c r="G138" s="1" t="s">
        <v>108</v>
      </c>
      <c r="H138" s="1" t="s">
        <v>713</v>
      </c>
      <c r="I138" s="1" t="s">
        <v>714</v>
      </c>
      <c r="J138" s="1" t="n">
        <v>8271.76</v>
      </c>
      <c r="K138" s="1" t="n">
        <v>6237.19</v>
      </c>
      <c r="L138" s="1" t="n">
        <v>5226.63</v>
      </c>
      <c r="M138" s="1" t="n">
        <v>1010.56</v>
      </c>
      <c r="N138" s="1" t="s">
        <v>41</v>
      </c>
      <c r="P138" s="1" t="n">
        <v>5</v>
      </c>
      <c r="Q138" s="1" t="s">
        <v>63</v>
      </c>
      <c r="R138" s="1" t="s">
        <v>125</v>
      </c>
      <c r="S138" s="6" t="n">
        <v>46116</v>
      </c>
    </row>
    <row r="139" customFormat="false" ht="14.25" hidden="false" customHeight="true" outlineLevel="0" collapsed="false">
      <c r="A139" s="1" t="s">
        <v>715</v>
      </c>
      <c r="B139" s="1" t="s">
        <v>716</v>
      </c>
      <c r="C139" s="1" t="s">
        <v>623</v>
      </c>
      <c r="D139" s="1" t="s">
        <v>717</v>
      </c>
      <c r="E139" s="6" t="n">
        <v>46034</v>
      </c>
      <c r="F139" s="6" t="n">
        <v>46030</v>
      </c>
      <c r="G139" s="1" t="s">
        <v>38</v>
      </c>
      <c r="H139" s="1" t="s">
        <v>718</v>
      </c>
      <c r="I139" s="1" t="s">
        <v>719</v>
      </c>
      <c r="J139" s="1" t="n">
        <v>11666.34</v>
      </c>
      <c r="K139" s="1" t="n">
        <v>8779.34</v>
      </c>
      <c r="L139" s="1" t="n">
        <v>0</v>
      </c>
      <c r="M139" s="1" t="n">
        <v>8779.34</v>
      </c>
      <c r="N139" s="1" t="s">
        <v>52</v>
      </c>
      <c r="O139" s="1" t="s">
        <v>265</v>
      </c>
      <c r="P139" s="1" t="n">
        <v>7</v>
      </c>
      <c r="Q139" s="1" t="s">
        <v>42</v>
      </c>
      <c r="R139" s="1" t="s">
        <v>140</v>
      </c>
    </row>
    <row r="140" customFormat="false" ht="14.25" hidden="false" customHeight="true" outlineLevel="0" collapsed="false">
      <c r="A140" s="1" t="s">
        <v>720</v>
      </c>
      <c r="B140" s="1" t="s">
        <v>721</v>
      </c>
      <c r="C140" s="1" t="s">
        <v>325</v>
      </c>
      <c r="D140" s="1" t="s">
        <v>722</v>
      </c>
      <c r="E140" s="6" t="n">
        <v>46134</v>
      </c>
      <c r="F140" s="6" t="n">
        <v>46132</v>
      </c>
      <c r="G140" s="1" t="s">
        <v>38</v>
      </c>
      <c r="H140" s="1" t="s">
        <v>723</v>
      </c>
      <c r="I140" s="1" t="s">
        <v>724</v>
      </c>
      <c r="J140" s="1" t="n">
        <v>16799.59</v>
      </c>
      <c r="K140" s="1" t="n">
        <v>13652.52</v>
      </c>
      <c r="L140" s="1" t="n">
        <v>0</v>
      </c>
      <c r="M140" s="1" t="n">
        <v>13652.52</v>
      </c>
      <c r="N140" s="1" t="s">
        <v>52</v>
      </c>
      <c r="O140" s="1" t="s">
        <v>265</v>
      </c>
      <c r="P140" s="1" t="n">
        <v>4</v>
      </c>
      <c r="Q140" s="1" t="s">
        <v>63</v>
      </c>
      <c r="R140" s="1" t="s">
        <v>74</v>
      </c>
    </row>
    <row r="141" customFormat="false" ht="14.25" hidden="false" customHeight="true" outlineLevel="0" collapsed="false">
      <c r="A141" s="1" t="s">
        <v>725</v>
      </c>
      <c r="B141" s="1" t="s">
        <v>726</v>
      </c>
      <c r="C141" s="1" t="s">
        <v>386</v>
      </c>
      <c r="D141" s="1" t="s">
        <v>727</v>
      </c>
      <c r="E141" s="6" t="n">
        <v>46207</v>
      </c>
      <c r="F141" s="6" t="n">
        <v>46203</v>
      </c>
      <c r="G141" s="1" t="s">
        <v>108</v>
      </c>
      <c r="H141" s="1" t="s">
        <v>728</v>
      </c>
      <c r="I141" s="1" t="s">
        <v>729</v>
      </c>
      <c r="J141" s="1" t="n">
        <v>21788.18</v>
      </c>
      <c r="K141" s="1" t="n">
        <v>20103.97</v>
      </c>
      <c r="L141" s="1" t="n">
        <v>0</v>
      </c>
      <c r="M141" s="1" t="n">
        <v>20103.97</v>
      </c>
      <c r="N141" s="1" t="s">
        <v>52</v>
      </c>
      <c r="O141" s="1" t="s">
        <v>73</v>
      </c>
      <c r="P141" s="1" t="n">
        <v>3</v>
      </c>
      <c r="Q141" s="1" t="s">
        <v>155</v>
      </c>
      <c r="R141" s="1" t="s">
        <v>74</v>
      </c>
    </row>
    <row r="142" customFormat="false" ht="14.25" hidden="false" customHeight="true" outlineLevel="0" collapsed="false">
      <c r="A142" s="1" t="s">
        <v>730</v>
      </c>
      <c r="B142" s="1" t="s">
        <v>731</v>
      </c>
      <c r="C142" s="1" t="s">
        <v>310</v>
      </c>
      <c r="D142" s="1" t="s">
        <v>732</v>
      </c>
      <c r="E142" s="6" t="n">
        <v>46032</v>
      </c>
      <c r="F142" s="6" t="n">
        <v>46030</v>
      </c>
      <c r="G142" s="1" t="s">
        <v>108</v>
      </c>
      <c r="H142" s="1" t="s">
        <v>733</v>
      </c>
      <c r="I142" s="1" t="s">
        <v>734</v>
      </c>
      <c r="J142" s="1" t="n">
        <v>20994.99</v>
      </c>
      <c r="K142" s="1" t="n">
        <v>16237.01</v>
      </c>
      <c r="L142" s="1" t="n">
        <v>0</v>
      </c>
      <c r="M142" s="1" t="n">
        <v>16237.01</v>
      </c>
      <c r="N142" s="1" t="s">
        <v>52</v>
      </c>
      <c r="O142" s="1" t="s">
        <v>230</v>
      </c>
      <c r="P142" s="1" t="n">
        <v>8</v>
      </c>
      <c r="Q142" s="1" t="s">
        <v>155</v>
      </c>
      <c r="R142" s="1" t="s">
        <v>125</v>
      </c>
    </row>
    <row r="143" customFormat="false" ht="14.25" hidden="false" customHeight="true" outlineLevel="0" collapsed="false">
      <c r="A143" s="1" t="s">
        <v>735</v>
      </c>
      <c r="B143" s="1" t="s">
        <v>114</v>
      </c>
      <c r="C143" s="1" t="s">
        <v>436</v>
      </c>
      <c r="D143" s="1" t="s">
        <v>183</v>
      </c>
      <c r="E143" s="6" t="n">
        <v>46183</v>
      </c>
      <c r="F143" s="6" t="n">
        <v>46179</v>
      </c>
      <c r="G143" s="1" t="s">
        <v>49</v>
      </c>
      <c r="H143" s="1" t="s">
        <v>736</v>
      </c>
      <c r="I143" s="1" t="s">
        <v>737</v>
      </c>
      <c r="J143" s="1" t="n">
        <v>28568.63</v>
      </c>
      <c r="K143" s="1" t="n">
        <v>20548.66</v>
      </c>
      <c r="L143" s="1" t="n">
        <v>16604.25</v>
      </c>
      <c r="M143" s="1" t="n">
        <v>3944.41</v>
      </c>
      <c r="N143" s="1" t="s">
        <v>41</v>
      </c>
      <c r="P143" s="1" t="n">
        <v>1</v>
      </c>
      <c r="Q143" s="1" t="s">
        <v>42</v>
      </c>
      <c r="R143" s="1" t="s">
        <v>43</v>
      </c>
      <c r="S143" s="6" t="n">
        <v>46184</v>
      </c>
    </row>
    <row r="144" customFormat="false" ht="14.25" hidden="false" customHeight="true" outlineLevel="0" collapsed="false">
      <c r="A144" s="1" t="s">
        <v>738</v>
      </c>
      <c r="B144" s="1" t="s">
        <v>739</v>
      </c>
      <c r="C144" s="1" t="s">
        <v>671</v>
      </c>
      <c r="D144" s="1" t="s">
        <v>740</v>
      </c>
      <c r="E144" s="6" t="n">
        <v>46210</v>
      </c>
      <c r="F144" s="6" t="n">
        <v>46205</v>
      </c>
      <c r="G144" s="1" t="s">
        <v>108</v>
      </c>
      <c r="H144" s="1" t="s">
        <v>741</v>
      </c>
      <c r="I144" s="1" t="s">
        <v>742</v>
      </c>
      <c r="J144" s="1" t="n">
        <v>42680.41</v>
      </c>
      <c r="K144" s="1" t="n">
        <v>34034.8</v>
      </c>
      <c r="L144" s="1" t="n">
        <v>26696.15</v>
      </c>
      <c r="M144" s="1" t="n">
        <v>7338.65</v>
      </c>
      <c r="N144" s="1" t="s">
        <v>41</v>
      </c>
      <c r="P144" s="1" t="n">
        <v>4</v>
      </c>
      <c r="Q144" s="1" t="s">
        <v>155</v>
      </c>
      <c r="R144" s="1" t="s">
        <v>74</v>
      </c>
      <c r="S144" s="6" t="n">
        <v>46214</v>
      </c>
    </row>
    <row r="145" customFormat="false" ht="14.25" hidden="false" customHeight="true" outlineLevel="0" collapsed="false">
      <c r="A145" s="1" t="s">
        <v>743</v>
      </c>
      <c r="B145" s="1" t="s">
        <v>744</v>
      </c>
      <c r="C145" s="1" t="s">
        <v>221</v>
      </c>
      <c r="D145" s="1" t="s">
        <v>550</v>
      </c>
      <c r="E145" s="6" t="n">
        <v>46195</v>
      </c>
      <c r="F145" s="6" t="n">
        <v>46194</v>
      </c>
      <c r="G145" s="1" t="s">
        <v>49</v>
      </c>
      <c r="H145" s="1" t="s">
        <v>745</v>
      </c>
      <c r="I145" s="1" t="s">
        <v>746</v>
      </c>
      <c r="J145" s="1" t="n">
        <v>3773.75</v>
      </c>
      <c r="K145" s="1" t="n">
        <v>3502.53</v>
      </c>
      <c r="L145" s="1" t="n">
        <v>0</v>
      </c>
      <c r="M145" s="1" t="n">
        <v>3502.53</v>
      </c>
      <c r="N145" s="1" t="s">
        <v>52</v>
      </c>
      <c r="O145" s="1" t="s">
        <v>73</v>
      </c>
      <c r="P145" s="1" t="n">
        <v>8</v>
      </c>
      <c r="Q145" s="1" t="s">
        <v>63</v>
      </c>
      <c r="R145" s="1" t="s">
        <v>125</v>
      </c>
    </row>
    <row r="146" customFormat="false" ht="14.25" hidden="false" customHeight="true" outlineLevel="0" collapsed="false">
      <c r="A146" s="1" t="s">
        <v>747</v>
      </c>
      <c r="B146" s="1" t="s">
        <v>748</v>
      </c>
      <c r="C146" s="1" t="s">
        <v>446</v>
      </c>
      <c r="D146" s="1" t="s">
        <v>326</v>
      </c>
      <c r="E146" s="6" t="n">
        <v>46037</v>
      </c>
      <c r="F146" s="6" t="n">
        <v>46033</v>
      </c>
      <c r="G146" s="1" t="s">
        <v>108</v>
      </c>
      <c r="H146" s="1" t="s">
        <v>749</v>
      </c>
      <c r="I146" s="1" t="s">
        <v>750</v>
      </c>
      <c r="J146" s="1" t="n">
        <v>19328.52</v>
      </c>
      <c r="K146" s="1" t="n">
        <v>14377.89</v>
      </c>
      <c r="L146" s="1" t="n">
        <v>0</v>
      </c>
      <c r="M146" s="1" t="n">
        <v>14377.89</v>
      </c>
      <c r="N146" s="1" t="s">
        <v>111</v>
      </c>
      <c r="P146" s="1" t="n">
        <v>13</v>
      </c>
      <c r="Q146" s="1" t="s">
        <v>63</v>
      </c>
      <c r="R146" s="1" t="s">
        <v>43</v>
      </c>
    </row>
    <row r="147" customFormat="false" ht="14.25" hidden="false" customHeight="true" outlineLevel="0" collapsed="false">
      <c r="A147" s="1" t="s">
        <v>751</v>
      </c>
      <c r="B147" s="1" t="s">
        <v>752</v>
      </c>
      <c r="C147" s="1" t="s">
        <v>376</v>
      </c>
      <c r="D147" s="1" t="s">
        <v>37</v>
      </c>
      <c r="E147" s="6" t="n">
        <v>46034</v>
      </c>
      <c r="F147" s="6" t="n">
        <v>46033</v>
      </c>
      <c r="G147" s="1" t="s">
        <v>49</v>
      </c>
      <c r="H147" s="1" t="s">
        <v>753</v>
      </c>
      <c r="I147" s="1" t="s">
        <v>754</v>
      </c>
      <c r="J147" s="1" t="n">
        <v>20082.75</v>
      </c>
      <c r="K147" s="1" t="n">
        <v>17483.06</v>
      </c>
      <c r="L147" s="1" t="n">
        <v>15549.87</v>
      </c>
      <c r="M147" s="1" t="n">
        <v>1933.19</v>
      </c>
      <c r="N147" s="1" t="s">
        <v>41</v>
      </c>
      <c r="P147" s="1" t="n">
        <v>1</v>
      </c>
      <c r="Q147" s="1" t="s">
        <v>63</v>
      </c>
      <c r="R147" s="1" t="s">
        <v>140</v>
      </c>
      <c r="S147" s="6" t="n">
        <v>46035</v>
      </c>
    </row>
    <row r="148" customFormat="false" ht="14.25" hidden="false" customHeight="true" outlineLevel="0" collapsed="false">
      <c r="A148" s="1" t="s">
        <v>755</v>
      </c>
      <c r="B148" s="1" t="s">
        <v>756</v>
      </c>
      <c r="C148" s="1" t="s">
        <v>78</v>
      </c>
      <c r="D148" s="1" t="s">
        <v>757</v>
      </c>
      <c r="E148" s="6" t="n">
        <v>46133</v>
      </c>
      <c r="F148" s="6" t="n">
        <v>46131</v>
      </c>
      <c r="G148" s="1" t="s">
        <v>108</v>
      </c>
      <c r="H148" s="1" t="s">
        <v>758</v>
      </c>
      <c r="I148" s="1" t="s">
        <v>759</v>
      </c>
      <c r="J148" s="1" t="n">
        <v>3200.06</v>
      </c>
      <c r="K148" s="1" t="n">
        <v>2576.34</v>
      </c>
      <c r="L148" s="1" t="n">
        <v>0</v>
      </c>
      <c r="M148" s="1" t="n">
        <v>2576.34</v>
      </c>
      <c r="N148" s="1" t="s">
        <v>111</v>
      </c>
      <c r="P148" s="1" t="n">
        <v>6</v>
      </c>
      <c r="Q148" s="1" t="s">
        <v>155</v>
      </c>
      <c r="R148" s="1" t="s">
        <v>140</v>
      </c>
    </row>
    <row r="149" customFormat="false" ht="14.25" hidden="false" customHeight="true" outlineLevel="0" collapsed="false">
      <c r="A149" s="1" t="s">
        <v>760</v>
      </c>
      <c r="B149" s="1" t="s">
        <v>351</v>
      </c>
      <c r="C149" s="1" t="s">
        <v>346</v>
      </c>
      <c r="D149" s="1" t="s">
        <v>648</v>
      </c>
      <c r="E149" s="6" t="n">
        <v>46226</v>
      </c>
      <c r="F149" s="6" t="n">
        <v>46222</v>
      </c>
      <c r="G149" s="1" t="s">
        <v>49</v>
      </c>
      <c r="H149" s="1" t="s">
        <v>761</v>
      </c>
      <c r="I149" s="1" t="s">
        <v>762</v>
      </c>
      <c r="J149" s="1" t="n">
        <v>34957.65</v>
      </c>
      <c r="K149" s="1" t="n">
        <v>24141.47</v>
      </c>
      <c r="L149" s="1" t="n">
        <v>0</v>
      </c>
      <c r="M149" s="1" t="n">
        <v>24141.47</v>
      </c>
      <c r="N149" s="1" t="s">
        <v>52</v>
      </c>
      <c r="O149" s="1" t="s">
        <v>230</v>
      </c>
      <c r="P149" s="1" t="n">
        <v>7</v>
      </c>
      <c r="Q149" s="1" t="s">
        <v>63</v>
      </c>
      <c r="R149" s="1" t="s">
        <v>54</v>
      </c>
    </row>
    <row r="150" customFormat="false" ht="14.25" hidden="false" customHeight="true" outlineLevel="0" collapsed="false">
      <c r="A150" s="1" t="s">
        <v>763</v>
      </c>
      <c r="B150" s="1" t="s">
        <v>764</v>
      </c>
      <c r="C150" s="1" t="s">
        <v>436</v>
      </c>
      <c r="D150" s="1" t="s">
        <v>501</v>
      </c>
      <c r="E150" s="6" t="n">
        <v>46089</v>
      </c>
      <c r="F150" s="6" t="n">
        <v>46087</v>
      </c>
      <c r="G150" s="1" t="s">
        <v>49</v>
      </c>
      <c r="H150" s="1" t="s">
        <v>363</v>
      </c>
      <c r="I150" s="1" t="s">
        <v>765</v>
      </c>
      <c r="J150" s="1" t="n">
        <v>45404.54</v>
      </c>
      <c r="K150" s="1" t="n">
        <v>40362.18</v>
      </c>
      <c r="L150" s="1" t="n">
        <v>0</v>
      </c>
      <c r="M150" s="1" t="n">
        <v>40362.18</v>
      </c>
      <c r="N150" s="1" t="s">
        <v>111</v>
      </c>
      <c r="P150" s="1" t="n">
        <v>15</v>
      </c>
      <c r="Q150" s="1" t="s">
        <v>155</v>
      </c>
      <c r="R150" s="1" t="s">
        <v>64</v>
      </c>
    </row>
    <row r="151" customFormat="false" ht="14.25" hidden="false" customHeight="true" outlineLevel="0" collapsed="false">
      <c r="A151" s="1" t="s">
        <v>766</v>
      </c>
      <c r="B151" s="1" t="s">
        <v>417</v>
      </c>
      <c r="C151" s="1" t="s">
        <v>468</v>
      </c>
      <c r="D151" s="1" t="s">
        <v>717</v>
      </c>
      <c r="E151" s="6" t="n">
        <v>46207</v>
      </c>
      <c r="F151" s="6" t="n">
        <v>46204</v>
      </c>
      <c r="G151" s="1" t="s">
        <v>108</v>
      </c>
      <c r="H151" s="1" t="s">
        <v>767</v>
      </c>
      <c r="I151" s="1" t="s">
        <v>768</v>
      </c>
      <c r="J151" s="1" t="n">
        <v>48771.98</v>
      </c>
      <c r="K151" s="1" t="n">
        <v>40657.38</v>
      </c>
      <c r="L151" s="1" t="n">
        <v>0</v>
      </c>
      <c r="M151" s="1" t="n">
        <v>40657.38</v>
      </c>
      <c r="N151" s="1" t="s">
        <v>111</v>
      </c>
      <c r="P151" s="1" t="n">
        <v>6</v>
      </c>
      <c r="Q151" s="1" t="s">
        <v>63</v>
      </c>
      <c r="R151" s="1" t="s">
        <v>64</v>
      </c>
    </row>
    <row r="152" customFormat="false" ht="14.25" hidden="false" customHeight="true" outlineLevel="0" collapsed="false">
      <c r="A152" s="1" t="s">
        <v>769</v>
      </c>
      <c r="B152" s="1" t="s">
        <v>770</v>
      </c>
      <c r="C152" s="1" t="s">
        <v>623</v>
      </c>
      <c r="D152" s="1" t="s">
        <v>341</v>
      </c>
      <c r="E152" s="6" t="n">
        <v>46192</v>
      </c>
      <c r="F152" s="6" t="n">
        <v>46191</v>
      </c>
      <c r="G152" s="1" t="s">
        <v>49</v>
      </c>
      <c r="H152" s="1" t="s">
        <v>771</v>
      </c>
      <c r="I152" s="1" t="s">
        <v>772</v>
      </c>
      <c r="J152" s="1" t="n">
        <v>7658.07</v>
      </c>
      <c r="K152" s="1" t="n">
        <v>6744.82</v>
      </c>
      <c r="L152" s="1" t="n">
        <v>5145.14</v>
      </c>
      <c r="M152" s="1" t="n">
        <v>1599.68</v>
      </c>
      <c r="N152" s="1" t="s">
        <v>41</v>
      </c>
      <c r="P152" s="1" t="n">
        <v>5</v>
      </c>
      <c r="Q152" s="1" t="s">
        <v>155</v>
      </c>
      <c r="R152" s="1" t="s">
        <v>140</v>
      </c>
      <c r="S152" s="6" t="n">
        <v>46197</v>
      </c>
    </row>
    <row r="153" customFormat="false" ht="14.25" hidden="false" customHeight="true" outlineLevel="0" collapsed="false">
      <c r="A153" s="1" t="s">
        <v>773</v>
      </c>
      <c r="B153" s="1" t="s">
        <v>774</v>
      </c>
      <c r="C153" s="1" t="s">
        <v>151</v>
      </c>
      <c r="D153" s="1" t="s">
        <v>86</v>
      </c>
      <c r="E153" s="6" t="n">
        <v>46074</v>
      </c>
      <c r="F153" s="6" t="n">
        <v>46074</v>
      </c>
      <c r="G153" s="1" t="s">
        <v>49</v>
      </c>
      <c r="H153" s="1" t="s">
        <v>775</v>
      </c>
      <c r="I153" s="1" t="s">
        <v>776</v>
      </c>
      <c r="J153" s="1" t="n">
        <v>13028.99</v>
      </c>
      <c r="K153" s="1" t="n">
        <v>10261.54</v>
      </c>
      <c r="L153" s="1" t="n">
        <v>0</v>
      </c>
      <c r="M153" s="1" t="n">
        <v>10261.54</v>
      </c>
      <c r="N153" s="1" t="s">
        <v>111</v>
      </c>
      <c r="P153" s="1" t="n">
        <v>11</v>
      </c>
      <c r="Q153" s="1" t="s">
        <v>42</v>
      </c>
      <c r="R153" s="1" t="s">
        <v>74</v>
      </c>
    </row>
    <row r="154" customFormat="false" ht="14.25" hidden="false" customHeight="true" outlineLevel="0" collapsed="false">
      <c r="A154" s="1" t="s">
        <v>777</v>
      </c>
      <c r="B154" s="1" t="s">
        <v>778</v>
      </c>
      <c r="C154" s="1" t="s">
        <v>510</v>
      </c>
      <c r="D154" s="1" t="s">
        <v>130</v>
      </c>
      <c r="E154" s="6" t="n">
        <v>46147</v>
      </c>
      <c r="F154" s="6" t="n">
        <v>46144</v>
      </c>
      <c r="G154" s="1" t="s">
        <v>38</v>
      </c>
      <c r="H154" s="1" t="s">
        <v>779</v>
      </c>
      <c r="I154" s="1" t="s">
        <v>780</v>
      </c>
      <c r="J154" s="1" t="n">
        <v>4430.54</v>
      </c>
      <c r="K154" s="1" t="n">
        <v>3677.48</v>
      </c>
      <c r="L154" s="1" t="n">
        <v>2983.09</v>
      </c>
      <c r="M154" s="1" t="n">
        <v>694.39</v>
      </c>
      <c r="N154" s="1" t="s">
        <v>41</v>
      </c>
      <c r="P154" s="1" t="n">
        <v>5</v>
      </c>
      <c r="Q154" s="1" t="s">
        <v>42</v>
      </c>
      <c r="R154" s="1" t="s">
        <v>102</v>
      </c>
      <c r="S154" s="6" t="n">
        <v>46152</v>
      </c>
    </row>
    <row r="155" customFormat="false" ht="14.25" hidden="false" customHeight="true" outlineLevel="0" collapsed="false">
      <c r="A155" s="1" t="s">
        <v>781</v>
      </c>
      <c r="B155" s="1" t="s">
        <v>716</v>
      </c>
      <c r="C155" s="1" t="s">
        <v>182</v>
      </c>
      <c r="D155" s="1" t="s">
        <v>159</v>
      </c>
      <c r="E155" s="6" t="n">
        <v>46033</v>
      </c>
      <c r="F155" s="6" t="n">
        <v>46032</v>
      </c>
      <c r="G155" s="1" t="s">
        <v>49</v>
      </c>
      <c r="H155" s="1" t="s">
        <v>782</v>
      </c>
      <c r="I155" s="1" t="s">
        <v>783</v>
      </c>
      <c r="J155" s="1" t="n">
        <v>33516.33</v>
      </c>
      <c r="K155" s="1" t="n">
        <v>30211.77</v>
      </c>
      <c r="L155" s="1" t="n">
        <v>0</v>
      </c>
      <c r="M155" s="1" t="n">
        <v>30211.77</v>
      </c>
      <c r="N155" s="1" t="s">
        <v>52</v>
      </c>
      <c r="O155" s="1" t="s">
        <v>230</v>
      </c>
      <c r="P155" s="1" t="n">
        <v>5</v>
      </c>
      <c r="Q155" s="1" t="s">
        <v>42</v>
      </c>
      <c r="R155" s="1" t="s">
        <v>102</v>
      </c>
    </row>
    <row r="156" customFormat="false" ht="14.25" hidden="false" customHeight="true" outlineLevel="0" collapsed="false">
      <c r="A156" s="1" t="s">
        <v>784</v>
      </c>
      <c r="B156" s="1" t="s">
        <v>256</v>
      </c>
      <c r="C156" s="1" t="s">
        <v>361</v>
      </c>
      <c r="D156" s="1" t="s">
        <v>280</v>
      </c>
      <c r="E156" s="6" t="n">
        <v>46184</v>
      </c>
      <c r="F156" s="6" t="n">
        <v>46179</v>
      </c>
      <c r="G156" s="1" t="s">
        <v>70</v>
      </c>
      <c r="H156" s="1" t="s">
        <v>251</v>
      </c>
      <c r="I156" s="1" t="s">
        <v>785</v>
      </c>
      <c r="J156" s="1" t="n">
        <v>29950.96</v>
      </c>
      <c r="K156" s="1" t="n">
        <v>26542.31</v>
      </c>
      <c r="L156" s="1" t="n">
        <v>0</v>
      </c>
      <c r="M156" s="1" t="n">
        <v>26542.31</v>
      </c>
      <c r="N156" s="1" t="s">
        <v>111</v>
      </c>
      <c r="P156" s="1" t="n">
        <v>6</v>
      </c>
      <c r="Q156" s="1" t="s">
        <v>63</v>
      </c>
      <c r="R156" s="1" t="s">
        <v>102</v>
      </c>
    </row>
    <row r="157" customFormat="false" ht="14.25" hidden="false" customHeight="true" outlineLevel="0" collapsed="false">
      <c r="A157" s="1" t="s">
        <v>786</v>
      </c>
      <c r="B157" s="1" t="s">
        <v>787</v>
      </c>
      <c r="C157" s="1" t="s">
        <v>158</v>
      </c>
      <c r="D157" s="1" t="s">
        <v>177</v>
      </c>
      <c r="E157" s="6" t="n">
        <v>46120</v>
      </c>
      <c r="F157" s="6" t="n">
        <v>46117</v>
      </c>
      <c r="G157" s="1" t="s">
        <v>70</v>
      </c>
      <c r="H157" s="1" t="s">
        <v>788</v>
      </c>
      <c r="I157" s="1" t="s">
        <v>789</v>
      </c>
      <c r="J157" s="1" t="n">
        <v>38042.88</v>
      </c>
      <c r="K157" s="1" t="n">
        <v>34352.45</v>
      </c>
      <c r="L157" s="1" t="n">
        <v>0</v>
      </c>
      <c r="M157" s="1" t="n">
        <v>34352.45</v>
      </c>
      <c r="N157" s="1" t="s">
        <v>52</v>
      </c>
      <c r="O157" s="1" t="s">
        <v>230</v>
      </c>
      <c r="P157" s="1" t="n">
        <v>2</v>
      </c>
      <c r="Q157" s="1" t="s">
        <v>63</v>
      </c>
      <c r="R157" s="1" t="s">
        <v>64</v>
      </c>
    </row>
    <row r="158" customFormat="false" ht="14.25" hidden="false" customHeight="true" outlineLevel="0" collapsed="false">
      <c r="A158" s="1" t="s">
        <v>790</v>
      </c>
      <c r="B158" s="1" t="s">
        <v>408</v>
      </c>
      <c r="C158" s="1" t="s">
        <v>623</v>
      </c>
      <c r="D158" s="1" t="s">
        <v>183</v>
      </c>
      <c r="E158" s="6" t="n">
        <v>46081</v>
      </c>
      <c r="F158" s="6" t="n">
        <v>46076</v>
      </c>
      <c r="G158" s="1" t="s">
        <v>70</v>
      </c>
      <c r="H158" s="1" t="s">
        <v>791</v>
      </c>
      <c r="I158" s="1" t="s">
        <v>792</v>
      </c>
      <c r="J158" s="1" t="n">
        <v>3380.14</v>
      </c>
      <c r="K158" s="1" t="n">
        <v>2776.48</v>
      </c>
      <c r="L158" s="1" t="n">
        <v>2762.15</v>
      </c>
      <c r="M158" s="1" t="n">
        <v>14.33</v>
      </c>
      <c r="N158" s="1" t="s">
        <v>41</v>
      </c>
      <c r="P158" s="1" t="n">
        <v>2</v>
      </c>
      <c r="Q158" s="1" t="s">
        <v>63</v>
      </c>
      <c r="R158" s="1" t="s">
        <v>64</v>
      </c>
      <c r="S158" s="6" t="n">
        <v>46083</v>
      </c>
    </row>
    <row r="159" customFormat="false" ht="14.25" hidden="false" customHeight="true" outlineLevel="0" collapsed="false">
      <c r="A159" s="1" t="s">
        <v>793</v>
      </c>
      <c r="B159" s="1" t="s">
        <v>794</v>
      </c>
      <c r="C159" s="1" t="s">
        <v>68</v>
      </c>
      <c r="D159" s="1" t="s">
        <v>529</v>
      </c>
      <c r="E159" s="6" t="n">
        <v>46174</v>
      </c>
      <c r="F159" s="6" t="n">
        <v>46170</v>
      </c>
      <c r="G159" s="1" t="s">
        <v>38</v>
      </c>
      <c r="H159" s="1" t="s">
        <v>795</v>
      </c>
      <c r="I159" s="1" t="s">
        <v>796</v>
      </c>
      <c r="J159" s="1" t="n">
        <v>6920.8</v>
      </c>
      <c r="K159" s="1" t="n">
        <v>5666.68</v>
      </c>
      <c r="L159" s="1" t="n">
        <v>4986.26</v>
      </c>
      <c r="M159" s="1" t="n">
        <v>680.42</v>
      </c>
      <c r="N159" s="1" t="s">
        <v>41</v>
      </c>
      <c r="P159" s="1" t="n">
        <v>8</v>
      </c>
      <c r="Q159" s="1" t="s">
        <v>155</v>
      </c>
      <c r="R159" s="1" t="s">
        <v>54</v>
      </c>
      <c r="S159" s="6" t="n">
        <v>46182</v>
      </c>
    </row>
    <row r="160" customFormat="false" ht="14.25" hidden="false" customHeight="true" outlineLevel="0" collapsed="false">
      <c r="A160" s="1" t="s">
        <v>797</v>
      </c>
      <c r="B160" s="1" t="s">
        <v>798</v>
      </c>
      <c r="C160" s="1" t="s">
        <v>671</v>
      </c>
      <c r="D160" s="1" t="s">
        <v>799</v>
      </c>
      <c r="E160" s="6" t="n">
        <v>46053</v>
      </c>
      <c r="F160" s="6" t="n">
        <v>46053</v>
      </c>
      <c r="G160" s="1" t="s">
        <v>70</v>
      </c>
      <c r="H160" s="1" t="s">
        <v>800</v>
      </c>
      <c r="I160" s="1" t="s">
        <v>801</v>
      </c>
      <c r="J160" s="1" t="n">
        <v>39938.26</v>
      </c>
      <c r="K160" s="1" t="n">
        <v>34795.83</v>
      </c>
      <c r="L160" s="1" t="n">
        <v>27900.43</v>
      </c>
      <c r="M160" s="1" t="n">
        <v>6895.4</v>
      </c>
      <c r="N160" s="1" t="s">
        <v>41</v>
      </c>
      <c r="P160" s="1" t="n">
        <v>7</v>
      </c>
      <c r="Q160" s="1" t="s">
        <v>155</v>
      </c>
      <c r="R160" s="1" t="s">
        <v>74</v>
      </c>
      <c r="S160" s="6" t="n">
        <v>46060</v>
      </c>
    </row>
    <row r="161" customFormat="false" ht="14.25" hidden="false" customHeight="true" outlineLevel="0" collapsed="false">
      <c r="A161" s="1" t="s">
        <v>802</v>
      </c>
      <c r="B161" s="1" t="s">
        <v>458</v>
      </c>
      <c r="C161" s="1" t="s">
        <v>367</v>
      </c>
      <c r="D161" s="1" t="s">
        <v>722</v>
      </c>
      <c r="E161" s="6" t="n">
        <v>46079</v>
      </c>
      <c r="F161" s="6" t="n">
        <v>46074</v>
      </c>
      <c r="G161" s="1" t="s">
        <v>70</v>
      </c>
      <c r="H161" s="1" t="s">
        <v>803</v>
      </c>
      <c r="I161" s="1" t="s">
        <v>804</v>
      </c>
      <c r="J161" s="1" t="n">
        <v>39614.68</v>
      </c>
      <c r="K161" s="1" t="n">
        <v>29407.24</v>
      </c>
      <c r="L161" s="1" t="n">
        <v>25780.52</v>
      </c>
      <c r="M161" s="1" t="n">
        <v>3626.72</v>
      </c>
      <c r="N161" s="1" t="s">
        <v>41</v>
      </c>
      <c r="P161" s="1" t="n">
        <v>6</v>
      </c>
      <c r="Q161" s="1" t="s">
        <v>42</v>
      </c>
      <c r="R161" s="1" t="s">
        <v>64</v>
      </c>
      <c r="S161" s="6" t="n">
        <v>46085</v>
      </c>
    </row>
    <row r="162" customFormat="false" ht="14.25" hidden="false" customHeight="true" outlineLevel="0" collapsed="false">
      <c r="A162" s="1" t="s">
        <v>805</v>
      </c>
      <c r="B162" s="1" t="s">
        <v>806</v>
      </c>
      <c r="C162" s="1" t="s">
        <v>78</v>
      </c>
      <c r="D162" s="1" t="s">
        <v>165</v>
      </c>
      <c r="E162" s="6" t="n">
        <v>46180</v>
      </c>
      <c r="F162" s="6" t="n">
        <v>46180</v>
      </c>
      <c r="G162" s="1" t="s">
        <v>49</v>
      </c>
      <c r="H162" s="1" t="s">
        <v>807</v>
      </c>
      <c r="I162" s="1" t="s">
        <v>808</v>
      </c>
      <c r="J162" s="1" t="n">
        <v>10103.77</v>
      </c>
      <c r="K162" s="1" t="n">
        <v>9094.88</v>
      </c>
      <c r="L162" s="1" t="n">
        <v>0</v>
      </c>
      <c r="M162" s="1" t="n">
        <v>9094.88</v>
      </c>
      <c r="N162" s="1" t="s">
        <v>52</v>
      </c>
      <c r="O162" s="1" t="s">
        <v>62</v>
      </c>
      <c r="P162" s="1" t="n">
        <v>8</v>
      </c>
      <c r="Q162" s="1" t="s">
        <v>42</v>
      </c>
      <c r="R162" s="1" t="s">
        <v>102</v>
      </c>
    </row>
    <row r="163" customFormat="false" ht="14.25" hidden="false" customHeight="true" outlineLevel="0" collapsed="false">
      <c r="A163" s="1" t="s">
        <v>809</v>
      </c>
      <c r="B163" s="1" t="s">
        <v>810</v>
      </c>
      <c r="C163" s="1" t="s">
        <v>346</v>
      </c>
      <c r="D163" s="1" t="s">
        <v>145</v>
      </c>
      <c r="E163" s="6" t="n">
        <v>46144</v>
      </c>
      <c r="F163" s="6" t="n">
        <v>46141</v>
      </c>
      <c r="G163" s="1" t="s">
        <v>70</v>
      </c>
      <c r="H163" s="1" t="s">
        <v>811</v>
      </c>
      <c r="I163" s="1" t="s">
        <v>812</v>
      </c>
      <c r="J163" s="1" t="n">
        <v>3273.1</v>
      </c>
      <c r="K163" s="1" t="n">
        <v>2639.17</v>
      </c>
      <c r="L163" s="1" t="n">
        <v>0</v>
      </c>
      <c r="M163" s="1" t="n">
        <v>2639.17</v>
      </c>
      <c r="N163" s="1" t="s">
        <v>52</v>
      </c>
      <c r="O163" s="1" t="s">
        <v>73</v>
      </c>
      <c r="P163" s="1" t="n">
        <v>6</v>
      </c>
      <c r="Q163" s="1" t="s">
        <v>155</v>
      </c>
      <c r="R163" s="1" t="s">
        <v>140</v>
      </c>
    </row>
    <row r="164" customFormat="false" ht="14.25" hidden="false" customHeight="true" outlineLevel="0" collapsed="false">
      <c r="A164" s="1" t="s">
        <v>813</v>
      </c>
      <c r="B164" s="1" t="s">
        <v>814</v>
      </c>
      <c r="C164" s="1" t="s">
        <v>446</v>
      </c>
      <c r="D164" s="1" t="s">
        <v>501</v>
      </c>
      <c r="E164" s="6" t="n">
        <v>46094</v>
      </c>
      <c r="F164" s="6" t="n">
        <v>46094</v>
      </c>
      <c r="G164" s="1" t="s">
        <v>70</v>
      </c>
      <c r="H164" s="1" t="s">
        <v>815</v>
      </c>
      <c r="I164" s="1" t="s">
        <v>816</v>
      </c>
      <c r="J164" s="1" t="n">
        <v>19074.42</v>
      </c>
      <c r="K164" s="1" t="n">
        <v>15455.66</v>
      </c>
      <c r="L164" s="1" t="n">
        <v>12233.04</v>
      </c>
      <c r="M164" s="1" t="n">
        <v>3222.62</v>
      </c>
      <c r="N164" s="1" t="s">
        <v>41</v>
      </c>
      <c r="P164" s="1" t="n">
        <v>7</v>
      </c>
      <c r="Q164" s="1" t="s">
        <v>42</v>
      </c>
      <c r="R164" s="1" t="s">
        <v>54</v>
      </c>
      <c r="S164" s="6" t="n">
        <v>46101</v>
      </c>
    </row>
    <row r="165" customFormat="false" ht="14.25" hidden="false" customHeight="true" outlineLevel="0" collapsed="false">
      <c r="A165" s="1" t="s">
        <v>817</v>
      </c>
      <c r="B165" s="1" t="s">
        <v>818</v>
      </c>
      <c r="C165" s="1" t="s">
        <v>233</v>
      </c>
      <c r="D165" s="1" t="s">
        <v>116</v>
      </c>
      <c r="E165" s="6" t="n">
        <v>46095</v>
      </c>
      <c r="F165" s="6" t="n">
        <v>46092</v>
      </c>
      <c r="G165" s="1" t="s">
        <v>38</v>
      </c>
      <c r="H165" s="1" t="s">
        <v>819</v>
      </c>
      <c r="I165" s="1" t="s">
        <v>820</v>
      </c>
      <c r="J165" s="1" t="n">
        <v>43913.91</v>
      </c>
      <c r="K165" s="1" t="n">
        <v>33439.35</v>
      </c>
      <c r="L165" s="1" t="n">
        <v>32013.64</v>
      </c>
      <c r="M165" s="1" t="n">
        <v>1425.71</v>
      </c>
      <c r="N165" s="1" t="s">
        <v>41</v>
      </c>
      <c r="P165" s="1" t="n">
        <v>5</v>
      </c>
      <c r="Q165" s="1" t="s">
        <v>155</v>
      </c>
      <c r="R165" s="1" t="s">
        <v>125</v>
      </c>
      <c r="S165" s="6" t="n">
        <v>46100</v>
      </c>
    </row>
    <row r="166" customFormat="false" ht="14.25" hidden="false" customHeight="true" outlineLevel="0" collapsed="false">
      <c r="A166" s="1" t="s">
        <v>821</v>
      </c>
      <c r="B166" s="1" t="s">
        <v>822</v>
      </c>
      <c r="C166" s="1" t="s">
        <v>129</v>
      </c>
      <c r="D166" s="1" t="s">
        <v>227</v>
      </c>
      <c r="E166" s="6" t="n">
        <v>46074</v>
      </c>
      <c r="F166" s="6" t="n">
        <v>46074</v>
      </c>
      <c r="G166" s="1" t="s">
        <v>70</v>
      </c>
      <c r="H166" s="1" t="s">
        <v>628</v>
      </c>
      <c r="I166" s="1" t="s">
        <v>823</v>
      </c>
      <c r="J166" s="1" t="n">
        <v>1734.27</v>
      </c>
      <c r="K166" s="1" t="n">
        <v>1378.4</v>
      </c>
      <c r="L166" s="1" t="n">
        <v>1206.12</v>
      </c>
      <c r="M166" s="1" t="n">
        <v>172.28</v>
      </c>
      <c r="N166" s="1" t="s">
        <v>41</v>
      </c>
      <c r="P166" s="1" t="n">
        <v>4</v>
      </c>
      <c r="Q166" s="1" t="s">
        <v>155</v>
      </c>
      <c r="R166" s="1" t="s">
        <v>125</v>
      </c>
      <c r="S166" s="6" t="n">
        <v>46078</v>
      </c>
    </row>
    <row r="167" customFormat="false" ht="14.25" hidden="false" customHeight="true" outlineLevel="0" collapsed="false">
      <c r="A167" s="1" t="s">
        <v>824</v>
      </c>
      <c r="B167" s="1" t="s">
        <v>825</v>
      </c>
      <c r="C167" s="1" t="s">
        <v>47</v>
      </c>
      <c r="D167" s="1" t="s">
        <v>234</v>
      </c>
      <c r="E167" s="6" t="n">
        <v>46052</v>
      </c>
      <c r="F167" s="6" t="n">
        <v>46048</v>
      </c>
      <c r="G167" s="1" t="s">
        <v>108</v>
      </c>
      <c r="H167" s="1" t="s">
        <v>388</v>
      </c>
      <c r="I167" s="1" t="s">
        <v>826</v>
      </c>
      <c r="J167" s="1" t="n">
        <v>7069.5</v>
      </c>
      <c r="K167" s="1" t="n">
        <v>6131.88</v>
      </c>
      <c r="L167" s="1" t="n">
        <v>0</v>
      </c>
      <c r="M167" s="1" t="n">
        <v>6131.88</v>
      </c>
      <c r="N167" s="1" t="s">
        <v>111</v>
      </c>
      <c r="P167" s="1" t="n">
        <v>11</v>
      </c>
      <c r="Q167" s="1" t="s">
        <v>155</v>
      </c>
      <c r="R167" s="1" t="s">
        <v>74</v>
      </c>
    </row>
    <row r="168" customFormat="false" ht="14.25" hidden="false" customHeight="true" outlineLevel="0" collapsed="false">
      <c r="A168" s="1" t="s">
        <v>827</v>
      </c>
      <c r="B168" s="1" t="s">
        <v>828</v>
      </c>
      <c r="C168" s="1" t="s">
        <v>459</v>
      </c>
      <c r="D168" s="1" t="s">
        <v>208</v>
      </c>
      <c r="E168" s="6" t="n">
        <v>46175</v>
      </c>
      <c r="F168" s="6" t="n">
        <v>46175</v>
      </c>
      <c r="G168" s="1" t="s">
        <v>70</v>
      </c>
      <c r="H168" s="1" t="s">
        <v>829</v>
      </c>
      <c r="I168" s="1" t="s">
        <v>830</v>
      </c>
      <c r="J168" s="1" t="n">
        <v>44514.7</v>
      </c>
      <c r="K168" s="1" t="n">
        <v>30311.43</v>
      </c>
      <c r="L168" s="1" t="n">
        <v>28539.58</v>
      </c>
      <c r="M168" s="1" t="n">
        <v>1771.85</v>
      </c>
      <c r="N168" s="1" t="s">
        <v>41</v>
      </c>
      <c r="P168" s="1" t="n">
        <v>5</v>
      </c>
      <c r="Q168" s="1" t="s">
        <v>63</v>
      </c>
      <c r="R168" s="1" t="s">
        <v>140</v>
      </c>
      <c r="S168" s="6" t="n">
        <v>46180</v>
      </c>
    </row>
    <row r="169" customFormat="false" ht="14.25" hidden="false" customHeight="true" outlineLevel="0" collapsed="false">
      <c r="A169" s="1" t="s">
        <v>831</v>
      </c>
      <c r="B169" s="1" t="s">
        <v>726</v>
      </c>
      <c r="C169" s="1" t="s">
        <v>144</v>
      </c>
      <c r="D169" s="1" t="s">
        <v>501</v>
      </c>
      <c r="E169" s="6" t="n">
        <v>46074</v>
      </c>
      <c r="F169" s="6" t="n">
        <v>46072</v>
      </c>
      <c r="G169" s="1" t="s">
        <v>108</v>
      </c>
      <c r="H169" s="1" t="s">
        <v>190</v>
      </c>
      <c r="I169" s="1" t="s">
        <v>832</v>
      </c>
      <c r="J169" s="1" t="n">
        <v>16297.91</v>
      </c>
      <c r="K169" s="1" t="n">
        <v>12750.42</v>
      </c>
      <c r="L169" s="1" t="n">
        <v>9937.84</v>
      </c>
      <c r="M169" s="1" t="n">
        <v>2812.58</v>
      </c>
      <c r="N169" s="1" t="s">
        <v>41</v>
      </c>
      <c r="P169" s="1" t="n">
        <v>3</v>
      </c>
      <c r="Q169" s="1" t="s">
        <v>155</v>
      </c>
      <c r="R169" s="1" t="s">
        <v>140</v>
      </c>
      <c r="S169" s="6" t="n">
        <v>46077</v>
      </c>
    </row>
    <row r="170" customFormat="false" ht="14.25" hidden="false" customHeight="true" outlineLevel="0" collapsed="false">
      <c r="A170" s="1" t="s">
        <v>833</v>
      </c>
      <c r="B170" s="1" t="s">
        <v>834</v>
      </c>
      <c r="C170" s="1" t="s">
        <v>686</v>
      </c>
      <c r="D170" s="1" t="s">
        <v>607</v>
      </c>
      <c r="E170" s="6" t="n">
        <v>46163</v>
      </c>
      <c r="F170" s="6" t="n">
        <v>46161</v>
      </c>
      <c r="G170" s="1" t="s">
        <v>70</v>
      </c>
      <c r="H170" s="1" t="s">
        <v>835</v>
      </c>
      <c r="I170" s="1" t="s">
        <v>836</v>
      </c>
      <c r="J170" s="1" t="n">
        <v>13917.08</v>
      </c>
      <c r="K170" s="1" t="n">
        <v>12984.4</v>
      </c>
      <c r="L170" s="1" t="n">
        <v>12348.17</v>
      </c>
      <c r="M170" s="1" t="n">
        <v>636.23</v>
      </c>
      <c r="N170" s="1" t="s">
        <v>41</v>
      </c>
      <c r="P170" s="1" t="n">
        <v>4</v>
      </c>
      <c r="Q170" s="1" t="s">
        <v>155</v>
      </c>
      <c r="R170" s="1" t="s">
        <v>140</v>
      </c>
      <c r="S170" s="6" t="n">
        <v>46167</v>
      </c>
    </row>
    <row r="171" customFormat="false" ht="14.25" hidden="false" customHeight="true" outlineLevel="0" collapsed="false">
      <c r="A171" s="1" t="s">
        <v>837</v>
      </c>
      <c r="B171" s="1" t="s">
        <v>838</v>
      </c>
      <c r="C171" s="1" t="s">
        <v>68</v>
      </c>
      <c r="D171" s="1" t="s">
        <v>59</v>
      </c>
      <c r="E171" s="6" t="n">
        <v>46033</v>
      </c>
      <c r="F171" s="6" t="n">
        <v>46030</v>
      </c>
      <c r="G171" s="1" t="s">
        <v>49</v>
      </c>
      <c r="H171" s="1" t="s">
        <v>839</v>
      </c>
      <c r="I171" s="1" t="s">
        <v>840</v>
      </c>
      <c r="J171" s="1" t="n">
        <v>2997.57</v>
      </c>
      <c r="K171" s="1" t="n">
        <v>2293.38</v>
      </c>
      <c r="L171" s="1" t="n">
        <v>0</v>
      </c>
      <c r="M171" s="1" t="n">
        <v>2293.38</v>
      </c>
      <c r="N171" s="1" t="s">
        <v>52</v>
      </c>
      <c r="O171" s="1" t="s">
        <v>62</v>
      </c>
      <c r="P171" s="1" t="n">
        <v>2</v>
      </c>
      <c r="Q171" s="1" t="s">
        <v>63</v>
      </c>
      <c r="R171" s="1" t="s">
        <v>102</v>
      </c>
    </row>
    <row r="172" customFormat="false" ht="14.25" hidden="false" customHeight="true" outlineLevel="0" collapsed="false">
      <c r="A172" s="1" t="s">
        <v>841</v>
      </c>
      <c r="B172" s="1" t="s">
        <v>842</v>
      </c>
      <c r="C172" s="1" t="s">
        <v>158</v>
      </c>
      <c r="D172" s="1" t="s">
        <v>122</v>
      </c>
      <c r="E172" s="6" t="n">
        <v>46233</v>
      </c>
      <c r="F172" s="6" t="n">
        <v>46232</v>
      </c>
      <c r="G172" s="1" t="s">
        <v>49</v>
      </c>
      <c r="H172" s="1" t="s">
        <v>843</v>
      </c>
      <c r="I172" s="1" t="s">
        <v>844</v>
      </c>
      <c r="J172" s="1" t="n">
        <v>33708.08</v>
      </c>
      <c r="K172" s="1" t="n">
        <v>27305.08</v>
      </c>
      <c r="L172" s="1" t="n">
        <v>0</v>
      </c>
      <c r="M172" s="1" t="n">
        <v>27305.08</v>
      </c>
      <c r="N172" s="1" t="s">
        <v>111</v>
      </c>
      <c r="P172" s="1" t="n">
        <v>11</v>
      </c>
      <c r="Q172" s="1" t="s">
        <v>63</v>
      </c>
      <c r="R172" s="1" t="s">
        <v>74</v>
      </c>
    </row>
    <row r="173" customFormat="false" ht="14.25" hidden="false" customHeight="true" outlineLevel="0" collapsed="false">
      <c r="A173" s="1" t="s">
        <v>845</v>
      </c>
      <c r="B173" s="1" t="s">
        <v>846</v>
      </c>
      <c r="C173" s="1" t="s">
        <v>58</v>
      </c>
      <c r="D173" s="1" t="s">
        <v>362</v>
      </c>
      <c r="E173" s="6" t="n">
        <v>46192</v>
      </c>
      <c r="F173" s="6" t="n">
        <v>46187</v>
      </c>
      <c r="G173" s="1" t="s">
        <v>38</v>
      </c>
      <c r="H173" s="1" t="s">
        <v>847</v>
      </c>
      <c r="I173" s="1" t="s">
        <v>848</v>
      </c>
      <c r="J173" s="1" t="n">
        <v>23792.02</v>
      </c>
      <c r="K173" s="1" t="n">
        <v>22227.33</v>
      </c>
      <c r="L173" s="1" t="n">
        <v>0</v>
      </c>
      <c r="M173" s="1" t="n">
        <v>22227.33</v>
      </c>
      <c r="N173" s="1" t="s">
        <v>52</v>
      </c>
      <c r="O173" s="1" t="s">
        <v>73</v>
      </c>
      <c r="P173" s="1" t="n">
        <v>3</v>
      </c>
      <c r="Q173" s="1" t="s">
        <v>63</v>
      </c>
      <c r="R173" s="1" t="s">
        <v>43</v>
      </c>
    </row>
    <row r="174" customFormat="false" ht="14.25" hidden="false" customHeight="true" outlineLevel="0" collapsed="false">
      <c r="A174" s="1" t="s">
        <v>849</v>
      </c>
      <c r="B174" s="1" t="s">
        <v>850</v>
      </c>
      <c r="C174" s="1" t="s">
        <v>446</v>
      </c>
      <c r="D174" s="1" t="s">
        <v>511</v>
      </c>
      <c r="E174" s="6" t="n">
        <v>46147</v>
      </c>
      <c r="F174" s="6" t="n">
        <v>46147</v>
      </c>
      <c r="G174" s="1" t="s">
        <v>38</v>
      </c>
      <c r="H174" s="1" t="s">
        <v>281</v>
      </c>
      <c r="I174" s="1" t="s">
        <v>851</v>
      </c>
      <c r="J174" s="1" t="n">
        <v>6087.91</v>
      </c>
      <c r="K174" s="1" t="n">
        <v>4831.34</v>
      </c>
      <c r="L174" s="1" t="n">
        <v>4645.05</v>
      </c>
      <c r="M174" s="1" t="n">
        <v>186.29</v>
      </c>
      <c r="N174" s="1" t="s">
        <v>41</v>
      </c>
      <c r="P174" s="1" t="n">
        <v>5</v>
      </c>
      <c r="Q174" s="1" t="s">
        <v>63</v>
      </c>
      <c r="R174" s="1" t="s">
        <v>125</v>
      </c>
      <c r="S174" s="6" t="n">
        <v>46152</v>
      </c>
    </row>
    <row r="175" customFormat="false" ht="14.25" hidden="false" customHeight="true" outlineLevel="0" collapsed="false">
      <c r="A175" s="1" t="s">
        <v>852</v>
      </c>
      <c r="B175" s="1" t="s">
        <v>798</v>
      </c>
      <c r="C175" s="1" t="s">
        <v>198</v>
      </c>
      <c r="D175" s="1" t="s">
        <v>382</v>
      </c>
      <c r="E175" s="6" t="n">
        <v>46205</v>
      </c>
      <c r="F175" s="6" t="n">
        <v>46205</v>
      </c>
      <c r="G175" s="1" t="s">
        <v>38</v>
      </c>
      <c r="H175" s="1" t="s">
        <v>697</v>
      </c>
      <c r="I175" s="1" t="s">
        <v>853</v>
      </c>
      <c r="J175" s="1" t="n">
        <v>32647.84</v>
      </c>
      <c r="K175" s="1" t="n">
        <v>28982.44</v>
      </c>
      <c r="L175" s="1" t="n">
        <v>25596.9</v>
      </c>
      <c r="M175" s="1" t="n">
        <v>3385.54</v>
      </c>
      <c r="N175" s="1" t="s">
        <v>41</v>
      </c>
      <c r="P175" s="1" t="n">
        <v>7</v>
      </c>
      <c r="Q175" s="1" t="s">
        <v>63</v>
      </c>
      <c r="R175" s="1" t="s">
        <v>43</v>
      </c>
      <c r="S175" s="6" t="n">
        <v>46212</v>
      </c>
    </row>
    <row r="176" customFormat="false" ht="14.25" hidden="false" customHeight="true" outlineLevel="0" collapsed="false">
      <c r="A176" s="1" t="s">
        <v>854</v>
      </c>
      <c r="B176" s="1" t="s">
        <v>774</v>
      </c>
      <c r="C176" s="1" t="s">
        <v>221</v>
      </c>
      <c r="D176" s="1" t="s">
        <v>855</v>
      </c>
      <c r="E176" s="6" t="n">
        <v>46041</v>
      </c>
      <c r="F176" s="6" t="n">
        <v>46039</v>
      </c>
      <c r="G176" s="1" t="s">
        <v>38</v>
      </c>
      <c r="H176" s="1" t="s">
        <v>405</v>
      </c>
      <c r="I176" s="1" t="s">
        <v>856</v>
      </c>
      <c r="J176" s="1" t="n">
        <v>34855.96</v>
      </c>
      <c r="K176" s="1" t="n">
        <v>27164.8</v>
      </c>
      <c r="L176" s="1" t="n">
        <v>27030.37</v>
      </c>
      <c r="M176" s="1" t="n">
        <v>134.43</v>
      </c>
      <c r="N176" s="1" t="s">
        <v>41</v>
      </c>
      <c r="P176" s="1" t="n">
        <v>6</v>
      </c>
      <c r="Q176" s="1" t="s">
        <v>42</v>
      </c>
      <c r="R176" s="1" t="s">
        <v>74</v>
      </c>
      <c r="S176" s="6" t="n">
        <v>46047</v>
      </c>
    </row>
    <row r="177" customFormat="false" ht="14.25" hidden="false" customHeight="true" outlineLevel="0" collapsed="false">
      <c r="A177" s="1" t="s">
        <v>857</v>
      </c>
      <c r="B177" s="1" t="s">
        <v>858</v>
      </c>
      <c r="C177" s="1" t="s">
        <v>543</v>
      </c>
      <c r="D177" s="1" t="s">
        <v>250</v>
      </c>
      <c r="E177" s="6" t="n">
        <v>46172</v>
      </c>
      <c r="F177" s="6" t="n">
        <v>46169</v>
      </c>
      <c r="G177" s="1" t="s">
        <v>108</v>
      </c>
      <c r="H177" s="1" t="s">
        <v>859</v>
      </c>
      <c r="I177" s="1" t="s">
        <v>860</v>
      </c>
      <c r="J177" s="1" t="n">
        <v>30005.74</v>
      </c>
      <c r="K177" s="1" t="n">
        <v>22432.69</v>
      </c>
      <c r="L177" s="1" t="n">
        <v>17372.18</v>
      </c>
      <c r="M177" s="1" t="n">
        <v>5060.51</v>
      </c>
      <c r="N177" s="1" t="s">
        <v>41</v>
      </c>
      <c r="P177" s="1" t="n">
        <v>8</v>
      </c>
      <c r="Q177" s="1" t="s">
        <v>42</v>
      </c>
      <c r="R177" s="1" t="s">
        <v>125</v>
      </c>
      <c r="S177" s="6" t="n">
        <v>46180</v>
      </c>
    </row>
    <row r="178" customFormat="false" ht="14.25" hidden="false" customHeight="true" outlineLevel="0" collapsed="false">
      <c r="A178" s="1" t="s">
        <v>861</v>
      </c>
      <c r="B178" s="1" t="s">
        <v>721</v>
      </c>
      <c r="C178" s="1" t="s">
        <v>273</v>
      </c>
      <c r="D178" s="1" t="s">
        <v>590</v>
      </c>
      <c r="E178" s="6" t="n">
        <v>46178</v>
      </c>
      <c r="F178" s="6" t="n">
        <v>46175</v>
      </c>
      <c r="G178" s="1" t="s">
        <v>108</v>
      </c>
      <c r="H178" s="1" t="s">
        <v>862</v>
      </c>
      <c r="I178" s="1" t="s">
        <v>863</v>
      </c>
      <c r="J178" s="1" t="n">
        <v>32426.96</v>
      </c>
      <c r="K178" s="1" t="n">
        <v>21675.63</v>
      </c>
      <c r="L178" s="1" t="n">
        <v>17435.94</v>
      </c>
      <c r="M178" s="1" t="n">
        <v>4239.69</v>
      </c>
      <c r="N178" s="1" t="s">
        <v>41</v>
      </c>
      <c r="P178" s="1" t="n">
        <v>3</v>
      </c>
      <c r="Q178" s="1" t="s">
        <v>42</v>
      </c>
      <c r="R178" s="1" t="s">
        <v>140</v>
      </c>
      <c r="S178" s="6" t="n">
        <v>46181</v>
      </c>
    </row>
    <row r="179" customFormat="false" ht="14.25" hidden="false" customHeight="true" outlineLevel="0" collapsed="false">
      <c r="A179" s="1" t="s">
        <v>864</v>
      </c>
      <c r="B179" s="1" t="s">
        <v>670</v>
      </c>
      <c r="C179" s="1" t="s">
        <v>459</v>
      </c>
      <c r="D179" s="1" t="s">
        <v>865</v>
      </c>
      <c r="E179" s="6" t="n">
        <v>46142</v>
      </c>
      <c r="F179" s="6" t="n">
        <v>46138</v>
      </c>
      <c r="G179" s="1" t="s">
        <v>70</v>
      </c>
      <c r="H179" s="1" t="s">
        <v>866</v>
      </c>
      <c r="I179" s="1" t="s">
        <v>867</v>
      </c>
      <c r="J179" s="1" t="n">
        <v>30970.82</v>
      </c>
      <c r="K179" s="1" t="n">
        <v>24285.7</v>
      </c>
      <c r="L179" s="1" t="n">
        <v>19462.93</v>
      </c>
      <c r="M179" s="1" t="n">
        <v>4822.77</v>
      </c>
      <c r="N179" s="1" t="s">
        <v>41</v>
      </c>
      <c r="P179" s="1" t="n">
        <v>6</v>
      </c>
      <c r="Q179" s="1" t="s">
        <v>155</v>
      </c>
      <c r="R179" s="1" t="s">
        <v>64</v>
      </c>
      <c r="S179" s="6" t="n">
        <v>46148</v>
      </c>
    </row>
    <row r="180" customFormat="false" ht="14.25" hidden="false" customHeight="true" outlineLevel="0" collapsed="false">
      <c r="A180" s="1" t="s">
        <v>868</v>
      </c>
      <c r="B180" s="1" t="s">
        <v>869</v>
      </c>
      <c r="C180" s="1" t="s">
        <v>58</v>
      </c>
      <c r="D180" s="1" t="s">
        <v>245</v>
      </c>
      <c r="E180" s="6" t="n">
        <v>46029</v>
      </c>
      <c r="F180" s="6" t="n">
        <v>46025</v>
      </c>
      <c r="G180" s="1" t="s">
        <v>108</v>
      </c>
      <c r="H180" s="1" t="s">
        <v>870</v>
      </c>
      <c r="I180" s="1" t="s">
        <v>167</v>
      </c>
      <c r="J180" s="1" t="n">
        <v>20507.77</v>
      </c>
      <c r="K180" s="1" t="n">
        <v>14114.82</v>
      </c>
      <c r="L180" s="1" t="n">
        <v>0</v>
      </c>
      <c r="M180" s="1" t="n">
        <v>14114.82</v>
      </c>
      <c r="N180" s="1" t="s">
        <v>260</v>
      </c>
      <c r="P180" s="1" t="n">
        <v>5</v>
      </c>
      <c r="Q180" s="1" t="s">
        <v>155</v>
      </c>
      <c r="R180" s="1" t="s">
        <v>125</v>
      </c>
    </row>
    <row r="181" customFormat="false" ht="14.25" hidden="false" customHeight="true" outlineLevel="0" collapsed="false">
      <c r="A181" s="1" t="s">
        <v>871</v>
      </c>
      <c r="B181" s="1" t="s">
        <v>872</v>
      </c>
      <c r="C181" s="1" t="s">
        <v>335</v>
      </c>
      <c r="D181" s="1" t="s">
        <v>538</v>
      </c>
      <c r="E181" s="6" t="n">
        <v>46095</v>
      </c>
      <c r="F181" s="6" t="n">
        <v>46095</v>
      </c>
      <c r="G181" s="1" t="s">
        <v>38</v>
      </c>
      <c r="H181" s="1" t="s">
        <v>405</v>
      </c>
      <c r="I181" s="1" t="s">
        <v>873</v>
      </c>
      <c r="J181" s="1" t="n">
        <v>35259.98</v>
      </c>
      <c r="K181" s="1" t="n">
        <v>27089.55</v>
      </c>
      <c r="L181" s="1" t="n">
        <v>22471.64</v>
      </c>
      <c r="M181" s="1" t="n">
        <v>4617.91</v>
      </c>
      <c r="N181" s="1" t="s">
        <v>41</v>
      </c>
      <c r="P181" s="1" t="n">
        <v>7</v>
      </c>
      <c r="Q181" s="1" t="s">
        <v>63</v>
      </c>
      <c r="R181" s="1" t="s">
        <v>140</v>
      </c>
      <c r="S181" s="6" t="n">
        <v>46102</v>
      </c>
    </row>
    <row r="182" customFormat="false" ht="14.25" hidden="false" customHeight="true" outlineLevel="0" collapsed="false">
      <c r="A182" s="1" t="s">
        <v>874</v>
      </c>
      <c r="B182" s="1" t="s">
        <v>875</v>
      </c>
      <c r="C182" s="1" t="s">
        <v>151</v>
      </c>
      <c r="D182" s="1" t="s">
        <v>876</v>
      </c>
      <c r="E182" s="6" t="n">
        <v>46075</v>
      </c>
      <c r="F182" s="6" t="n">
        <v>46071</v>
      </c>
      <c r="G182" s="1" t="s">
        <v>108</v>
      </c>
      <c r="H182" s="1" t="s">
        <v>877</v>
      </c>
      <c r="I182" s="1" t="s">
        <v>878</v>
      </c>
      <c r="J182" s="1" t="n">
        <v>46261.86</v>
      </c>
      <c r="K182" s="1" t="n">
        <v>41727.68</v>
      </c>
      <c r="L182" s="1" t="n">
        <v>32905.06</v>
      </c>
      <c r="M182" s="1" t="n">
        <v>8822.62</v>
      </c>
      <c r="N182" s="1" t="s">
        <v>41</v>
      </c>
      <c r="P182" s="1" t="n">
        <v>3</v>
      </c>
      <c r="Q182" s="1" t="s">
        <v>42</v>
      </c>
      <c r="R182" s="1" t="s">
        <v>43</v>
      </c>
      <c r="S182" s="6" t="n">
        <v>46078</v>
      </c>
    </row>
    <row r="183" customFormat="false" ht="14.25" hidden="false" customHeight="true" outlineLevel="0" collapsed="false">
      <c r="A183" s="1" t="s">
        <v>879</v>
      </c>
      <c r="B183" s="1" t="s">
        <v>880</v>
      </c>
      <c r="C183" s="1" t="s">
        <v>413</v>
      </c>
      <c r="D183" s="1" t="s">
        <v>881</v>
      </c>
      <c r="E183" s="6" t="n">
        <v>46057</v>
      </c>
      <c r="F183" s="6" t="n">
        <v>46057</v>
      </c>
      <c r="G183" s="1" t="s">
        <v>49</v>
      </c>
      <c r="H183" s="1" t="s">
        <v>882</v>
      </c>
      <c r="I183" s="1" t="s">
        <v>883</v>
      </c>
      <c r="J183" s="1" t="n">
        <v>40394.11</v>
      </c>
      <c r="K183" s="1" t="n">
        <v>36679.7</v>
      </c>
      <c r="L183" s="1" t="n">
        <v>35703.86</v>
      </c>
      <c r="M183" s="1" t="n">
        <v>975.84</v>
      </c>
      <c r="N183" s="1" t="s">
        <v>41</v>
      </c>
      <c r="P183" s="1" t="n">
        <v>7</v>
      </c>
      <c r="Q183" s="1" t="s">
        <v>63</v>
      </c>
      <c r="R183" s="1" t="s">
        <v>102</v>
      </c>
      <c r="S183" s="6" t="n">
        <v>46064</v>
      </c>
    </row>
    <row r="184" customFormat="false" ht="14.25" hidden="false" customHeight="true" outlineLevel="0" collapsed="false">
      <c r="A184" s="1" t="s">
        <v>884</v>
      </c>
      <c r="B184" s="1" t="s">
        <v>885</v>
      </c>
      <c r="C184" s="1" t="s">
        <v>325</v>
      </c>
      <c r="D184" s="1" t="s">
        <v>511</v>
      </c>
      <c r="E184" s="6" t="n">
        <v>46081</v>
      </c>
      <c r="F184" s="6" t="n">
        <v>46080</v>
      </c>
      <c r="G184" s="1" t="s">
        <v>70</v>
      </c>
      <c r="H184" s="1" t="s">
        <v>886</v>
      </c>
      <c r="I184" s="1" t="s">
        <v>887</v>
      </c>
      <c r="J184" s="1" t="n">
        <v>867.78</v>
      </c>
      <c r="K184" s="1" t="n">
        <v>693.74</v>
      </c>
      <c r="L184" s="1" t="n">
        <v>647.07</v>
      </c>
      <c r="M184" s="1" t="n">
        <v>46.67</v>
      </c>
      <c r="N184" s="1" t="s">
        <v>41</v>
      </c>
      <c r="P184" s="1" t="n">
        <v>5</v>
      </c>
      <c r="Q184" s="1" t="s">
        <v>42</v>
      </c>
      <c r="R184" s="1" t="s">
        <v>43</v>
      </c>
      <c r="S184" s="6" t="n">
        <v>46086</v>
      </c>
    </row>
    <row r="185" customFormat="false" ht="14.25" hidden="false" customHeight="true" outlineLevel="0" collapsed="false">
      <c r="A185" s="1" t="s">
        <v>888</v>
      </c>
      <c r="B185" s="1" t="s">
        <v>889</v>
      </c>
      <c r="C185" s="1" t="s">
        <v>233</v>
      </c>
      <c r="D185" s="1" t="s">
        <v>890</v>
      </c>
      <c r="E185" s="6" t="n">
        <v>46205</v>
      </c>
      <c r="F185" s="6" t="n">
        <v>46203</v>
      </c>
      <c r="G185" s="1" t="s">
        <v>108</v>
      </c>
      <c r="H185" s="1" t="s">
        <v>891</v>
      </c>
      <c r="I185" s="1" t="s">
        <v>892</v>
      </c>
      <c r="J185" s="1" t="n">
        <v>24335.88</v>
      </c>
      <c r="K185" s="1" t="n">
        <v>20859.48</v>
      </c>
      <c r="L185" s="1" t="n">
        <v>16385.58</v>
      </c>
      <c r="M185" s="1" t="n">
        <v>4473.9</v>
      </c>
      <c r="N185" s="1" t="s">
        <v>41</v>
      </c>
      <c r="P185" s="1" t="n">
        <v>5</v>
      </c>
      <c r="Q185" s="1" t="s">
        <v>42</v>
      </c>
      <c r="R185" s="1" t="s">
        <v>74</v>
      </c>
      <c r="S185" s="6" t="n">
        <v>46210</v>
      </c>
    </row>
    <row r="186" customFormat="false" ht="14.25" hidden="false" customHeight="true" outlineLevel="0" collapsed="false">
      <c r="A186" s="1" t="s">
        <v>893</v>
      </c>
      <c r="B186" s="1" t="s">
        <v>135</v>
      </c>
      <c r="C186" s="1" t="s">
        <v>325</v>
      </c>
      <c r="D186" s="1" t="s">
        <v>558</v>
      </c>
      <c r="E186" s="6" t="n">
        <v>46197</v>
      </c>
      <c r="F186" s="6" t="n">
        <v>46192</v>
      </c>
      <c r="G186" s="1" t="s">
        <v>108</v>
      </c>
      <c r="H186" s="1" t="s">
        <v>894</v>
      </c>
      <c r="I186" s="1" t="s">
        <v>895</v>
      </c>
      <c r="J186" s="1" t="n">
        <v>31867.54</v>
      </c>
      <c r="K186" s="1" t="n">
        <v>28343.93</v>
      </c>
      <c r="L186" s="1" t="n">
        <v>23472.32</v>
      </c>
      <c r="M186" s="1" t="n">
        <v>4871.61</v>
      </c>
      <c r="N186" s="1" t="s">
        <v>41</v>
      </c>
      <c r="P186" s="1" t="n">
        <v>1</v>
      </c>
      <c r="Q186" s="1" t="s">
        <v>42</v>
      </c>
      <c r="R186" s="1" t="s">
        <v>43</v>
      </c>
      <c r="S186" s="6" t="n">
        <v>46198</v>
      </c>
    </row>
    <row r="187" customFormat="false" ht="14.25" hidden="false" customHeight="true" outlineLevel="0" collapsed="false">
      <c r="A187" s="1" t="s">
        <v>896</v>
      </c>
      <c r="B187" s="1" t="s">
        <v>806</v>
      </c>
      <c r="C187" s="1" t="s">
        <v>221</v>
      </c>
      <c r="D187" s="1" t="s">
        <v>678</v>
      </c>
      <c r="E187" s="6" t="n">
        <v>46174</v>
      </c>
      <c r="F187" s="6" t="n">
        <v>46169</v>
      </c>
      <c r="G187" s="1" t="s">
        <v>70</v>
      </c>
      <c r="H187" s="1" t="s">
        <v>397</v>
      </c>
      <c r="I187" s="1" t="s">
        <v>897</v>
      </c>
      <c r="J187" s="1" t="n">
        <v>17969.27</v>
      </c>
      <c r="K187" s="1" t="n">
        <v>16950.92</v>
      </c>
      <c r="L187" s="1" t="n">
        <v>13961.7</v>
      </c>
      <c r="M187" s="1" t="n">
        <v>2989.22</v>
      </c>
      <c r="N187" s="1" t="s">
        <v>41</v>
      </c>
      <c r="P187" s="1" t="n">
        <v>3</v>
      </c>
      <c r="Q187" s="1" t="s">
        <v>155</v>
      </c>
      <c r="R187" s="1" t="s">
        <v>74</v>
      </c>
      <c r="S187" s="6" t="n">
        <v>46177</v>
      </c>
    </row>
    <row r="188" customFormat="false" ht="14.25" hidden="false" customHeight="true" outlineLevel="0" collapsed="false">
      <c r="A188" s="1" t="s">
        <v>898</v>
      </c>
      <c r="B188" s="1" t="s">
        <v>899</v>
      </c>
      <c r="C188" s="1" t="s">
        <v>900</v>
      </c>
      <c r="D188" s="1" t="s">
        <v>890</v>
      </c>
      <c r="E188" s="6" t="n">
        <v>46148</v>
      </c>
      <c r="F188" s="6" t="n">
        <v>46144</v>
      </c>
      <c r="G188" s="1" t="s">
        <v>38</v>
      </c>
      <c r="H188" s="1" t="s">
        <v>240</v>
      </c>
      <c r="I188" s="1" t="s">
        <v>901</v>
      </c>
      <c r="J188" s="1" t="n">
        <v>3055.18</v>
      </c>
      <c r="K188" s="1" t="n">
        <v>2893.59</v>
      </c>
      <c r="L188" s="1" t="n">
        <v>2755.35</v>
      </c>
      <c r="M188" s="1" t="n">
        <v>138.24</v>
      </c>
      <c r="N188" s="1" t="s">
        <v>41</v>
      </c>
      <c r="P188" s="1" t="n">
        <v>1</v>
      </c>
      <c r="Q188" s="1" t="s">
        <v>63</v>
      </c>
      <c r="R188" s="1" t="s">
        <v>102</v>
      </c>
      <c r="S188" s="6" t="n">
        <v>46149</v>
      </c>
    </row>
    <row r="189" customFormat="false" ht="14.25" hidden="false" customHeight="true" outlineLevel="0" collapsed="false">
      <c r="A189" s="1" t="s">
        <v>902</v>
      </c>
      <c r="B189" s="1" t="s">
        <v>731</v>
      </c>
      <c r="C189" s="1" t="s">
        <v>188</v>
      </c>
      <c r="D189" s="1" t="s">
        <v>757</v>
      </c>
      <c r="E189" s="6" t="n">
        <v>46060</v>
      </c>
      <c r="F189" s="6" t="n">
        <v>46056</v>
      </c>
      <c r="G189" s="1" t="s">
        <v>70</v>
      </c>
      <c r="H189" s="1" t="s">
        <v>903</v>
      </c>
      <c r="I189" s="1" t="s">
        <v>904</v>
      </c>
      <c r="J189" s="1" t="n">
        <v>42963.99</v>
      </c>
      <c r="K189" s="1" t="n">
        <v>28109.66</v>
      </c>
      <c r="L189" s="1" t="n">
        <v>21866.15</v>
      </c>
      <c r="M189" s="1" t="n">
        <v>6243.51</v>
      </c>
      <c r="N189" s="1" t="s">
        <v>41</v>
      </c>
      <c r="P189" s="1" t="n">
        <v>3</v>
      </c>
      <c r="Q189" s="1" t="s">
        <v>63</v>
      </c>
      <c r="R189" s="1" t="s">
        <v>125</v>
      </c>
      <c r="S189" s="6" t="n">
        <v>46063</v>
      </c>
    </row>
    <row r="190" customFormat="false" ht="14.25" hidden="false" customHeight="true" outlineLevel="0" collapsed="false">
      <c r="A190" s="1" t="s">
        <v>905</v>
      </c>
      <c r="B190" s="1" t="s">
        <v>906</v>
      </c>
      <c r="C190" s="1" t="s">
        <v>446</v>
      </c>
      <c r="D190" s="1" t="s">
        <v>99</v>
      </c>
      <c r="E190" s="6" t="n">
        <v>46203</v>
      </c>
      <c r="F190" s="6" t="n">
        <v>46202</v>
      </c>
      <c r="G190" s="1" t="s">
        <v>49</v>
      </c>
      <c r="H190" s="1" t="s">
        <v>907</v>
      </c>
      <c r="I190" s="1" t="s">
        <v>908</v>
      </c>
      <c r="J190" s="1" t="n">
        <v>40068.91</v>
      </c>
      <c r="K190" s="1" t="n">
        <v>36406.79</v>
      </c>
      <c r="L190" s="1" t="n">
        <v>30425.59</v>
      </c>
      <c r="M190" s="1" t="n">
        <v>5981.2</v>
      </c>
      <c r="N190" s="1" t="s">
        <v>41</v>
      </c>
      <c r="P190" s="1" t="n">
        <v>2</v>
      </c>
      <c r="Q190" s="1" t="s">
        <v>63</v>
      </c>
      <c r="R190" s="1" t="s">
        <v>140</v>
      </c>
      <c r="S190" s="6" t="n">
        <v>46205</v>
      </c>
    </row>
    <row r="191" customFormat="false" ht="14.25" hidden="false" customHeight="true" outlineLevel="0" collapsed="false">
      <c r="A191" s="1" t="s">
        <v>909</v>
      </c>
      <c r="B191" s="1" t="s">
        <v>238</v>
      </c>
      <c r="C191" s="1" t="s">
        <v>78</v>
      </c>
      <c r="D191" s="1" t="s">
        <v>396</v>
      </c>
      <c r="E191" s="6" t="n">
        <v>46195</v>
      </c>
      <c r="F191" s="6" t="n">
        <v>46192</v>
      </c>
      <c r="G191" s="1" t="s">
        <v>108</v>
      </c>
      <c r="H191" s="1" t="s">
        <v>910</v>
      </c>
      <c r="I191" s="1" t="s">
        <v>911</v>
      </c>
      <c r="J191" s="1" t="n">
        <v>8780.52</v>
      </c>
      <c r="K191" s="1" t="n">
        <v>7229.24</v>
      </c>
      <c r="L191" s="1" t="n">
        <v>0</v>
      </c>
      <c r="M191" s="1" t="n">
        <v>7229.24</v>
      </c>
      <c r="N191" s="1" t="s">
        <v>111</v>
      </c>
      <c r="P191" s="1" t="n">
        <v>9</v>
      </c>
      <c r="Q191" s="1" t="s">
        <v>63</v>
      </c>
      <c r="R191" s="1" t="s">
        <v>43</v>
      </c>
    </row>
    <row r="192" customFormat="false" ht="14.25" hidden="false" customHeight="true" outlineLevel="0" collapsed="false">
      <c r="A192" s="1" t="s">
        <v>912</v>
      </c>
      <c r="B192" s="1" t="s">
        <v>913</v>
      </c>
      <c r="C192" s="1" t="s">
        <v>85</v>
      </c>
      <c r="D192" s="1" t="s">
        <v>476</v>
      </c>
      <c r="E192" s="6" t="n">
        <v>46146</v>
      </c>
      <c r="F192" s="6" t="n">
        <v>46144</v>
      </c>
      <c r="G192" s="1" t="s">
        <v>49</v>
      </c>
      <c r="H192" s="1" t="s">
        <v>914</v>
      </c>
      <c r="I192" s="1" t="s">
        <v>915</v>
      </c>
      <c r="J192" s="1" t="n">
        <v>47438.46</v>
      </c>
      <c r="K192" s="1" t="n">
        <v>43963.01</v>
      </c>
      <c r="L192" s="1" t="n">
        <v>35540.37</v>
      </c>
      <c r="M192" s="1" t="n">
        <v>8422.64</v>
      </c>
      <c r="N192" s="1" t="s">
        <v>41</v>
      </c>
      <c r="P192" s="1" t="n">
        <v>7</v>
      </c>
      <c r="Q192" s="1" t="s">
        <v>63</v>
      </c>
      <c r="R192" s="1" t="s">
        <v>43</v>
      </c>
      <c r="S192" s="6" t="n">
        <v>46153</v>
      </c>
    </row>
    <row r="193" customFormat="false" ht="14.25" hidden="false" customHeight="true" outlineLevel="0" collapsed="false">
      <c r="A193" s="1" t="s">
        <v>916</v>
      </c>
      <c r="B193" s="1" t="s">
        <v>917</v>
      </c>
      <c r="C193" s="1" t="s">
        <v>516</v>
      </c>
      <c r="D193" s="1" t="s">
        <v>331</v>
      </c>
      <c r="E193" s="6" t="n">
        <v>46198</v>
      </c>
      <c r="F193" s="6" t="n">
        <v>46196</v>
      </c>
      <c r="G193" s="1" t="s">
        <v>70</v>
      </c>
      <c r="H193" s="1" t="s">
        <v>918</v>
      </c>
      <c r="I193" s="1" t="s">
        <v>919</v>
      </c>
      <c r="J193" s="1" t="n">
        <v>34302.38</v>
      </c>
      <c r="K193" s="1" t="n">
        <v>22718.65</v>
      </c>
      <c r="L193" s="1" t="n">
        <v>0</v>
      </c>
      <c r="M193" s="1" t="n">
        <v>22718.65</v>
      </c>
      <c r="N193" s="1" t="s">
        <v>260</v>
      </c>
      <c r="P193" s="1" t="n">
        <v>6</v>
      </c>
      <c r="Q193" s="1" t="s">
        <v>63</v>
      </c>
      <c r="R193" s="1" t="s">
        <v>125</v>
      </c>
    </row>
    <row r="194" customFormat="false" ht="14.25" hidden="false" customHeight="true" outlineLevel="0" collapsed="false">
      <c r="A194" s="1" t="s">
        <v>920</v>
      </c>
      <c r="B194" s="1" t="s">
        <v>921</v>
      </c>
      <c r="C194" s="1" t="s">
        <v>623</v>
      </c>
      <c r="D194" s="1" t="s">
        <v>865</v>
      </c>
      <c r="E194" s="6" t="n">
        <v>46050</v>
      </c>
      <c r="F194" s="6" t="n">
        <v>46048</v>
      </c>
      <c r="G194" s="1" t="s">
        <v>38</v>
      </c>
      <c r="H194" s="1" t="s">
        <v>460</v>
      </c>
      <c r="I194" s="1" t="s">
        <v>922</v>
      </c>
      <c r="J194" s="1" t="n">
        <v>19862.11</v>
      </c>
      <c r="K194" s="1" t="n">
        <v>17517.29</v>
      </c>
      <c r="L194" s="1" t="n">
        <v>0</v>
      </c>
      <c r="M194" s="1" t="n">
        <v>17517.29</v>
      </c>
      <c r="N194" s="1" t="s">
        <v>111</v>
      </c>
      <c r="P194" s="1" t="n">
        <v>15</v>
      </c>
      <c r="Q194" s="1" t="s">
        <v>42</v>
      </c>
      <c r="R194" s="1" t="s">
        <v>74</v>
      </c>
    </row>
    <row r="195" customFormat="false" ht="14.25" hidden="false" customHeight="true" outlineLevel="0" collapsed="false">
      <c r="A195" s="1" t="s">
        <v>923</v>
      </c>
      <c r="B195" s="1" t="s">
        <v>924</v>
      </c>
      <c r="C195" s="1" t="s">
        <v>92</v>
      </c>
      <c r="D195" s="1" t="s">
        <v>722</v>
      </c>
      <c r="E195" s="6" t="n">
        <v>46071</v>
      </c>
      <c r="F195" s="6" t="n">
        <v>46069</v>
      </c>
      <c r="G195" s="1" t="s">
        <v>49</v>
      </c>
      <c r="H195" s="1" t="s">
        <v>925</v>
      </c>
      <c r="I195" s="1" t="s">
        <v>926</v>
      </c>
      <c r="J195" s="1" t="n">
        <v>33803.69</v>
      </c>
      <c r="K195" s="1" t="n">
        <v>30406.65</v>
      </c>
      <c r="L195" s="1" t="n">
        <v>22895.91</v>
      </c>
      <c r="M195" s="1" t="n">
        <v>7510.74</v>
      </c>
      <c r="N195" s="1" t="s">
        <v>41</v>
      </c>
      <c r="P195" s="1" t="n">
        <v>2</v>
      </c>
      <c r="Q195" s="1" t="s">
        <v>42</v>
      </c>
      <c r="R195" s="1" t="s">
        <v>102</v>
      </c>
      <c r="S195" s="6" t="n">
        <v>46073</v>
      </c>
    </row>
    <row r="196" customFormat="false" ht="14.25" hidden="false" customHeight="true" outlineLevel="0" collapsed="false">
      <c r="A196" s="1" t="s">
        <v>927</v>
      </c>
      <c r="B196" s="1" t="s">
        <v>928</v>
      </c>
      <c r="C196" s="1" t="s">
        <v>47</v>
      </c>
      <c r="D196" s="1" t="s">
        <v>177</v>
      </c>
      <c r="E196" s="6" t="n">
        <v>46088</v>
      </c>
      <c r="F196" s="6" t="n">
        <v>46087</v>
      </c>
      <c r="G196" s="1" t="s">
        <v>108</v>
      </c>
      <c r="H196" s="1" t="s">
        <v>929</v>
      </c>
      <c r="I196" s="1" t="s">
        <v>930</v>
      </c>
      <c r="J196" s="1" t="n">
        <v>31160.16</v>
      </c>
      <c r="K196" s="1" t="n">
        <v>20785.84</v>
      </c>
      <c r="L196" s="1" t="n">
        <v>18676.8</v>
      </c>
      <c r="M196" s="1" t="n">
        <v>2109.04</v>
      </c>
      <c r="N196" s="1" t="s">
        <v>41</v>
      </c>
      <c r="P196" s="1" t="n">
        <v>4</v>
      </c>
      <c r="Q196" s="1" t="s">
        <v>63</v>
      </c>
      <c r="R196" s="1" t="s">
        <v>74</v>
      </c>
      <c r="S196" s="6" t="n">
        <v>46092</v>
      </c>
    </row>
    <row r="197" customFormat="false" ht="14.25" hidden="false" customHeight="true" outlineLevel="0" collapsed="false">
      <c r="A197" s="1" t="s">
        <v>931</v>
      </c>
      <c r="B197" s="1" t="s">
        <v>932</v>
      </c>
      <c r="C197" s="1" t="s">
        <v>413</v>
      </c>
      <c r="D197" s="1" t="s">
        <v>933</v>
      </c>
      <c r="E197" s="6" t="n">
        <v>46223</v>
      </c>
      <c r="F197" s="6" t="n">
        <v>46218</v>
      </c>
      <c r="G197" s="1" t="s">
        <v>108</v>
      </c>
      <c r="H197" s="1" t="s">
        <v>829</v>
      </c>
      <c r="I197" s="1" t="s">
        <v>934</v>
      </c>
      <c r="J197" s="1" t="n">
        <v>48374.69</v>
      </c>
      <c r="K197" s="1" t="n">
        <v>44446.69</v>
      </c>
      <c r="L197" s="1" t="n">
        <v>41064.89</v>
      </c>
      <c r="M197" s="1" t="n">
        <v>3381.8</v>
      </c>
      <c r="N197" s="1" t="s">
        <v>41</v>
      </c>
      <c r="P197" s="1" t="n">
        <v>5</v>
      </c>
      <c r="Q197" s="1" t="s">
        <v>63</v>
      </c>
      <c r="R197" s="1" t="s">
        <v>125</v>
      </c>
      <c r="S197" s="6" t="n">
        <v>46228</v>
      </c>
    </row>
    <row r="198" customFormat="false" ht="14.25" hidden="false" customHeight="true" outlineLevel="0" collapsed="false">
      <c r="A198" s="1" t="s">
        <v>935</v>
      </c>
      <c r="B198" s="1" t="s">
        <v>936</v>
      </c>
      <c r="C198" s="1" t="s">
        <v>310</v>
      </c>
      <c r="D198" s="1" t="s">
        <v>937</v>
      </c>
      <c r="E198" s="6" t="n">
        <v>46137</v>
      </c>
      <c r="F198" s="6" t="n">
        <v>46132</v>
      </c>
      <c r="G198" s="1" t="s">
        <v>49</v>
      </c>
      <c r="H198" s="1" t="s">
        <v>938</v>
      </c>
      <c r="I198" s="1" t="s">
        <v>939</v>
      </c>
      <c r="J198" s="1" t="n">
        <v>38609.09</v>
      </c>
      <c r="K198" s="1" t="n">
        <v>28841.81</v>
      </c>
      <c r="L198" s="1" t="n">
        <v>0</v>
      </c>
      <c r="M198" s="1" t="n">
        <v>28841.81</v>
      </c>
      <c r="N198" s="1" t="s">
        <v>52</v>
      </c>
      <c r="O198" s="1" t="s">
        <v>53</v>
      </c>
      <c r="P198" s="1" t="n">
        <v>3</v>
      </c>
      <c r="Q198" s="1" t="s">
        <v>155</v>
      </c>
      <c r="R198" s="1" t="s">
        <v>102</v>
      </c>
    </row>
    <row r="199" customFormat="false" ht="14.25" hidden="false" customHeight="true" outlineLevel="0" collapsed="false">
      <c r="A199" s="1" t="s">
        <v>940</v>
      </c>
      <c r="B199" s="1" t="s">
        <v>941</v>
      </c>
      <c r="C199" s="1" t="s">
        <v>78</v>
      </c>
      <c r="D199" s="1" t="s">
        <v>635</v>
      </c>
      <c r="E199" s="6" t="n">
        <v>46233</v>
      </c>
      <c r="F199" s="6" t="n">
        <v>46231</v>
      </c>
      <c r="G199" s="1" t="s">
        <v>108</v>
      </c>
      <c r="H199" s="1" t="s">
        <v>877</v>
      </c>
      <c r="I199" s="1" t="s">
        <v>942</v>
      </c>
      <c r="J199" s="1" t="n">
        <v>3935.22</v>
      </c>
      <c r="K199" s="1" t="n">
        <v>3714.17</v>
      </c>
      <c r="L199" s="1" t="n">
        <v>2971.96</v>
      </c>
      <c r="M199" s="1" t="n">
        <v>742.21</v>
      </c>
      <c r="N199" s="1" t="s">
        <v>41</v>
      </c>
      <c r="P199" s="1" t="n">
        <v>7</v>
      </c>
      <c r="Q199" s="1" t="s">
        <v>63</v>
      </c>
      <c r="R199" s="1" t="s">
        <v>140</v>
      </c>
      <c r="S199" s="6" t="n">
        <v>46240</v>
      </c>
    </row>
    <row r="200" customFormat="false" ht="14.25" hidden="false" customHeight="true" outlineLevel="0" collapsed="false">
      <c r="A200" s="1" t="s">
        <v>943</v>
      </c>
      <c r="B200" s="1" t="s">
        <v>748</v>
      </c>
      <c r="C200" s="1" t="s">
        <v>623</v>
      </c>
      <c r="D200" s="1" t="s">
        <v>336</v>
      </c>
      <c r="E200" s="6" t="n">
        <v>46185</v>
      </c>
      <c r="F200" s="6" t="n">
        <v>46180</v>
      </c>
      <c r="G200" s="1" t="s">
        <v>49</v>
      </c>
      <c r="H200" s="1" t="s">
        <v>944</v>
      </c>
      <c r="I200" s="1" t="s">
        <v>945</v>
      </c>
      <c r="J200" s="1" t="n">
        <v>22358.29</v>
      </c>
      <c r="K200" s="1" t="n">
        <v>16270.1</v>
      </c>
      <c r="L200" s="1" t="n">
        <v>12344.37</v>
      </c>
      <c r="M200" s="1" t="n">
        <v>3925.73</v>
      </c>
      <c r="N200" s="1" t="s">
        <v>41</v>
      </c>
      <c r="P200" s="1" t="n">
        <v>2</v>
      </c>
      <c r="Q200" s="1" t="s">
        <v>155</v>
      </c>
      <c r="R200" s="1" t="s">
        <v>74</v>
      </c>
      <c r="S200" s="6" t="n">
        <v>46187</v>
      </c>
    </row>
    <row r="201" customFormat="false" ht="14.25" hidden="false" customHeight="true" outlineLevel="0" collapsed="false">
      <c r="A201" s="1" t="s">
        <v>946</v>
      </c>
      <c r="B201" s="1" t="s">
        <v>454</v>
      </c>
      <c r="C201" s="1" t="s">
        <v>151</v>
      </c>
      <c r="D201" s="1" t="s">
        <v>881</v>
      </c>
      <c r="E201" s="6" t="n">
        <v>46186</v>
      </c>
      <c r="F201" s="6" t="n">
        <v>46186</v>
      </c>
      <c r="G201" s="1" t="s">
        <v>49</v>
      </c>
      <c r="H201" s="1" t="s">
        <v>947</v>
      </c>
      <c r="I201" s="1" t="s">
        <v>948</v>
      </c>
      <c r="J201" s="1" t="n">
        <v>33397.99</v>
      </c>
      <c r="K201" s="1" t="n">
        <v>24378.23</v>
      </c>
      <c r="L201" s="1" t="n">
        <v>0</v>
      </c>
      <c r="M201" s="1" t="n">
        <v>24378.23</v>
      </c>
      <c r="N201" s="1" t="s">
        <v>52</v>
      </c>
      <c r="O201" s="1" t="s">
        <v>62</v>
      </c>
      <c r="P201" s="1" t="n">
        <v>6</v>
      </c>
      <c r="Q201" s="1" t="s">
        <v>63</v>
      </c>
      <c r="R201" s="1" t="s">
        <v>125</v>
      </c>
    </row>
    <row r="202" customFormat="false" ht="14.25" hidden="false" customHeight="true" outlineLevel="0" collapsed="false">
      <c r="A202" s="1" t="s">
        <v>949</v>
      </c>
      <c r="B202" s="1" t="s">
        <v>928</v>
      </c>
      <c r="C202" s="1" t="s">
        <v>459</v>
      </c>
      <c r="D202" s="1" t="s">
        <v>326</v>
      </c>
      <c r="E202" s="6" t="n">
        <v>46209</v>
      </c>
      <c r="F202" s="6" t="n">
        <v>46209</v>
      </c>
      <c r="G202" s="1" t="s">
        <v>70</v>
      </c>
      <c r="H202" s="1" t="s">
        <v>950</v>
      </c>
      <c r="I202" s="1" t="s">
        <v>951</v>
      </c>
      <c r="J202" s="1" t="n">
        <v>663.71</v>
      </c>
      <c r="K202" s="1" t="n">
        <v>621.4</v>
      </c>
      <c r="L202" s="1" t="n">
        <v>593.12</v>
      </c>
      <c r="M202" s="1" t="n">
        <v>28.28</v>
      </c>
      <c r="N202" s="1" t="s">
        <v>41</v>
      </c>
      <c r="P202" s="1" t="n">
        <v>8</v>
      </c>
      <c r="Q202" s="1" t="s">
        <v>63</v>
      </c>
      <c r="R202" s="1" t="s">
        <v>54</v>
      </c>
      <c r="S202" s="6" t="n">
        <v>46217</v>
      </c>
    </row>
    <row r="203" customFormat="false" ht="14.25" hidden="false" customHeight="true" outlineLevel="0" collapsed="false">
      <c r="A203" s="1" t="s">
        <v>952</v>
      </c>
      <c r="B203" s="1" t="s">
        <v>589</v>
      </c>
      <c r="C203" s="1" t="s">
        <v>78</v>
      </c>
      <c r="D203" s="1" t="s">
        <v>953</v>
      </c>
      <c r="E203" s="6" t="n">
        <v>46189</v>
      </c>
      <c r="F203" s="6" t="n">
        <v>46184</v>
      </c>
      <c r="G203" s="1" t="s">
        <v>38</v>
      </c>
      <c r="H203" s="1" t="s">
        <v>954</v>
      </c>
      <c r="I203" s="1" t="s">
        <v>955</v>
      </c>
      <c r="J203" s="1" t="n">
        <v>26964</v>
      </c>
      <c r="K203" s="1" t="n">
        <v>25299.72</v>
      </c>
      <c r="L203" s="1" t="n">
        <v>19483.67</v>
      </c>
      <c r="M203" s="1" t="n">
        <v>5816.05</v>
      </c>
      <c r="N203" s="1" t="s">
        <v>41</v>
      </c>
      <c r="P203" s="1" t="n">
        <v>8</v>
      </c>
      <c r="Q203" s="1" t="s">
        <v>63</v>
      </c>
      <c r="R203" s="1" t="s">
        <v>74</v>
      </c>
      <c r="S203" s="6" t="n">
        <v>46197</v>
      </c>
    </row>
    <row r="204" customFormat="false" ht="14.25" hidden="false" customHeight="true" outlineLevel="0" collapsed="false">
      <c r="A204" s="1" t="s">
        <v>956</v>
      </c>
      <c r="B204" s="1" t="s">
        <v>542</v>
      </c>
      <c r="C204" s="1" t="s">
        <v>436</v>
      </c>
      <c r="D204" s="1" t="s">
        <v>320</v>
      </c>
      <c r="E204" s="6" t="n">
        <v>46073</v>
      </c>
      <c r="F204" s="6" t="n">
        <v>46071</v>
      </c>
      <c r="G204" s="1" t="s">
        <v>49</v>
      </c>
      <c r="H204" s="1" t="s">
        <v>957</v>
      </c>
      <c r="I204" s="1" t="s">
        <v>958</v>
      </c>
      <c r="J204" s="1" t="n">
        <v>44874.8</v>
      </c>
      <c r="K204" s="1" t="n">
        <v>37658.26</v>
      </c>
      <c r="L204" s="1" t="n">
        <v>0</v>
      </c>
      <c r="M204" s="1" t="n">
        <v>37658.26</v>
      </c>
      <c r="N204" s="1" t="s">
        <v>111</v>
      </c>
      <c r="P204" s="1" t="n">
        <v>9</v>
      </c>
      <c r="Q204" s="1" t="s">
        <v>155</v>
      </c>
      <c r="R204" s="1" t="s">
        <v>54</v>
      </c>
    </row>
    <row r="205" customFormat="false" ht="14.25" hidden="false" customHeight="true" outlineLevel="0" collapsed="false">
      <c r="A205" s="1" t="s">
        <v>959</v>
      </c>
      <c r="B205" s="1" t="s">
        <v>960</v>
      </c>
      <c r="C205" s="1" t="s">
        <v>78</v>
      </c>
      <c r="D205" s="1" t="s">
        <v>607</v>
      </c>
      <c r="E205" s="6" t="n">
        <v>46072</v>
      </c>
      <c r="F205" s="6" t="n">
        <v>46072</v>
      </c>
      <c r="G205" s="1" t="s">
        <v>49</v>
      </c>
      <c r="H205" s="1" t="s">
        <v>961</v>
      </c>
      <c r="I205" s="1" t="s">
        <v>962</v>
      </c>
      <c r="J205" s="1" t="n">
        <v>29850.8</v>
      </c>
      <c r="K205" s="1" t="n">
        <v>23784.21</v>
      </c>
      <c r="L205" s="1" t="n">
        <v>0</v>
      </c>
      <c r="M205" s="1" t="n">
        <v>23784.21</v>
      </c>
      <c r="N205" s="1" t="s">
        <v>111</v>
      </c>
      <c r="P205" s="1" t="n">
        <v>5</v>
      </c>
      <c r="Q205" s="1" t="s">
        <v>155</v>
      </c>
      <c r="R205" s="1" t="s">
        <v>54</v>
      </c>
    </row>
    <row r="206" customFormat="false" ht="14.25" hidden="false" customHeight="true" outlineLevel="0" collapsed="false">
      <c r="A206" s="1" t="s">
        <v>963</v>
      </c>
      <c r="B206" s="1" t="s">
        <v>810</v>
      </c>
      <c r="C206" s="1" t="s">
        <v>296</v>
      </c>
      <c r="D206" s="1" t="s">
        <v>964</v>
      </c>
      <c r="E206" s="6" t="n">
        <v>46109</v>
      </c>
      <c r="F206" s="6" t="n">
        <v>46109</v>
      </c>
      <c r="G206" s="1" t="s">
        <v>38</v>
      </c>
      <c r="H206" s="1" t="s">
        <v>965</v>
      </c>
      <c r="I206" s="1" t="s">
        <v>966</v>
      </c>
      <c r="J206" s="1" t="n">
        <v>36190.09</v>
      </c>
      <c r="K206" s="1" t="n">
        <v>27926.17</v>
      </c>
      <c r="L206" s="1" t="n">
        <v>22422.47</v>
      </c>
      <c r="M206" s="1" t="n">
        <v>5503.7</v>
      </c>
      <c r="N206" s="1" t="s">
        <v>41</v>
      </c>
      <c r="P206" s="1" t="n">
        <v>8</v>
      </c>
      <c r="Q206" s="1" t="s">
        <v>42</v>
      </c>
      <c r="R206" s="1" t="s">
        <v>140</v>
      </c>
      <c r="S206" s="6" t="n">
        <v>46117</v>
      </c>
    </row>
    <row r="207" customFormat="false" ht="14.25" hidden="false" customHeight="true" outlineLevel="0" collapsed="false">
      <c r="A207" s="1" t="s">
        <v>967</v>
      </c>
      <c r="B207" s="1" t="s">
        <v>968</v>
      </c>
      <c r="C207" s="1" t="s">
        <v>68</v>
      </c>
      <c r="D207" s="1" t="s">
        <v>320</v>
      </c>
      <c r="E207" s="6" t="n">
        <v>46153</v>
      </c>
      <c r="F207" s="6" t="n">
        <v>46148</v>
      </c>
      <c r="G207" s="1" t="s">
        <v>108</v>
      </c>
      <c r="H207" s="1" t="s">
        <v>969</v>
      </c>
      <c r="I207" s="1" t="s">
        <v>970</v>
      </c>
      <c r="J207" s="1" t="n">
        <v>45405.35</v>
      </c>
      <c r="K207" s="1" t="n">
        <v>37936.7</v>
      </c>
      <c r="L207" s="1" t="n">
        <v>30754.17</v>
      </c>
      <c r="M207" s="1" t="n">
        <v>7182.53</v>
      </c>
      <c r="N207" s="1" t="s">
        <v>41</v>
      </c>
      <c r="P207" s="1" t="n">
        <v>3</v>
      </c>
      <c r="Q207" s="1" t="s">
        <v>63</v>
      </c>
      <c r="R207" s="1" t="s">
        <v>64</v>
      </c>
      <c r="S207" s="6" t="n">
        <v>46156</v>
      </c>
    </row>
    <row r="208" customFormat="false" ht="14.25" hidden="false" customHeight="true" outlineLevel="0" collapsed="false">
      <c r="A208" s="1" t="s">
        <v>971</v>
      </c>
      <c r="B208" s="1" t="s">
        <v>972</v>
      </c>
      <c r="C208" s="1" t="s">
        <v>36</v>
      </c>
      <c r="D208" s="1" t="s">
        <v>387</v>
      </c>
      <c r="E208" s="6" t="n">
        <v>46070</v>
      </c>
      <c r="F208" s="6" t="n">
        <v>46066</v>
      </c>
      <c r="G208" s="1" t="s">
        <v>70</v>
      </c>
      <c r="H208" s="1" t="s">
        <v>973</v>
      </c>
      <c r="I208" s="1" t="s">
        <v>974</v>
      </c>
      <c r="J208" s="1" t="n">
        <v>40964.78</v>
      </c>
      <c r="K208" s="1" t="n">
        <v>28030.31</v>
      </c>
      <c r="L208" s="1" t="n">
        <v>25192.08</v>
      </c>
      <c r="M208" s="1" t="n">
        <v>2838.23</v>
      </c>
      <c r="N208" s="1" t="s">
        <v>41</v>
      </c>
      <c r="P208" s="1" t="n">
        <v>4</v>
      </c>
      <c r="Q208" s="1" t="s">
        <v>63</v>
      </c>
      <c r="R208" s="1" t="s">
        <v>54</v>
      </c>
      <c r="S208" s="6" t="n">
        <v>46074</v>
      </c>
    </row>
    <row r="209" customFormat="false" ht="14.25" hidden="false" customHeight="true" outlineLevel="0" collapsed="false">
      <c r="A209" s="1" t="s">
        <v>975</v>
      </c>
      <c r="B209" s="1" t="s">
        <v>976</v>
      </c>
      <c r="C209" s="1" t="s">
        <v>215</v>
      </c>
      <c r="D209" s="1" t="s">
        <v>727</v>
      </c>
      <c r="E209" s="6" t="n">
        <v>46202</v>
      </c>
      <c r="F209" s="6" t="n">
        <v>46198</v>
      </c>
      <c r="G209" s="1" t="s">
        <v>108</v>
      </c>
      <c r="H209" s="1" t="s">
        <v>60</v>
      </c>
      <c r="I209" s="1" t="s">
        <v>977</v>
      </c>
      <c r="J209" s="1" t="n">
        <v>16418.7</v>
      </c>
      <c r="K209" s="1" t="n">
        <v>15423.85</v>
      </c>
      <c r="L209" s="1" t="n">
        <v>12390.1</v>
      </c>
      <c r="M209" s="1" t="n">
        <v>3033.75</v>
      </c>
      <c r="N209" s="1" t="s">
        <v>41</v>
      </c>
      <c r="P209" s="1" t="n">
        <v>1</v>
      </c>
      <c r="Q209" s="1" t="s">
        <v>63</v>
      </c>
      <c r="R209" s="1" t="s">
        <v>140</v>
      </c>
      <c r="S209" s="6" t="n">
        <v>46203</v>
      </c>
    </row>
    <row r="210" customFormat="false" ht="14.25" hidden="false" customHeight="true" outlineLevel="0" collapsed="false">
      <c r="A210" s="1" t="s">
        <v>978</v>
      </c>
      <c r="B210" s="1" t="s">
        <v>979</v>
      </c>
      <c r="C210" s="1" t="s">
        <v>310</v>
      </c>
      <c r="D210" s="1" t="s">
        <v>431</v>
      </c>
      <c r="E210" s="6" t="n">
        <v>46203</v>
      </c>
      <c r="F210" s="6" t="n">
        <v>46201</v>
      </c>
      <c r="G210" s="1" t="s">
        <v>108</v>
      </c>
      <c r="H210" s="1" t="s">
        <v>980</v>
      </c>
      <c r="I210" s="1" t="s">
        <v>981</v>
      </c>
      <c r="J210" s="1" t="n">
        <v>22213.73</v>
      </c>
      <c r="K210" s="1" t="n">
        <v>20607.74</v>
      </c>
      <c r="L210" s="1" t="n">
        <v>15665.48</v>
      </c>
      <c r="M210" s="1" t="n">
        <v>4942.26</v>
      </c>
      <c r="N210" s="1" t="s">
        <v>41</v>
      </c>
      <c r="P210" s="1" t="n">
        <v>2</v>
      </c>
      <c r="Q210" s="1" t="s">
        <v>155</v>
      </c>
      <c r="R210" s="1" t="s">
        <v>54</v>
      </c>
      <c r="S210" s="6" t="n">
        <v>46205</v>
      </c>
    </row>
    <row r="211" customFormat="false" ht="14.25" hidden="false" customHeight="true" outlineLevel="0" collapsed="false">
      <c r="A211" s="1" t="s">
        <v>982</v>
      </c>
      <c r="B211" s="1" t="s">
        <v>983</v>
      </c>
      <c r="C211" s="1" t="s">
        <v>221</v>
      </c>
      <c r="D211" s="1" t="s">
        <v>984</v>
      </c>
      <c r="E211" s="6" t="n">
        <v>46068</v>
      </c>
      <c r="F211" s="6" t="n">
        <v>46068</v>
      </c>
      <c r="G211" s="1" t="s">
        <v>38</v>
      </c>
      <c r="H211" s="1" t="s">
        <v>138</v>
      </c>
      <c r="I211" s="1" t="s">
        <v>985</v>
      </c>
      <c r="J211" s="1" t="n">
        <v>29889.66</v>
      </c>
      <c r="K211" s="1" t="n">
        <v>21972.47</v>
      </c>
      <c r="L211" s="1" t="n">
        <v>0</v>
      </c>
      <c r="M211" s="1" t="n">
        <v>21972.47</v>
      </c>
      <c r="N211" s="1" t="s">
        <v>111</v>
      </c>
      <c r="P211" s="1" t="n">
        <v>15</v>
      </c>
      <c r="Q211" s="1" t="s">
        <v>42</v>
      </c>
      <c r="R211" s="1" t="s">
        <v>43</v>
      </c>
    </row>
    <row r="212" customFormat="false" ht="14.25" hidden="false" customHeight="true" outlineLevel="0" collapsed="false">
      <c r="A212" s="1" t="s">
        <v>986</v>
      </c>
      <c r="B212" s="1" t="s">
        <v>35</v>
      </c>
      <c r="C212" s="1" t="s">
        <v>286</v>
      </c>
      <c r="D212" s="1" t="s">
        <v>116</v>
      </c>
      <c r="E212" s="6" t="n">
        <v>46129</v>
      </c>
      <c r="F212" s="6" t="n">
        <v>46128</v>
      </c>
      <c r="G212" s="1" t="s">
        <v>70</v>
      </c>
      <c r="H212" s="1" t="s">
        <v>987</v>
      </c>
      <c r="I212" s="1" t="s">
        <v>988</v>
      </c>
      <c r="J212" s="1" t="n">
        <v>30721.63</v>
      </c>
      <c r="K212" s="1" t="n">
        <v>20315.79</v>
      </c>
      <c r="L212" s="1" t="n">
        <v>0</v>
      </c>
      <c r="M212" s="1" t="n">
        <v>20315.79</v>
      </c>
      <c r="N212" s="1" t="s">
        <v>52</v>
      </c>
      <c r="O212" s="1" t="s">
        <v>62</v>
      </c>
      <c r="P212" s="1" t="n">
        <v>3</v>
      </c>
      <c r="Q212" s="1" t="s">
        <v>42</v>
      </c>
      <c r="R212" s="1" t="s">
        <v>140</v>
      </c>
    </row>
    <row r="213" customFormat="false" ht="14.25" hidden="false" customHeight="true" outlineLevel="0" collapsed="false">
      <c r="A213" s="1" t="s">
        <v>989</v>
      </c>
      <c r="B213" s="1" t="s">
        <v>756</v>
      </c>
      <c r="C213" s="1" t="s">
        <v>310</v>
      </c>
      <c r="D213" s="1" t="s">
        <v>320</v>
      </c>
      <c r="E213" s="6" t="n">
        <v>46072</v>
      </c>
      <c r="F213" s="6" t="n">
        <v>46072</v>
      </c>
      <c r="G213" s="1" t="s">
        <v>38</v>
      </c>
      <c r="H213" s="1" t="s">
        <v>990</v>
      </c>
      <c r="I213" s="1" t="s">
        <v>991</v>
      </c>
      <c r="J213" s="1" t="n">
        <v>48851.18</v>
      </c>
      <c r="K213" s="1" t="n">
        <v>40823.77</v>
      </c>
      <c r="L213" s="1" t="n">
        <v>0</v>
      </c>
      <c r="M213" s="1" t="n">
        <v>40823.77</v>
      </c>
      <c r="N213" s="1" t="s">
        <v>260</v>
      </c>
      <c r="P213" s="1" t="n">
        <v>4</v>
      </c>
      <c r="Q213" s="1" t="s">
        <v>155</v>
      </c>
      <c r="R213" s="1" t="s">
        <v>54</v>
      </c>
    </row>
    <row r="214" customFormat="false" ht="14.25" hidden="false" customHeight="true" outlineLevel="0" collapsed="false">
      <c r="A214" s="1" t="s">
        <v>992</v>
      </c>
      <c r="B214" s="1" t="s">
        <v>993</v>
      </c>
      <c r="C214" s="1" t="s">
        <v>188</v>
      </c>
      <c r="D214" s="1" t="s">
        <v>368</v>
      </c>
      <c r="E214" s="6" t="n">
        <v>46227</v>
      </c>
      <c r="F214" s="6" t="n">
        <v>46226</v>
      </c>
      <c r="G214" s="1" t="s">
        <v>108</v>
      </c>
      <c r="H214" s="1" t="s">
        <v>994</v>
      </c>
      <c r="I214" s="1" t="s">
        <v>995</v>
      </c>
      <c r="J214" s="1" t="n">
        <v>48444.4</v>
      </c>
      <c r="K214" s="1" t="n">
        <v>38383.65</v>
      </c>
      <c r="L214" s="1" t="n">
        <v>0</v>
      </c>
      <c r="M214" s="1" t="n">
        <v>38383.65</v>
      </c>
      <c r="N214" s="1" t="s">
        <v>111</v>
      </c>
      <c r="P214" s="1" t="n">
        <v>6</v>
      </c>
      <c r="Q214" s="1" t="s">
        <v>63</v>
      </c>
      <c r="R214" s="1" t="s">
        <v>140</v>
      </c>
    </row>
    <row r="215" customFormat="false" ht="14.25" hidden="false" customHeight="true" outlineLevel="0" collapsed="false">
      <c r="A215" s="1" t="s">
        <v>996</v>
      </c>
      <c r="B215" s="1" t="s">
        <v>395</v>
      </c>
      <c r="C215" s="1" t="s">
        <v>68</v>
      </c>
      <c r="D215" s="1" t="s">
        <v>431</v>
      </c>
      <c r="E215" s="6" t="n">
        <v>46136</v>
      </c>
      <c r="F215" s="6" t="n">
        <v>46134</v>
      </c>
      <c r="G215" s="1" t="s">
        <v>108</v>
      </c>
      <c r="H215" s="1" t="s">
        <v>997</v>
      </c>
      <c r="I215" s="1" t="s">
        <v>998</v>
      </c>
      <c r="J215" s="1" t="n">
        <v>40355.11</v>
      </c>
      <c r="K215" s="1" t="n">
        <v>35412.51</v>
      </c>
      <c r="L215" s="1" t="n">
        <v>26942.88</v>
      </c>
      <c r="M215" s="1" t="n">
        <v>8469.63</v>
      </c>
      <c r="N215" s="1" t="s">
        <v>41</v>
      </c>
      <c r="P215" s="1" t="n">
        <v>1</v>
      </c>
      <c r="Q215" s="1" t="s">
        <v>155</v>
      </c>
      <c r="R215" s="1" t="s">
        <v>54</v>
      </c>
      <c r="S215" s="6" t="n">
        <v>46137</v>
      </c>
    </row>
    <row r="216" customFormat="false" ht="14.25" hidden="false" customHeight="true" outlineLevel="0" collapsed="false">
      <c r="A216" s="1" t="s">
        <v>999</v>
      </c>
      <c r="B216" s="1" t="s">
        <v>1000</v>
      </c>
      <c r="C216" s="1" t="s">
        <v>310</v>
      </c>
      <c r="D216" s="1" t="s">
        <v>501</v>
      </c>
      <c r="E216" s="6" t="n">
        <v>46088</v>
      </c>
      <c r="F216" s="6" t="n">
        <v>46083</v>
      </c>
      <c r="G216" s="1" t="s">
        <v>70</v>
      </c>
      <c r="H216" s="1" t="s">
        <v>1001</v>
      </c>
      <c r="I216" s="1" t="s">
        <v>1002</v>
      </c>
      <c r="J216" s="1" t="n">
        <v>29198.21</v>
      </c>
      <c r="K216" s="1" t="n">
        <v>22649.63</v>
      </c>
      <c r="L216" s="1" t="n">
        <v>21217.53</v>
      </c>
      <c r="M216" s="1" t="n">
        <v>1432.1</v>
      </c>
      <c r="N216" s="1" t="s">
        <v>41</v>
      </c>
      <c r="P216" s="1" t="n">
        <v>6</v>
      </c>
      <c r="Q216" s="1" t="s">
        <v>155</v>
      </c>
      <c r="R216" s="1" t="s">
        <v>74</v>
      </c>
      <c r="S216" s="6" t="n">
        <v>46094</v>
      </c>
    </row>
    <row r="217" customFormat="false" ht="14.25" hidden="false" customHeight="true" outlineLevel="0" collapsed="false">
      <c r="A217" s="1" t="s">
        <v>1003</v>
      </c>
      <c r="B217" s="1" t="s">
        <v>906</v>
      </c>
      <c r="C217" s="1" t="s">
        <v>510</v>
      </c>
      <c r="D217" s="1" t="s">
        <v>529</v>
      </c>
      <c r="E217" s="6" t="n">
        <v>46129</v>
      </c>
      <c r="F217" s="6" t="n">
        <v>46128</v>
      </c>
      <c r="G217" s="1" t="s">
        <v>49</v>
      </c>
      <c r="H217" s="1" t="s">
        <v>782</v>
      </c>
      <c r="I217" s="1" t="s">
        <v>1004</v>
      </c>
      <c r="J217" s="1" t="n">
        <v>11422.81</v>
      </c>
      <c r="K217" s="1" t="n">
        <v>9038.84</v>
      </c>
      <c r="L217" s="1" t="n">
        <v>7873.75</v>
      </c>
      <c r="M217" s="1" t="n">
        <v>1165.09</v>
      </c>
      <c r="N217" s="1" t="s">
        <v>41</v>
      </c>
      <c r="P217" s="1" t="n">
        <v>7</v>
      </c>
      <c r="Q217" s="1" t="s">
        <v>63</v>
      </c>
      <c r="R217" s="1" t="s">
        <v>140</v>
      </c>
      <c r="S217" s="6" t="n">
        <v>46136</v>
      </c>
    </row>
    <row r="218" customFormat="false" ht="14.25" hidden="false" customHeight="true" outlineLevel="0" collapsed="false">
      <c r="A218" s="1" t="s">
        <v>1005</v>
      </c>
      <c r="B218" s="1" t="s">
        <v>647</v>
      </c>
      <c r="C218" s="1" t="s">
        <v>182</v>
      </c>
      <c r="D218" s="1" t="s">
        <v>712</v>
      </c>
      <c r="E218" s="6" t="n">
        <v>46145</v>
      </c>
      <c r="F218" s="6" t="n">
        <v>46140</v>
      </c>
      <c r="G218" s="1" t="s">
        <v>38</v>
      </c>
      <c r="H218" s="1" t="s">
        <v>1006</v>
      </c>
      <c r="I218" s="1" t="s">
        <v>1007</v>
      </c>
      <c r="J218" s="1" t="n">
        <v>18250.21</v>
      </c>
      <c r="K218" s="1" t="n">
        <v>13339.23</v>
      </c>
      <c r="L218" s="1" t="n">
        <v>11124.56</v>
      </c>
      <c r="M218" s="1" t="n">
        <v>2214.67</v>
      </c>
      <c r="N218" s="1" t="s">
        <v>41</v>
      </c>
      <c r="P218" s="1" t="n">
        <v>1</v>
      </c>
      <c r="Q218" s="1" t="s">
        <v>63</v>
      </c>
      <c r="R218" s="1" t="s">
        <v>43</v>
      </c>
      <c r="S218" s="6" t="n">
        <v>46146</v>
      </c>
    </row>
    <row r="219" customFormat="false" ht="14.25" hidden="false" customHeight="true" outlineLevel="0" collapsed="false">
      <c r="A219" s="1" t="s">
        <v>1008</v>
      </c>
      <c r="B219" s="1" t="s">
        <v>1009</v>
      </c>
      <c r="C219" s="1" t="s">
        <v>468</v>
      </c>
      <c r="D219" s="1" t="s">
        <v>203</v>
      </c>
      <c r="E219" s="6" t="n">
        <v>46068</v>
      </c>
      <c r="F219" s="6" t="n">
        <v>46066</v>
      </c>
      <c r="G219" s="1" t="s">
        <v>108</v>
      </c>
      <c r="H219" s="1" t="s">
        <v>1010</v>
      </c>
      <c r="I219" s="1" t="s">
        <v>1011</v>
      </c>
      <c r="J219" s="1" t="n">
        <v>15110.49</v>
      </c>
      <c r="K219" s="1" t="n">
        <v>10532.56</v>
      </c>
      <c r="L219" s="1" t="n">
        <v>9991.62</v>
      </c>
      <c r="M219" s="1" t="n">
        <v>540.94</v>
      </c>
      <c r="N219" s="1" t="s">
        <v>41</v>
      </c>
      <c r="P219" s="1" t="n">
        <v>3</v>
      </c>
      <c r="Q219" s="1" t="s">
        <v>63</v>
      </c>
      <c r="R219" s="1" t="s">
        <v>125</v>
      </c>
      <c r="S219" s="6" t="n">
        <v>46071</v>
      </c>
    </row>
    <row r="220" customFormat="false" ht="14.25" hidden="false" customHeight="true" outlineLevel="0" collapsed="false">
      <c r="A220" s="1" t="s">
        <v>1012</v>
      </c>
      <c r="B220" s="1" t="s">
        <v>1013</v>
      </c>
      <c r="C220" s="1" t="s">
        <v>386</v>
      </c>
      <c r="D220" s="1" t="s">
        <v>538</v>
      </c>
      <c r="E220" s="6" t="n">
        <v>46082</v>
      </c>
      <c r="F220" s="6" t="n">
        <v>46078</v>
      </c>
      <c r="G220" s="1" t="s">
        <v>38</v>
      </c>
      <c r="H220" s="1" t="s">
        <v>1014</v>
      </c>
      <c r="I220" s="1" t="s">
        <v>1015</v>
      </c>
      <c r="J220" s="1" t="n">
        <v>23406.76</v>
      </c>
      <c r="K220" s="1" t="n">
        <v>15316.24</v>
      </c>
      <c r="L220" s="1" t="n">
        <v>13126.44</v>
      </c>
      <c r="M220" s="1" t="n">
        <v>2189.8</v>
      </c>
      <c r="N220" s="1" t="s">
        <v>41</v>
      </c>
      <c r="P220" s="1" t="n">
        <v>4</v>
      </c>
      <c r="Q220" s="1" t="s">
        <v>42</v>
      </c>
      <c r="R220" s="1" t="s">
        <v>54</v>
      </c>
      <c r="S220" s="6" t="n">
        <v>46086</v>
      </c>
    </row>
    <row r="221" customFormat="false" ht="14.25" hidden="false" customHeight="true" outlineLevel="0" collapsed="false">
      <c r="A221" s="1" t="s">
        <v>1016</v>
      </c>
      <c r="B221" s="1" t="s">
        <v>1017</v>
      </c>
      <c r="C221" s="1" t="s">
        <v>221</v>
      </c>
      <c r="D221" s="1" t="s">
        <v>189</v>
      </c>
      <c r="E221" s="6" t="n">
        <v>46129</v>
      </c>
      <c r="F221" s="6" t="n">
        <v>46129</v>
      </c>
      <c r="G221" s="1" t="s">
        <v>49</v>
      </c>
      <c r="H221" s="1" t="s">
        <v>1018</v>
      </c>
      <c r="I221" s="1" t="s">
        <v>1019</v>
      </c>
      <c r="J221" s="1" t="n">
        <v>23797.31</v>
      </c>
      <c r="K221" s="1" t="n">
        <v>20955.48</v>
      </c>
      <c r="L221" s="1" t="n">
        <v>15892.74</v>
      </c>
      <c r="M221" s="1" t="n">
        <v>5062.74</v>
      </c>
      <c r="N221" s="1" t="s">
        <v>41</v>
      </c>
      <c r="P221" s="1" t="n">
        <v>7</v>
      </c>
      <c r="Q221" s="1" t="s">
        <v>155</v>
      </c>
      <c r="R221" s="1" t="s">
        <v>64</v>
      </c>
      <c r="S221" s="6" t="n">
        <v>46136</v>
      </c>
    </row>
    <row r="222" customFormat="false" ht="14.25" hidden="false" customHeight="true" outlineLevel="0" collapsed="false">
      <c r="A222" s="1" t="s">
        <v>1020</v>
      </c>
      <c r="B222" s="1" t="s">
        <v>1021</v>
      </c>
      <c r="C222" s="1" t="s">
        <v>198</v>
      </c>
      <c r="D222" s="1" t="s">
        <v>239</v>
      </c>
      <c r="E222" s="6" t="n">
        <v>46215</v>
      </c>
      <c r="F222" s="6" t="n">
        <v>46215</v>
      </c>
      <c r="G222" s="1" t="s">
        <v>108</v>
      </c>
      <c r="H222" s="1" t="s">
        <v>1022</v>
      </c>
      <c r="I222" s="1" t="s">
        <v>1023</v>
      </c>
      <c r="J222" s="1" t="n">
        <v>20627.59</v>
      </c>
      <c r="K222" s="1" t="n">
        <v>14757.02</v>
      </c>
      <c r="L222" s="1" t="n">
        <v>0</v>
      </c>
      <c r="M222" s="1" t="n">
        <v>14757.02</v>
      </c>
      <c r="N222" s="1" t="s">
        <v>111</v>
      </c>
      <c r="P222" s="1" t="n">
        <v>9</v>
      </c>
      <c r="Q222" s="1" t="s">
        <v>42</v>
      </c>
      <c r="R222" s="1" t="s">
        <v>102</v>
      </c>
    </row>
    <row r="223" customFormat="false" ht="14.25" hidden="false" customHeight="true" outlineLevel="0" collapsed="false">
      <c r="A223" s="1" t="s">
        <v>1024</v>
      </c>
      <c r="B223" s="1" t="s">
        <v>1025</v>
      </c>
      <c r="C223" s="1" t="s">
        <v>47</v>
      </c>
      <c r="D223" s="1" t="s">
        <v>250</v>
      </c>
      <c r="E223" s="6" t="n">
        <v>46069</v>
      </c>
      <c r="F223" s="6" t="n">
        <v>46064</v>
      </c>
      <c r="G223" s="1" t="s">
        <v>38</v>
      </c>
      <c r="H223" s="1" t="s">
        <v>1026</v>
      </c>
      <c r="I223" s="1" t="s">
        <v>1027</v>
      </c>
      <c r="J223" s="1" t="n">
        <v>28733.85</v>
      </c>
      <c r="K223" s="1" t="n">
        <v>23708.24</v>
      </c>
      <c r="L223" s="1" t="n">
        <v>23568.48</v>
      </c>
      <c r="M223" s="1" t="n">
        <v>139.76</v>
      </c>
      <c r="N223" s="1" t="s">
        <v>41</v>
      </c>
      <c r="P223" s="1" t="n">
        <v>8</v>
      </c>
      <c r="Q223" s="1" t="s">
        <v>42</v>
      </c>
      <c r="R223" s="1" t="s">
        <v>43</v>
      </c>
      <c r="S223" s="6" t="n">
        <v>46077</v>
      </c>
    </row>
    <row r="224" customFormat="false" ht="14.25" hidden="false" customHeight="true" outlineLevel="0" collapsed="false">
      <c r="A224" s="1" t="s">
        <v>1028</v>
      </c>
      <c r="B224" s="1" t="s">
        <v>1021</v>
      </c>
      <c r="C224" s="1" t="s">
        <v>279</v>
      </c>
      <c r="D224" s="1" t="s">
        <v>1029</v>
      </c>
      <c r="E224" s="6" t="n">
        <v>46208</v>
      </c>
      <c r="F224" s="6" t="n">
        <v>46203</v>
      </c>
      <c r="G224" s="1" t="s">
        <v>70</v>
      </c>
      <c r="H224" s="1" t="s">
        <v>1030</v>
      </c>
      <c r="I224" s="1" t="s">
        <v>1031</v>
      </c>
      <c r="J224" s="1" t="n">
        <v>31551.6</v>
      </c>
      <c r="K224" s="1" t="n">
        <v>24151.61</v>
      </c>
      <c r="L224" s="1" t="n">
        <v>22284.39</v>
      </c>
      <c r="M224" s="1" t="n">
        <v>1867.22</v>
      </c>
      <c r="N224" s="1" t="s">
        <v>41</v>
      </c>
      <c r="P224" s="1" t="n">
        <v>1</v>
      </c>
      <c r="Q224" s="1" t="s">
        <v>42</v>
      </c>
      <c r="R224" s="1" t="s">
        <v>125</v>
      </c>
      <c r="S224" s="6" t="n">
        <v>46209</v>
      </c>
    </row>
    <row r="225" customFormat="false" ht="14.25" hidden="false" customHeight="true" outlineLevel="0" collapsed="false">
      <c r="A225" s="1" t="s">
        <v>1032</v>
      </c>
      <c r="B225" s="1" t="s">
        <v>319</v>
      </c>
      <c r="C225" s="1" t="s">
        <v>367</v>
      </c>
      <c r="D225" s="1" t="s">
        <v>107</v>
      </c>
      <c r="E225" s="6" t="n">
        <v>46081</v>
      </c>
      <c r="F225" s="6" t="n">
        <v>46076</v>
      </c>
      <c r="G225" s="1" t="s">
        <v>70</v>
      </c>
      <c r="H225" s="1" t="s">
        <v>1033</v>
      </c>
      <c r="I225" s="1" t="s">
        <v>1034</v>
      </c>
      <c r="J225" s="1" t="n">
        <v>44101.94</v>
      </c>
      <c r="K225" s="1" t="n">
        <v>38400.8</v>
      </c>
      <c r="L225" s="1" t="n">
        <v>29326.8</v>
      </c>
      <c r="M225" s="1" t="n">
        <v>9074</v>
      </c>
      <c r="N225" s="1" t="s">
        <v>41</v>
      </c>
      <c r="P225" s="1" t="n">
        <v>6</v>
      </c>
      <c r="Q225" s="1" t="s">
        <v>63</v>
      </c>
      <c r="R225" s="1" t="s">
        <v>102</v>
      </c>
      <c r="S225" s="6" t="n">
        <v>46087</v>
      </c>
    </row>
    <row r="226" customFormat="false" ht="14.25" hidden="false" customHeight="true" outlineLevel="0" collapsed="false">
      <c r="A226" s="1" t="s">
        <v>1035</v>
      </c>
      <c r="B226" s="1" t="s">
        <v>1036</v>
      </c>
      <c r="C226" s="1" t="s">
        <v>325</v>
      </c>
      <c r="D226" s="1" t="s">
        <v>501</v>
      </c>
      <c r="E226" s="6" t="n">
        <v>46072</v>
      </c>
      <c r="F226" s="6" t="n">
        <v>46067</v>
      </c>
      <c r="G226" s="1" t="s">
        <v>49</v>
      </c>
      <c r="H226" s="1" t="s">
        <v>1037</v>
      </c>
      <c r="I226" s="1" t="s">
        <v>1038</v>
      </c>
      <c r="J226" s="1" t="n">
        <v>3816.79</v>
      </c>
      <c r="K226" s="1" t="n">
        <v>3293.13</v>
      </c>
      <c r="L226" s="1" t="n">
        <v>2638.38</v>
      </c>
      <c r="M226" s="1" t="n">
        <v>654.75</v>
      </c>
      <c r="N226" s="1" t="s">
        <v>41</v>
      </c>
      <c r="P226" s="1" t="n">
        <v>6</v>
      </c>
      <c r="Q226" s="1" t="s">
        <v>42</v>
      </c>
      <c r="R226" s="1" t="s">
        <v>125</v>
      </c>
      <c r="S226" s="6" t="n">
        <v>46078</v>
      </c>
    </row>
    <row r="227" customFormat="false" ht="14.25" hidden="false" customHeight="true" outlineLevel="0" collapsed="false">
      <c r="A227" s="1" t="s">
        <v>1039</v>
      </c>
      <c r="B227" s="1" t="s">
        <v>214</v>
      </c>
      <c r="C227" s="1" t="s">
        <v>356</v>
      </c>
      <c r="D227" s="1" t="s">
        <v>757</v>
      </c>
      <c r="E227" s="6" t="n">
        <v>46082</v>
      </c>
      <c r="F227" s="6" t="n">
        <v>46080</v>
      </c>
      <c r="G227" s="1" t="s">
        <v>49</v>
      </c>
      <c r="H227" s="1" t="s">
        <v>1040</v>
      </c>
      <c r="I227" s="1" t="s">
        <v>1041</v>
      </c>
      <c r="J227" s="1" t="n">
        <v>13734.21</v>
      </c>
      <c r="K227" s="1" t="n">
        <v>11729.95</v>
      </c>
      <c r="L227" s="1" t="n">
        <v>9610.19</v>
      </c>
      <c r="M227" s="1" t="n">
        <v>2119.76</v>
      </c>
      <c r="N227" s="1" t="s">
        <v>41</v>
      </c>
      <c r="P227" s="1" t="n">
        <v>2</v>
      </c>
      <c r="Q227" s="1" t="s">
        <v>155</v>
      </c>
      <c r="R227" s="1" t="s">
        <v>43</v>
      </c>
      <c r="S227" s="6" t="n">
        <v>46084</v>
      </c>
    </row>
    <row r="228" customFormat="false" ht="14.25" hidden="false" customHeight="true" outlineLevel="0" collapsed="false">
      <c r="A228" s="1" t="s">
        <v>1042</v>
      </c>
      <c r="B228" s="1" t="s">
        <v>1043</v>
      </c>
      <c r="C228" s="1" t="s">
        <v>164</v>
      </c>
      <c r="D228" s="1" t="s">
        <v>183</v>
      </c>
      <c r="E228" s="6" t="n">
        <v>46208</v>
      </c>
      <c r="F228" s="6" t="n">
        <v>46204</v>
      </c>
      <c r="G228" s="1" t="s">
        <v>108</v>
      </c>
      <c r="H228" s="1" t="s">
        <v>1044</v>
      </c>
      <c r="I228" s="1" t="s">
        <v>1045</v>
      </c>
      <c r="J228" s="1" t="n">
        <v>26876.35</v>
      </c>
      <c r="K228" s="1" t="n">
        <v>19826.13</v>
      </c>
      <c r="L228" s="1" t="n">
        <v>0</v>
      </c>
      <c r="M228" s="1" t="n">
        <v>19826.13</v>
      </c>
      <c r="N228" s="1" t="s">
        <v>111</v>
      </c>
      <c r="P228" s="1" t="n">
        <v>13</v>
      </c>
      <c r="Q228" s="1" t="s">
        <v>155</v>
      </c>
      <c r="R228" s="1" t="s">
        <v>54</v>
      </c>
    </row>
    <row r="229" customFormat="false" ht="14.25" hidden="false" customHeight="true" outlineLevel="0" collapsed="false">
      <c r="A229" s="1" t="s">
        <v>1046</v>
      </c>
      <c r="B229" s="1" t="s">
        <v>193</v>
      </c>
      <c r="C229" s="1" t="s">
        <v>296</v>
      </c>
      <c r="D229" s="1" t="s">
        <v>145</v>
      </c>
      <c r="E229" s="6" t="n">
        <v>46124</v>
      </c>
      <c r="F229" s="6" t="n">
        <v>46123</v>
      </c>
      <c r="G229" s="1" t="s">
        <v>108</v>
      </c>
      <c r="H229" s="1" t="s">
        <v>1047</v>
      </c>
      <c r="I229" s="1" t="s">
        <v>1048</v>
      </c>
      <c r="J229" s="1" t="n">
        <v>47853.03</v>
      </c>
      <c r="K229" s="1" t="n">
        <v>32674.5</v>
      </c>
      <c r="L229" s="1" t="n">
        <v>26759.95</v>
      </c>
      <c r="M229" s="1" t="n">
        <v>5914.55</v>
      </c>
      <c r="N229" s="1" t="s">
        <v>41</v>
      </c>
      <c r="P229" s="1" t="n">
        <v>3</v>
      </c>
      <c r="Q229" s="1" t="s">
        <v>42</v>
      </c>
      <c r="R229" s="1" t="s">
        <v>64</v>
      </c>
      <c r="S229" s="6" t="n">
        <v>46127</v>
      </c>
    </row>
    <row r="230" customFormat="false" ht="14.25" hidden="false" customHeight="true" outlineLevel="0" collapsed="false">
      <c r="A230" s="1" t="s">
        <v>1049</v>
      </c>
      <c r="B230" s="1" t="s">
        <v>828</v>
      </c>
      <c r="C230" s="1" t="s">
        <v>244</v>
      </c>
      <c r="D230" s="1" t="s">
        <v>234</v>
      </c>
      <c r="E230" s="6" t="n">
        <v>46059</v>
      </c>
      <c r="F230" s="6" t="n">
        <v>46056</v>
      </c>
      <c r="G230" s="1" t="s">
        <v>70</v>
      </c>
      <c r="H230" s="1" t="s">
        <v>1010</v>
      </c>
      <c r="I230" s="1" t="s">
        <v>1050</v>
      </c>
      <c r="J230" s="1" t="n">
        <v>22471.07</v>
      </c>
      <c r="K230" s="1" t="n">
        <v>18952.22</v>
      </c>
      <c r="L230" s="1" t="n">
        <v>15595.39</v>
      </c>
      <c r="M230" s="1" t="n">
        <v>3356.83</v>
      </c>
      <c r="N230" s="1" t="s">
        <v>41</v>
      </c>
      <c r="P230" s="1" t="n">
        <v>2</v>
      </c>
      <c r="Q230" s="1" t="s">
        <v>42</v>
      </c>
      <c r="R230" s="1" t="s">
        <v>74</v>
      </c>
      <c r="S230" s="6" t="n">
        <v>46061</v>
      </c>
    </row>
    <row r="231" customFormat="false" ht="14.25" hidden="false" customHeight="true" outlineLevel="0" collapsed="false">
      <c r="A231" s="1" t="s">
        <v>1051</v>
      </c>
      <c r="B231" s="1" t="s">
        <v>1052</v>
      </c>
      <c r="C231" s="1" t="s">
        <v>459</v>
      </c>
      <c r="D231" s="1" t="s">
        <v>984</v>
      </c>
      <c r="E231" s="6" t="n">
        <v>46226</v>
      </c>
      <c r="F231" s="6" t="n">
        <v>46224</v>
      </c>
      <c r="G231" s="1" t="s">
        <v>70</v>
      </c>
      <c r="H231" s="1" t="s">
        <v>1053</v>
      </c>
      <c r="I231" s="1" t="s">
        <v>1054</v>
      </c>
      <c r="J231" s="1" t="n">
        <v>33459.84</v>
      </c>
      <c r="K231" s="1" t="n">
        <v>27070.68</v>
      </c>
      <c r="L231" s="1" t="n">
        <v>24014.87</v>
      </c>
      <c r="M231" s="1" t="n">
        <v>3055.81</v>
      </c>
      <c r="N231" s="1" t="s">
        <v>41</v>
      </c>
      <c r="P231" s="1" t="n">
        <v>8</v>
      </c>
      <c r="Q231" s="1" t="s">
        <v>155</v>
      </c>
      <c r="R231" s="1" t="s">
        <v>43</v>
      </c>
      <c r="S231" s="6" t="n">
        <v>46234</v>
      </c>
    </row>
    <row r="232" customFormat="false" ht="14.25" hidden="false" customHeight="true" outlineLevel="0" collapsed="false">
      <c r="A232" s="1" t="s">
        <v>1055</v>
      </c>
      <c r="B232" s="1" t="s">
        <v>372</v>
      </c>
      <c r="C232" s="1" t="s">
        <v>47</v>
      </c>
      <c r="D232" s="1" t="s">
        <v>326</v>
      </c>
      <c r="E232" s="6" t="n">
        <v>46120</v>
      </c>
      <c r="F232" s="6" t="n">
        <v>46118</v>
      </c>
      <c r="G232" s="1" t="s">
        <v>70</v>
      </c>
      <c r="H232" s="1" t="s">
        <v>1056</v>
      </c>
      <c r="I232" s="1" t="s">
        <v>904</v>
      </c>
      <c r="J232" s="1" t="n">
        <v>2842.29</v>
      </c>
      <c r="K232" s="1" t="n">
        <v>2148.59</v>
      </c>
      <c r="L232" s="1" t="n">
        <v>0</v>
      </c>
      <c r="M232" s="1" t="n">
        <v>2148.59</v>
      </c>
      <c r="N232" s="1" t="s">
        <v>52</v>
      </c>
      <c r="O232" s="1" t="s">
        <v>265</v>
      </c>
      <c r="P232" s="1" t="n">
        <v>8</v>
      </c>
      <c r="Q232" s="1" t="s">
        <v>42</v>
      </c>
      <c r="R232" s="1" t="s">
        <v>74</v>
      </c>
    </row>
    <row r="233" customFormat="false" ht="14.25" hidden="false" customHeight="true" outlineLevel="0" collapsed="false">
      <c r="A233" s="1" t="s">
        <v>1057</v>
      </c>
      <c r="B233" s="1" t="s">
        <v>547</v>
      </c>
      <c r="C233" s="1" t="s">
        <v>58</v>
      </c>
      <c r="D233" s="1" t="s">
        <v>216</v>
      </c>
      <c r="E233" s="6" t="n">
        <v>46194</v>
      </c>
      <c r="F233" s="6" t="n">
        <v>46193</v>
      </c>
      <c r="G233" s="1" t="s">
        <v>38</v>
      </c>
      <c r="H233" s="1" t="s">
        <v>1058</v>
      </c>
      <c r="I233" s="1" t="s">
        <v>1059</v>
      </c>
      <c r="J233" s="1" t="n">
        <v>6287.41</v>
      </c>
      <c r="K233" s="1" t="n">
        <v>5961.29</v>
      </c>
      <c r="L233" s="1" t="n">
        <v>5327.2</v>
      </c>
      <c r="M233" s="1" t="n">
        <v>634.09</v>
      </c>
      <c r="N233" s="1" t="s">
        <v>41</v>
      </c>
      <c r="P233" s="1" t="n">
        <v>8</v>
      </c>
      <c r="Q233" s="1" t="s">
        <v>42</v>
      </c>
      <c r="R233" s="1" t="s">
        <v>102</v>
      </c>
      <c r="S233" s="6" t="n">
        <v>46202</v>
      </c>
    </row>
    <row r="234" customFormat="false" ht="14.25" hidden="false" customHeight="true" outlineLevel="0" collapsed="false">
      <c r="A234" s="1" t="s">
        <v>1060</v>
      </c>
      <c r="B234" s="1" t="s">
        <v>872</v>
      </c>
      <c r="C234" s="1" t="s">
        <v>900</v>
      </c>
      <c r="D234" s="1" t="s">
        <v>341</v>
      </c>
      <c r="E234" s="6" t="n">
        <v>46112</v>
      </c>
      <c r="F234" s="6" t="n">
        <v>46111</v>
      </c>
      <c r="G234" s="1" t="s">
        <v>38</v>
      </c>
      <c r="H234" s="1" t="s">
        <v>1061</v>
      </c>
      <c r="I234" s="1" t="s">
        <v>1062</v>
      </c>
      <c r="J234" s="1" t="n">
        <v>27223.4</v>
      </c>
      <c r="K234" s="1" t="n">
        <v>19023.15</v>
      </c>
      <c r="L234" s="1" t="n">
        <v>15701.52</v>
      </c>
      <c r="M234" s="1" t="n">
        <v>3321.63</v>
      </c>
      <c r="N234" s="1" t="s">
        <v>41</v>
      </c>
      <c r="P234" s="1" t="n">
        <v>1</v>
      </c>
      <c r="Q234" s="1" t="s">
        <v>155</v>
      </c>
      <c r="R234" s="1" t="s">
        <v>54</v>
      </c>
      <c r="S234" s="6" t="n">
        <v>46113</v>
      </c>
    </row>
    <row r="235" customFormat="false" ht="14.25" hidden="false" customHeight="true" outlineLevel="0" collapsed="false">
      <c r="A235" s="1" t="s">
        <v>1063</v>
      </c>
      <c r="B235" s="1" t="s">
        <v>589</v>
      </c>
      <c r="C235" s="1" t="s">
        <v>273</v>
      </c>
      <c r="D235" s="1" t="s">
        <v>511</v>
      </c>
      <c r="E235" s="6" t="n">
        <v>46216</v>
      </c>
      <c r="F235" s="6" t="n">
        <v>46212</v>
      </c>
      <c r="G235" s="1" t="s">
        <v>38</v>
      </c>
      <c r="H235" s="1" t="s">
        <v>811</v>
      </c>
      <c r="I235" s="1" t="s">
        <v>1064</v>
      </c>
      <c r="J235" s="1" t="n">
        <v>16898.39</v>
      </c>
      <c r="K235" s="1" t="n">
        <v>14560.25</v>
      </c>
      <c r="L235" s="1" t="n">
        <v>0</v>
      </c>
      <c r="M235" s="1" t="n">
        <v>14560.25</v>
      </c>
      <c r="N235" s="1" t="s">
        <v>260</v>
      </c>
      <c r="P235" s="1" t="n">
        <v>8</v>
      </c>
      <c r="Q235" s="1" t="s">
        <v>63</v>
      </c>
      <c r="R235" s="1" t="s">
        <v>74</v>
      </c>
    </row>
    <row r="236" customFormat="false" ht="14.25" hidden="false" customHeight="true" outlineLevel="0" collapsed="false">
      <c r="A236" s="1" t="s">
        <v>1065</v>
      </c>
      <c r="B236" s="1" t="s">
        <v>1066</v>
      </c>
      <c r="C236" s="1" t="s">
        <v>516</v>
      </c>
      <c r="D236" s="1" t="s">
        <v>79</v>
      </c>
      <c r="E236" s="6" t="n">
        <v>46056</v>
      </c>
      <c r="F236" s="6" t="n">
        <v>46051</v>
      </c>
      <c r="G236" s="1" t="s">
        <v>49</v>
      </c>
      <c r="H236" s="1" t="s">
        <v>1067</v>
      </c>
      <c r="I236" s="1" t="s">
        <v>1068</v>
      </c>
      <c r="J236" s="1" t="n">
        <v>2484.01</v>
      </c>
      <c r="K236" s="1" t="n">
        <v>2119.86</v>
      </c>
      <c r="L236" s="1" t="n">
        <v>1651.84</v>
      </c>
      <c r="M236" s="1" t="n">
        <v>468.02</v>
      </c>
      <c r="N236" s="1" t="s">
        <v>41</v>
      </c>
      <c r="P236" s="1" t="n">
        <v>1</v>
      </c>
      <c r="Q236" s="1" t="s">
        <v>63</v>
      </c>
      <c r="R236" s="1" t="s">
        <v>54</v>
      </c>
      <c r="S236" s="6" t="n">
        <v>46057</v>
      </c>
    </row>
    <row r="237" customFormat="false" ht="14.25" hidden="false" customHeight="true" outlineLevel="0" collapsed="false">
      <c r="A237" s="1" t="s">
        <v>1069</v>
      </c>
      <c r="B237" s="1" t="s">
        <v>828</v>
      </c>
      <c r="C237" s="1" t="s">
        <v>436</v>
      </c>
      <c r="D237" s="1" t="s">
        <v>326</v>
      </c>
      <c r="E237" s="6" t="n">
        <v>46183</v>
      </c>
      <c r="F237" s="6" t="n">
        <v>46178</v>
      </c>
      <c r="G237" s="1" t="s">
        <v>49</v>
      </c>
      <c r="H237" s="1" t="s">
        <v>1070</v>
      </c>
      <c r="I237" s="1" t="s">
        <v>1071</v>
      </c>
      <c r="J237" s="1" t="n">
        <v>26558.48</v>
      </c>
      <c r="K237" s="1" t="n">
        <v>23487.92</v>
      </c>
      <c r="L237" s="1" t="n">
        <v>22120.31</v>
      </c>
      <c r="M237" s="1" t="n">
        <v>1367.61</v>
      </c>
      <c r="N237" s="1" t="s">
        <v>41</v>
      </c>
      <c r="P237" s="1" t="n">
        <v>4</v>
      </c>
      <c r="Q237" s="1" t="s">
        <v>42</v>
      </c>
      <c r="R237" s="1" t="s">
        <v>43</v>
      </c>
      <c r="S237" s="6" t="n">
        <v>46187</v>
      </c>
    </row>
    <row r="238" customFormat="false" ht="14.25" hidden="false" customHeight="true" outlineLevel="0" collapsed="false">
      <c r="A238" s="1" t="s">
        <v>1072</v>
      </c>
      <c r="B238" s="1" t="s">
        <v>1073</v>
      </c>
      <c r="C238" s="1" t="s">
        <v>296</v>
      </c>
      <c r="D238" s="1" t="s">
        <v>481</v>
      </c>
      <c r="E238" s="6" t="n">
        <v>46075</v>
      </c>
      <c r="F238" s="6" t="n">
        <v>46072</v>
      </c>
      <c r="G238" s="1" t="s">
        <v>49</v>
      </c>
      <c r="H238" s="1" t="s">
        <v>1074</v>
      </c>
      <c r="I238" s="1" t="s">
        <v>1075</v>
      </c>
      <c r="J238" s="1" t="n">
        <v>30451.35</v>
      </c>
      <c r="K238" s="1" t="n">
        <v>28411.74</v>
      </c>
      <c r="L238" s="1" t="n">
        <v>27761.44</v>
      </c>
      <c r="M238" s="1" t="n">
        <v>650.3</v>
      </c>
      <c r="N238" s="1" t="s">
        <v>41</v>
      </c>
      <c r="P238" s="1" t="n">
        <v>6</v>
      </c>
      <c r="Q238" s="1" t="s">
        <v>63</v>
      </c>
      <c r="R238" s="1" t="s">
        <v>54</v>
      </c>
      <c r="S238" s="6" t="n">
        <v>46081</v>
      </c>
    </row>
    <row r="239" customFormat="false" ht="14.25" hidden="false" customHeight="true" outlineLevel="0" collapsed="false">
      <c r="A239" s="1" t="s">
        <v>1076</v>
      </c>
      <c r="B239" s="1" t="s">
        <v>324</v>
      </c>
      <c r="C239" s="1" t="s">
        <v>300</v>
      </c>
      <c r="D239" s="1" t="s">
        <v>1077</v>
      </c>
      <c r="E239" s="6" t="n">
        <v>46097</v>
      </c>
      <c r="F239" s="6" t="n">
        <v>46095</v>
      </c>
      <c r="G239" s="1" t="s">
        <v>38</v>
      </c>
      <c r="H239" s="1" t="s">
        <v>1078</v>
      </c>
      <c r="I239" s="1" t="s">
        <v>1079</v>
      </c>
      <c r="J239" s="1" t="n">
        <v>48887.42</v>
      </c>
      <c r="K239" s="1" t="n">
        <v>44599.53</v>
      </c>
      <c r="L239" s="1" t="n">
        <v>34426.36</v>
      </c>
      <c r="M239" s="1" t="n">
        <v>10173.17</v>
      </c>
      <c r="N239" s="1" t="s">
        <v>41</v>
      </c>
      <c r="P239" s="1" t="n">
        <v>8</v>
      </c>
      <c r="Q239" s="1" t="s">
        <v>42</v>
      </c>
      <c r="R239" s="1" t="s">
        <v>43</v>
      </c>
      <c r="S239" s="6" t="n">
        <v>46105</v>
      </c>
    </row>
    <row r="240" customFormat="false" ht="14.25" hidden="false" customHeight="true" outlineLevel="0" collapsed="false">
      <c r="A240" s="1" t="s">
        <v>1080</v>
      </c>
      <c r="B240" s="1" t="s">
        <v>121</v>
      </c>
      <c r="C240" s="1" t="s">
        <v>686</v>
      </c>
      <c r="D240" s="1" t="s">
        <v>418</v>
      </c>
      <c r="E240" s="6" t="n">
        <v>46062</v>
      </c>
      <c r="F240" s="6" t="n">
        <v>46058</v>
      </c>
      <c r="G240" s="1" t="s">
        <v>49</v>
      </c>
      <c r="H240" s="1" t="s">
        <v>1081</v>
      </c>
      <c r="I240" s="1" t="s">
        <v>1082</v>
      </c>
      <c r="J240" s="1" t="n">
        <v>7610.14</v>
      </c>
      <c r="K240" s="1" t="n">
        <v>5638.88</v>
      </c>
      <c r="L240" s="1" t="n">
        <v>0</v>
      </c>
      <c r="M240" s="1" t="n">
        <v>5638.88</v>
      </c>
      <c r="N240" s="1" t="s">
        <v>111</v>
      </c>
      <c r="P240" s="1" t="n">
        <v>12</v>
      </c>
      <c r="Q240" s="1" t="s">
        <v>63</v>
      </c>
      <c r="R240" s="1" t="s">
        <v>74</v>
      </c>
    </row>
    <row r="241" customFormat="false" ht="14.25" hidden="false" customHeight="true" outlineLevel="0" collapsed="false">
      <c r="A241" s="1" t="s">
        <v>1083</v>
      </c>
      <c r="B241" s="1" t="s">
        <v>814</v>
      </c>
      <c r="C241" s="1" t="s">
        <v>335</v>
      </c>
      <c r="D241" s="1" t="s">
        <v>1084</v>
      </c>
      <c r="E241" s="6" t="n">
        <v>46095</v>
      </c>
      <c r="F241" s="6" t="n">
        <v>46092</v>
      </c>
      <c r="G241" s="1" t="s">
        <v>49</v>
      </c>
      <c r="H241" s="1" t="s">
        <v>1085</v>
      </c>
      <c r="I241" s="1" t="s">
        <v>1086</v>
      </c>
      <c r="J241" s="1" t="n">
        <v>23374.94</v>
      </c>
      <c r="K241" s="1" t="n">
        <v>19176.21</v>
      </c>
      <c r="L241" s="1" t="n">
        <v>18768.1</v>
      </c>
      <c r="M241" s="1" t="n">
        <v>408.11</v>
      </c>
      <c r="N241" s="1" t="s">
        <v>41</v>
      </c>
      <c r="P241" s="1" t="n">
        <v>4</v>
      </c>
      <c r="Q241" s="1" t="s">
        <v>42</v>
      </c>
      <c r="R241" s="1" t="s">
        <v>102</v>
      </c>
      <c r="S241" s="6" t="n">
        <v>46099</v>
      </c>
    </row>
    <row r="242" customFormat="false" ht="14.25" hidden="false" customHeight="true" outlineLevel="0" collapsed="false">
      <c r="A242" s="1" t="s">
        <v>1087</v>
      </c>
      <c r="B242" s="1" t="s">
        <v>682</v>
      </c>
      <c r="C242" s="1" t="s">
        <v>543</v>
      </c>
      <c r="D242" s="1" t="s">
        <v>590</v>
      </c>
      <c r="E242" s="6" t="n">
        <v>46153</v>
      </c>
      <c r="F242" s="6" t="n">
        <v>46149</v>
      </c>
      <c r="G242" s="1" t="s">
        <v>49</v>
      </c>
      <c r="H242" s="1" t="s">
        <v>1088</v>
      </c>
      <c r="I242" s="1" t="s">
        <v>694</v>
      </c>
      <c r="J242" s="1" t="n">
        <v>11613.75</v>
      </c>
      <c r="K242" s="1" t="n">
        <v>10305.65</v>
      </c>
      <c r="L242" s="1" t="n">
        <v>0</v>
      </c>
      <c r="M242" s="1" t="n">
        <v>10305.65</v>
      </c>
      <c r="N242" s="1" t="s">
        <v>111</v>
      </c>
      <c r="P242" s="1" t="n">
        <v>6</v>
      </c>
      <c r="Q242" s="1" t="s">
        <v>63</v>
      </c>
      <c r="R242" s="1" t="s">
        <v>140</v>
      </c>
    </row>
    <row r="243" customFormat="false" ht="14.25" hidden="false" customHeight="true" outlineLevel="0" collapsed="false">
      <c r="A243" s="1" t="s">
        <v>1089</v>
      </c>
      <c r="B243" s="1" t="s">
        <v>1090</v>
      </c>
      <c r="C243" s="1" t="s">
        <v>446</v>
      </c>
      <c r="D243" s="1" t="s">
        <v>268</v>
      </c>
      <c r="E243" s="6" t="n">
        <v>46153</v>
      </c>
      <c r="F243" s="6" t="n">
        <v>46148</v>
      </c>
      <c r="G243" s="1" t="s">
        <v>70</v>
      </c>
      <c r="H243" s="1" t="s">
        <v>1091</v>
      </c>
      <c r="I243" s="1" t="s">
        <v>1092</v>
      </c>
      <c r="J243" s="1" t="n">
        <v>1907.91</v>
      </c>
      <c r="K243" s="1" t="n">
        <v>1677.85</v>
      </c>
      <c r="L243" s="1" t="n">
        <v>0</v>
      </c>
      <c r="M243" s="1" t="n">
        <v>1677.85</v>
      </c>
      <c r="N243" s="1" t="s">
        <v>111</v>
      </c>
      <c r="P243" s="1" t="n">
        <v>11</v>
      </c>
      <c r="Q243" s="1" t="s">
        <v>42</v>
      </c>
      <c r="R243" s="1" t="s">
        <v>43</v>
      </c>
    </row>
    <row r="244" customFormat="false" ht="14.25" hidden="false" customHeight="true" outlineLevel="0" collapsed="false">
      <c r="A244" s="1" t="s">
        <v>1093</v>
      </c>
      <c r="B244" s="1" t="s">
        <v>497</v>
      </c>
      <c r="C244" s="1" t="s">
        <v>623</v>
      </c>
      <c r="D244" s="1" t="s">
        <v>511</v>
      </c>
      <c r="E244" s="6" t="n">
        <v>46094</v>
      </c>
      <c r="F244" s="6" t="n">
        <v>46089</v>
      </c>
      <c r="G244" s="1" t="s">
        <v>108</v>
      </c>
      <c r="H244" s="1" t="s">
        <v>1094</v>
      </c>
      <c r="I244" s="1" t="s">
        <v>1095</v>
      </c>
      <c r="J244" s="1" t="n">
        <v>48725.81</v>
      </c>
      <c r="K244" s="1" t="n">
        <v>43633.19</v>
      </c>
      <c r="L244" s="1" t="n">
        <v>0</v>
      </c>
      <c r="M244" s="1" t="n">
        <v>43633.19</v>
      </c>
      <c r="N244" s="1" t="s">
        <v>111</v>
      </c>
      <c r="P244" s="1" t="n">
        <v>9</v>
      </c>
      <c r="Q244" s="1" t="s">
        <v>155</v>
      </c>
      <c r="R244" s="1" t="s">
        <v>64</v>
      </c>
    </row>
    <row r="245" customFormat="false" ht="14.25" hidden="false" customHeight="true" outlineLevel="0" collapsed="false">
      <c r="A245" s="1" t="s">
        <v>1096</v>
      </c>
      <c r="B245" s="1" t="s">
        <v>704</v>
      </c>
      <c r="C245" s="1" t="s">
        <v>136</v>
      </c>
      <c r="D245" s="1" t="s">
        <v>590</v>
      </c>
      <c r="E245" s="6" t="n">
        <v>46038</v>
      </c>
      <c r="F245" s="6" t="n">
        <v>46037</v>
      </c>
      <c r="G245" s="1" t="s">
        <v>70</v>
      </c>
      <c r="H245" s="1" t="s">
        <v>1097</v>
      </c>
      <c r="I245" s="1" t="s">
        <v>1098</v>
      </c>
      <c r="J245" s="1" t="n">
        <v>43976.7</v>
      </c>
      <c r="K245" s="1" t="n">
        <v>30372.47</v>
      </c>
      <c r="L245" s="1" t="n">
        <v>24019.38</v>
      </c>
      <c r="M245" s="1" t="n">
        <v>6353.09</v>
      </c>
      <c r="N245" s="1" t="s">
        <v>41</v>
      </c>
      <c r="P245" s="1" t="n">
        <v>5</v>
      </c>
      <c r="Q245" s="1" t="s">
        <v>63</v>
      </c>
      <c r="R245" s="1" t="s">
        <v>64</v>
      </c>
      <c r="S245" s="6" t="n">
        <v>46043</v>
      </c>
    </row>
    <row r="246" customFormat="false" ht="14.25" hidden="false" customHeight="true" outlineLevel="0" collapsed="false">
      <c r="A246" s="1" t="s">
        <v>1099</v>
      </c>
      <c r="B246" s="1" t="s">
        <v>774</v>
      </c>
      <c r="C246" s="1" t="s">
        <v>386</v>
      </c>
      <c r="D246" s="1" t="s">
        <v>520</v>
      </c>
      <c r="E246" s="6" t="n">
        <v>46186</v>
      </c>
      <c r="F246" s="6" t="n">
        <v>46186</v>
      </c>
      <c r="G246" s="1" t="s">
        <v>70</v>
      </c>
      <c r="H246" s="1" t="s">
        <v>1100</v>
      </c>
      <c r="I246" s="1" t="s">
        <v>1101</v>
      </c>
      <c r="J246" s="1" t="n">
        <v>38438.9</v>
      </c>
      <c r="K246" s="1" t="n">
        <v>27098.43</v>
      </c>
      <c r="L246" s="1" t="n">
        <v>20964.08</v>
      </c>
      <c r="M246" s="1" t="n">
        <v>6134.35</v>
      </c>
      <c r="N246" s="1" t="s">
        <v>41</v>
      </c>
      <c r="P246" s="1" t="n">
        <v>3</v>
      </c>
      <c r="Q246" s="1" t="s">
        <v>155</v>
      </c>
      <c r="R246" s="1" t="s">
        <v>64</v>
      </c>
      <c r="S246" s="6" t="n">
        <v>46189</v>
      </c>
    </row>
    <row r="247" customFormat="false" ht="14.25" hidden="false" customHeight="true" outlineLevel="0" collapsed="false">
      <c r="A247" s="1" t="s">
        <v>1102</v>
      </c>
      <c r="B247" s="1" t="s">
        <v>885</v>
      </c>
      <c r="C247" s="1" t="s">
        <v>215</v>
      </c>
      <c r="D247" s="1" t="s">
        <v>431</v>
      </c>
      <c r="E247" s="6" t="n">
        <v>46173</v>
      </c>
      <c r="F247" s="6" t="n">
        <v>46171</v>
      </c>
      <c r="G247" s="1" t="s">
        <v>108</v>
      </c>
      <c r="H247" s="1" t="s">
        <v>1103</v>
      </c>
      <c r="I247" s="1" t="s">
        <v>1104</v>
      </c>
      <c r="J247" s="1" t="n">
        <v>1138.43</v>
      </c>
      <c r="K247" s="1" t="n">
        <v>916.95</v>
      </c>
      <c r="L247" s="1" t="n">
        <v>0</v>
      </c>
      <c r="M247" s="1" t="n">
        <v>916.95</v>
      </c>
      <c r="N247" s="1" t="s">
        <v>52</v>
      </c>
      <c r="O247" s="1" t="s">
        <v>62</v>
      </c>
      <c r="P247" s="1" t="n">
        <v>6</v>
      </c>
      <c r="Q247" s="1" t="s">
        <v>42</v>
      </c>
      <c r="R247" s="1" t="s">
        <v>140</v>
      </c>
    </row>
    <row r="248" customFormat="false" ht="14.25" hidden="false" customHeight="true" outlineLevel="0" collapsed="false">
      <c r="A248" s="1" t="s">
        <v>1105</v>
      </c>
      <c r="B248" s="1" t="s">
        <v>304</v>
      </c>
      <c r="C248" s="1" t="s">
        <v>221</v>
      </c>
      <c r="D248" s="1" t="s">
        <v>1029</v>
      </c>
      <c r="E248" s="6" t="n">
        <v>46075</v>
      </c>
      <c r="F248" s="6" t="n">
        <v>46071</v>
      </c>
      <c r="G248" s="1" t="s">
        <v>108</v>
      </c>
      <c r="H248" s="1" t="s">
        <v>718</v>
      </c>
      <c r="I248" s="1" t="s">
        <v>1106</v>
      </c>
      <c r="J248" s="1" t="n">
        <v>41655.1</v>
      </c>
      <c r="K248" s="1" t="n">
        <v>33644.65</v>
      </c>
      <c r="L248" s="1" t="n">
        <v>0</v>
      </c>
      <c r="M248" s="1" t="n">
        <v>33644.65</v>
      </c>
      <c r="N248" s="1" t="s">
        <v>111</v>
      </c>
      <c r="P248" s="1" t="n">
        <v>12</v>
      </c>
      <c r="Q248" s="1" t="s">
        <v>155</v>
      </c>
      <c r="R248" s="1" t="s">
        <v>54</v>
      </c>
    </row>
    <row r="249" customFormat="false" ht="14.25" hidden="false" customHeight="true" outlineLevel="0" collapsed="false">
      <c r="A249" s="1" t="s">
        <v>1107</v>
      </c>
      <c r="B249" s="1" t="s">
        <v>1108</v>
      </c>
      <c r="C249" s="1" t="s">
        <v>446</v>
      </c>
      <c r="D249" s="1" t="s">
        <v>234</v>
      </c>
      <c r="E249" s="6" t="n">
        <v>46233</v>
      </c>
      <c r="F249" s="6" t="n">
        <v>46232</v>
      </c>
      <c r="G249" s="1" t="s">
        <v>70</v>
      </c>
      <c r="H249" s="1" t="s">
        <v>1109</v>
      </c>
      <c r="I249" s="1" t="s">
        <v>1110</v>
      </c>
      <c r="J249" s="1" t="n">
        <v>24236.15</v>
      </c>
      <c r="K249" s="1" t="n">
        <v>18018.9</v>
      </c>
      <c r="L249" s="1" t="n">
        <v>0</v>
      </c>
      <c r="M249" s="1" t="n">
        <v>18018.9</v>
      </c>
      <c r="N249" s="1" t="s">
        <v>52</v>
      </c>
      <c r="O249" s="1" t="s">
        <v>265</v>
      </c>
      <c r="P249" s="1" t="n">
        <v>6</v>
      </c>
      <c r="Q249" s="1" t="s">
        <v>155</v>
      </c>
      <c r="R249" s="1" t="s">
        <v>74</v>
      </c>
    </row>
    <row r="250" customFormat="false" ht="14.25" hidden="false" customHeight="true" outlineLevel="0" collapsed="false">
      <c r="A250" s="1" t="s">
        <v>1111</v>
      </c>
      <c r="B250" s="1" t="s">
        <v>533</v>
      </c>
      <c r="C250" s="1" t="s">
        <v>158</v>
      </c>
      <c r="D250" s="1" t="s">
        <v>890</v>
      </c>
      <c r="E250" s="6" t="n">
        <v>46231</v>
      </c>
      <c r="F250" s="6" t="n">
        <v>46231</v>
      </c>
      <c r="G250" s="1" t="s">
        <v>49</v>
      </c>
      <c r="H250" s="1" t="s">
        <v>1112</v>
      </c>
      <c r="I250" s="1" t="s">
        <v>1113</v>
      </c>
      <c r="J250" s="1" t="n">
        <v>42912.35</v>
      </c>
      <c r="K250" s="1" t="n">
        <v>29725.72</v>
      </c>
      <c r="L250" s="1" t="n">
        <v>23978.06</v>
      </c>
      <c r="M250" s="1" t="n">
        <v>5747.66</v>
      </c>
      <c r="N250" s="1" t="s">
        <v>41</v>
      </c>
      <c r="P250" s="1" t="n">
        <v>3</v>
      </c>
      <c r="Q250" s="1" t="s">
        <v>155</v>
      </c>
      <c r="R250" s="1" t="s">
        <v>54</v>
      </c>
      <c r="S250" s="6" t="n">
        <v>46234</v>
      </c>
    </row>
    <row r="251" customFormat="false" ht="14.25" hidden="false" customHeight="true" outlineLevel="0" collapsed="false">
      <c r="A251" s="1" t="s">
        <v>1114</v>
      </c>
      <c r="B251" s="1" t="s">
        <v>128</v>
      </c>
      <c r="C251" s="1" t="s">
        <v>85</v>
      </c>
      <c r="D251" s="1" t="s">
        <v>368</v>
      </c>
      <c r="E251" s="6" t="n">
        <v>46224</v>
      </c>
      <c r="F251" s="6" t="n">
        <v>46221</v>
      </c>
      <c r="G251" s="1" t="s">
        <v>108</v>
      </c>
      <c r="H251" s="1" t="s">
        <v>1115</v>
      </c>
      <c r="I251" s="1" t="s">
        <v>1116</v>
      </c>
      <c r="J251" s="1" t="n">
        <v>2604.59</v>
      </c>
      <c r="K251" s="1" t="n">
        <v>1777.23</v>
      </c>
      <c r="L251" s="1" t="n">
        <v>0</v>
      </c>
      <c r="M251" s="1" t="n">
        <v>1777.23</v>
      </c>
      <c r="N251" s="1" t="s">
        <v>52</v>
      </c>
      <c r="O251" s="1" t="s">
        <v>62</v>
      </c>
      <c r="P251" s="1" t="n">
        <v>1</v>
      </c>
      <c r="Q251" s="1" t="s">
        <v>155</v>
      </c>
      <c r="R251" s="1" t="s">
        <v>125</v>
      </c>
    </row>
    <row r="252" customFormat="false" ht="14.25" hidden="false" customHeight="true" outlineLevel="0" collapsed="false">
      <c r="A252" s="1" t="s">
        <v>1117</v>
      </c>
      <c r="B252" s="1" t="s">
        <v>906</v>
      </c>
      <c r="C252" s="1" t="s">
        <v>361</v>
      </c>
      <c r="D252" s="1" t="s">
        <v>712</v>
      </c>
      <c r="E252" s="6" t="n">
        <v>46058</v>
      </c>
      <c r="F252" s="6" t="n">
        <v>46054</v>
      </c>
      <c r="G252" s="1" t="s">
        <v>70</v>
      </c>
      <c r="H252" s="1" t="s">
        <v>1118</v>
      </c>
      <c r="I252" s="1" t="s">
        <v>1119</v>
      </c>
      <c r="J252" s="1" t="n">
        <v>45108.16</v>
      </c>
      <c r="K252" s="1" t="n">
        <v>31820.85</v>
      </c>
      <c r="L252" s="1" t="n">
        <v>26662.16</v>
      </c>
      <c r="M252" s="1" t="n">
        <v>5158.69</v>
      </c>
      <c r="N252" s="1" t="s">
        <v>41</v>
      </c>
      <c r="P252" s="1" t="n">
        <v>2</v>
      </c>
      <c r="Q252" s="1" t="s">
        <v>42</v>
      </c>
      <c r="R252" s="1" t="s">
        <v>125</v>
      </c>
      <c r="S252" s="6" t="n">
        <v>46060</v>
      </c>
    </row>
    <row r="253" customFormat="false" ht="14.25" hidden="false" customHeight="true" outlineLevel="0" collapsed="false">
      <c r="A253" s="1" t="s">
        <v>1120</v>
      </c>
      <c r="B253" s="1" t="s">
        <v>1121</v>
      </c>
      <c r="C253" s="1" t="s">
        <v>510</v>
      </c>
      <c r="D253" s="1" t="s">
        <v>481</v>
      </c>
      <c r="E253" s="6" t="n">
        <v>46213</v>
      </c>
      <c r="F253" s="6" t="n">
        <v>46209</v>
      </c>
      <c r="G253" s="1" t="s">
        <v>38</v>
      </c>
      <c r="H253" s="1" t="s">
        <v>1122</v>
      </c>
      <c r="I253" s="1" t="s">
        <v>1123</v>
      </c>
      <c r="J253" s="1" t="n">
        <v>28726.65</v>
      </c>
      <c r="K253" s="1" t="n">
        <v>19526.41</v>
      </c>
      <c r="L253" s="1" t="n">
        <v>17467.03</v>
      </c>
      <c r="M253" s="1" t="n">
        <v>2059.38</v>
      </c>
      <c r="N253" s="1" t="s">
        <v>41</v>
      </c>
      <c r="P253" s="1" t="n">
        <v>1</v>
      </c>
      <c r="Q253" s="1" t="s">
        <v>42</v>
      </c>
      <c r="R253" s="1" t="s">
        <v>54</v>
      </c>
      <c r="S253" s="6" t="n">
        <v>46214</v>
      </c>
    </row>
    <row r="254" customFormat="false" ht="14.25" hidden="false" customHeight="true" outlineLevel="0" collapsed="false">
      <c r="A254" s="1" t="s">
        <v>1124</v>
      </c>
      <c r="B254" s="1" t="s">
        <v>627</v>
      </c>
      <c r="C254" s="1" t="s">
        <v>300</v>
      </c>
      <c r="D254" s="1" t="s">
        <v>865</v>
      </c>
      <c r="E254" s="6" t="n">
        <v>46208</v>
      </c>
      <c r="F254" s="6" t="n">
        <v>46208</v>
      </c>
      <c r="G254" s="1" t="s">
        <v>108</v>
      </c>
      <c r="H254" s="1" t="s">
        <v>1125</v>
      </c>
      <c r="I254" s="1" t="s">
        <v>1126</v>
      </c>
      <c r="J254" s="1" t="n">
        <v>46063.62</v>
      </c>
      <c r="K254" s="1" t="n">
        <v>41705.5</v>
      </c>
      <c r="L254" s="1" t="n">
        <v>0</v>
      </c>
      <c r="M254" s="1" t="n">
        <v>41705.5</v>
      </c>
      <c r="N254" s="1" t="s">
        <v>52</v>
      </c>
      <c r="O254" s="1" t="s">
        <v>230</v>
      </c>
      <c r="P254" s="1" t="n">
        <v>8</v>
      </c>
      <c r="Q254" s="1" t="s">
        <v>63</v>
      </c>
      <c r="R254" s="1" t="s">
        <v>43</v>
      </c>
    </row>
    <row r="255" customFormat="false" ht="14.25" hidden="false" customHeight="true" outlineLevel="0" collapsed="false">
      <c r="A255" s="1" t="s">
        <v>1127</v>
      </c>
      <c r="B255" s="1" t="s">
        <v>480</v>
      </c>
      <c r="C255" s="1" t="s">
        <v>158</v>
      </c>
      <c r="D255" s="1" t="s">
        <v>1128</v>
      </c>
      <c r="E255" s="6" t="n">
        <v>46081</v>
      </c>
      <c r="F255" s="6" t="n">
        <v>46077</v>
      </c>
      <c r="G255" s="1" t="s">
        <v>70</v>
      </c>
      <c r="H255" s="1" t="s">
        <v>1129</v>
      </c>
      <c r="I255" s="1" t="s">
        <v>1130</v>
      </c>
      <c r="J255" s="1" t="n">
        <v>6085.85</v>
      </c>
      <c r="K255" s="1" t="n">
        <v>5753.46</v>
      </c>
      <c r="L255" s="1" t="n">
        <v>4492.9</v>
      </c>
      <c r="M255" s="1" t="n">
        <v>1260.56</v>
      </c>
      <c r="N255" s="1" t="s">
        <v>41</v>
      </c>
      <c r="P255" s="1" t="n">
        <v>2</v>
      </c>
      <c r="Q255" s="1" t="s">
        <v>42</v>
      </c>
      <c r="R255" s="1" t="s">
        <v>74</v>
      </c>
      <c r="S255" s="6" t="n">
        <v>46083</v>
      </c>
    </row>
    <row r="256" customFormat="false" ht="14.25" hidden="false" customHeight="true" outlineLevel="0" collapsed="false">
      <c r="A256" s="1" t="s">
        <v>1131</v>
      </c>
      <c r="B256" s="1" t="s">
        <v>1132</v>
      </c>
      <c r="C256" s="1" t="s">
        <v>244</v>
      </c>
      <c r="D256" s="1" t="s">
        <v>245</v>
      </c>
      <c r="E256" s="6" t="n">
        <v>46033</v>
      </c>
      <c r="F256" s="6" t="n">
        <v>46033</v>
      </c>
      <c r="G256" s="1" t="s">
        <v>49</v>
      </c>
      <c r="H256" s="1" t="s">
        <v>1133</v>
      </c>
      <c r="I256" s="1" t="s">
        <v>1134</v>
      </c>
      <c r="J256" s="1" t="n">
        <v>6228.27</v>
      </c>
      <c r="K256" s="1" t="n">
        <v>4578.3</v>
      </c>
      <c r="L256" s="1" t="n">
        <v>4120.92</v>
      </c>
      <c r="M256" s="1" t="n">
        <v>457.38</v>
      </c>
      <c r="N256" s="1" t="s">
        <v>41</v>
      </c>
      <c r="P256" s="1" t="n">
        <v>5</v>
      </c>
      <c r="Q256" s="1" t="s">
        <v>155</v>
      </c>
      <c r="R256" s="1" t="s">
        <v>125</v>
      </c>
      <c r="S256" s="6" t="n">
        <v>46038</v>
      </c>
    </row>
    <row r="257" customFormat="false" ht="14.25" hidden="false" customHeight="true" outlineLevel="0" collapsed="false">
      <c r="A257" s="1" t="s">
        <v>1135</v>
      </c>
      <c r="B257" s="1" t="s">
        <v>1136</v>
      </c>
      <c r="C257" s="1" t="s">
        <v>300</v>
      </c>
      <c r="D257" s="1" t="s">
        <v>234</v>
      </c>
      <c r="E257" s="6" t="n">
        <v>46043</v>
      </c>
      <c r="F257" s="6" t="n">
        <v>46040</v>
      </c>
      <c r="G257" s="1" t="s">
        <v>108</v>
      </c>
      <c r="H257" s="1" t="s">
        <v>1137</v>
      </c>
      <c r="I257" s="1" t="s">
        <v>1138</v>
      </c>
      <c r="J257" s="1" t="n">
        <v>18688.35</v>
      </c>
      <c r="K257" s="1" t="n">
        <v>12219.11</v>
      </c>
      <c r="L257" s="1" t="n">
        <v>0</v>
      </c>
      <c r="M257" s="1" t="n">
        <v>12219.11</v>
      </c>
      <c r="N257" s="1" t="s">
        <v>52</v>
      </c>
      <c r="O257" s="1" t="s">
        <v>53</v>
      </c>
      <c r="P257" s="1" t="n">
        <v>8</v>
      </c>
      <c r="Q257" s="1" t="s">
        <v>63</v>
      </c>
      <c r="R257" s="1" t="s">
        <v>43</v>
      </c>
    </row>
    <row r="258" customFormat="false" ht="14.25" hidden="false" customHeight="true" outlineLevel="0" collapsed="false">
      <c r="A258" s="1" t="s">
        <v>1139</v>
      </c>
      <c r="B258" s="1" t="s">
        <v>1140</v>
      </c>
      <c r="C258" s="1" t="s">
        <v>58</v>
      </c>
      <c r="D258" s="1" t="s">
        <v>953</v>
      </c>
      <c r="E258" s="6" t="n">
        <v>46204</v>
      </c>
      <c r="F258" s="6" t="n">
        <v>46200</v>
      </c>
      <c r="G258" s="1" t="s">
        <v>70</v>
      </c>
      <c r="H258" s="1" t="s">
        <v>1141</v>
      </c>
      <c r="I258" s="1" t="s">
        <v>1142</v>
      </c>
      <c r="J258" s="1" t="n">
        <v>37200.89</v>
      </c>
      <c r="K258" s="1" t="n">
        <v>34140.31</v>
      </c>
      <c r="L258" s="1" t="n">
        <v>0</v>
      </c>
      <c r="M258" s="1" t="n">
        <v>34140.31</v>
      </c>
      <c r="N258" s="1" t="s">
        <v>260</v>
      </c>
      <c r="P258" s="1" t="n">
        <v>3</v>
      </c>
      <c r="Q258" s="1" t="s">
        <v>155</v>
      </c>
      <c r="R258" s="1" t="s">
        <v>140</v>
      </c>
    </row>
    <row r="259" customFormat="false" ht="14.25" hidden="false" customHeight="true" outlineLevel="0" collapsed="false">
      <c r="A259" s="1" t="s">
        <v>1143</v>
      </c>
      <c r="B259" s="1" t="s">
        <v>1144</v>
      </c>
      <c r="C259" s="1" t="s">
        <v>129</v>
      </c>
      <c r="D259" s="1" t="s">
        <v>377</v>
      </c>
      <c r="E259" s="6" t="n">
        <v>46136</v>
      </c>
      <c r="F259" s="6" t="n">
        <v>46131</v>
      </c>
      <c r="G259" s="1" t="s">
        <v>49</v>
      </c>
      <c r="H259" s="1" t="s">
        <v>997</v>
      </c>
      <c r="I259" s="1" t="s">
        <v>1145</v>
      </c>
      <c r="J259" s="1" t="n">
        <v>38358.44</v>
      </c>
      <c r="K259" s="1" t="n">
        <v>33747.44</v>
      </c>
      <c r="L259" s="1" t="n">
        <v>30319.12</v>
      </c>
      <c r="M259" s="1" t="n">
        <v>3428.32</v>
      </c>
      <c r="N259" s="1" t="s">
        <v>41</v>
      </c>
      <c r="P259" s="1" t="n">
        <v>7</v>
      </c>
      <c r="Q259" s="1" t="s">
        <v>63</v>
      </c>
      <c r="R259" s="1" t="s">
        <v>140</v>
      </c>
      <c r="S259" s="6" t="n">
        <v>46143</v>
      </c>
    </row>
    <row r="260" customFormat="false" ht="14.25" hidden="false" customHeight="true" outlineLevel="0" collapsed="false">
      <c r="A260" s="1" t="s">
        <v>1146</v>
      </c>
      <c r="B260" s="1" t="s">
        <v>1147</v>
      </c>
      <c r="C260" s="1" t="s">
        <v>92</v>
      </c>
      <c r="D260" s="1" t="s">
        <v>964</v>
      </c>
      <c r="E260" s="6" t="n">
        <v>46222</v>
      </c>
      <c r="F260" s="6" t="n">
        <v>46219</v>
      </c>
      <c r="G260" s="1" t="s">
        <v>108</v>
      </c>
      <c r="H260" s="1" t="s">
        <v>1148</v>
      </c>
      <c r="I260" s="1" t="s">
        <v>1149</v>
      </c>
      <c r="J260" s="1" t="n">
        <v>12909.15</v>
      </c>
      <c r="K260" s="1" t="n">
        <v>10316.76</v>
      </c>
      <c r="L260" s="1" t="n">
        <v>9358.26</v>
      </c>
      <c r="M260" s="1" t="n">
        <v>958.5</v>
      </c>
      <c r="N260" s="1" t="s">
        <v>41</v>
      </c>
      <c r="P260" s="1" t="n">
        <v>3</v>
      </c>
      <c r="Q260" s="1" t="s">
        <v>63</v>
      </c>
      <c r="R260" s="1" t="s">
        <v>74</v>
      </c>
      <c r="S260" s="6" t="n">
        <v>46225</v>
      </c>
    </row>
    <row r="261" customFormat="false" ht="14.25" hidden="false" customHeight="true" outlineLevel="0" collapsed="false">
      <c r="A261" s="1" t="s">
        <v>1150</v>
      </c>
      <c r="B261" s="1" t="s">
        <v>1151</v>
      </c>
      <c r="C261" s="1" t="s">
        <v>188</v>
      </c>
      <c r="D261" s="1" t="s">
        <v>1029</v>
      </c>
      <c r="E261" s="6" t="n">
        <v>46030</v>
      </c>
      <c r="F261" s="6" t="n">
        <v>46029</v>
      </c>
      <c r="G261" s="1" t="s">
        <v>49</v>
      </c>
      <c r="H261" s="1" t="s">
        <v>1152</v>
      </c>
      <c r="I261" s="1" t="s">
        <v>1153</v>
      </c>
      <c r="J261" s="1" t="n">
        <v>34120.62</v>
      </c>
      <c r="K261" s="1" t="n">
        <v>23741.84</v>
      </c>
      <c r="L261" s="1" t="n">
        <v>21498.04</v>
      </c>
      <c r="M261" s="1" t="n">
        <v>2243.8</v>
      </c>
      <c r="N261" s="1" t="s">
        <v>41</v>
      </c>
      <c r="P261" s="1" t="n">
        <v>2</v>
      </c>
      <c r="Q261" s="1" t="s">
        <v>155</v>
      </c>
      <c r="R261" s="1" t="s">
        <v>102</v>
      </c>
      <c r="S261" s="6" t="n">
        <v>46032</v>
      </c>
    </row>
    <row r="262" customFormat="false" ht="14.25" hidden="false" customHeight="true" outlineLevel="0" collapsed="false">
      <c r="A262" s="1" t="s">
        <v>1154</v>
      </c>
      <c r="B262" s="1" t="s">
        <v>1155</v>
      </c>
      <c r="C262" s="1" t="s">
        <v>279</v>
      </c>
      <c r="D262" s="1" t="s">
        <v>177</v>
      </c>
      <c r="E262" s="6" t="n">
        <v>46195</v>
      </c>
      <c r="F262" s="6" t="n">
        <v>46192</v>
      </c>
      <c r="G262" s="1" t="s">
        <v>49</v>
      </c>
      <c r="H262" s="1" t="s">
        <v>1156</v>
      </c>
      <c r="I262" s="1" t="s">
        <v>1157</v>
      </c>
      <c r="J262" s="1" t="n">
        <v>13452.43</v>
      </c>
      <c r="K262" s="1" t="n">
        <v>10130.82</v>
      </c>
      <c r="L262" s="1" t="n">
        <v>9775.41</v>
      </c>
      <c r="M262" s="1" t="n">
        <v>355.41</v>
      </c>
      <c r="N262" s="1" t="s">
        <v>41</v>
      </c>
      <c r="P262" s="1" t="n">
        <v>1</v>
      </c>
      <c r="Q262" s="1" t="s">
        <v>63</v>
      </c>
      <c r="R262" s="1" t="s">
        <v>43</v>
      </c>
      <c r="S262" s="6" t="n">
        <v>46196</v>
      </c>
    </row>
    <row r="263" customFormat="false" ht="14.25" hidden="false" customHeight="true" outlineLevel="0" collapsed="false">
      <c r="A263" s="1" t="s">
        <v>1158</v>
      </c>
      <c r="B263" s="1" t="s">
        <v>1159</v>
      </c>
      <c r="C263" s="1" t="s">
        <v>279</v>
      </c>
      <c r="D263" s="1" t="s">
        <v>165</v>
      </c>
      <c r="E263" s="6" t="n">
        <v>46140</v>
      </c>
      <c r="F263" s="6" t="n">
        <v>46140</v>
      </c>
      <c r="G263" s="1" t="s">
        <v>70</v>
      </c>
      <c r="H263" s="1" t="s">
        <v>596</v>
      </c>
      <c r="I263" s="1" t="s">
        <v>1160</v>
      </c>
      <c r="J263" s="1" t="n">
        <v>28054.99</v>
      </c>
      <c r="K263" s="1" t="n">
        <v>25476.97</v>
      </c>
      <c r="L263" s="1" t="n">
        <v>21037.89</v>
      </c>
      <c r="M263" s="1" t="n">
        <v>4439.08</v>
      </c>
      <c r="N263" s="1" t="s">
        <v>41</v>
      </c>
      <c r="P263" s="1" t="n">
        <v>3</v>
      </c>
      <c r="Q263" s="1" t="s">
        <v>63</v>
      </c>
      <c r="R263" s="1" t="s">
        <v>125</v>
      </c>
      <c r="S263" s="6" t="n">
        <v>46143</v>
      </c>
    </row>
    <row r="264" customFormat="false" ht="14.25" hidden="false" customHeight="true" outlineLevel="0" collapsed="false">
      <c r="A264" s="1" t="s">
        <v>1161</v>
      </c>
      <c r="B264" s="1" t="s">
        <v>412</v>
      </c>
      <c r="C264" s="1" t="s">
        <v>129</v>
      </c>
      <c r="D264" s="1" t="s">
        <v>315</v>
      </c>
      <c r="E264" s="6" t="n">
        <v>46055</v>
      </c>
      <c r="F264" s="6" t="n">
        <v>46051</v>
      </c>
      <c r="G264" s="1" t="s">
        <v>38</v>
      </c>
      <c r="H264" s="1" t="s">
        <v>1162</v>
      </c>
      <c r="I264" s="1" t="s">
        <v>1163</v>
      </c>
      <c r="J264" s="1" t="n">
        <v>33173.89</v>
      </c>
      <c r="K264" s="1" t="n">
        <v>28383.99</v>
      </c>
      <c r="L264" s="1" t="n">
        <v>0</v>
      </c>
      <c r="M264" s="1" t="n">
        <v>28383.99</v>
      </c>
      <c r="N264" s="1" t="s">
        <v>111</v>
      </c>
      <c r="P264" s="1" t="n">
        <v>13</v>
      </c>
      <c r="Q264" s="1" t="s">
        <v>63</v>
      </c>
      <c r="R264" s="1" t="s">
        <v>102</v>
      </c>
    </row>
    <row r="265" customFormat="false" ht="14.25" hidden="false" customHeight="true" outlineLevel="0" collapsed="false">
      <c r="A265" s="1" t="s">
        <v>1164</v>
      </c>
      <c r="B265" s="1" t="s">
        <v>1165</v>
      </c>
      <c r="C265" s="1" t="s">
        <v>182</v>
      </c>
      <c r="D265" s="1" t="s">
        <v>1166</v>
      </c>
      <c r="E265" s="6" t="n">
        <v>46153</v>
      </c>
      <c r="F265" s="6" t="n">
        <v>46149</v>
      </c>
      <c r="G265" s="1" t="s">
        <v>108</v>
      </c>
      <c r="H265" s="1" t="s">
        <v>1167</v>
      </c>
      <c r="I265" s="1" t="s">
        <v>1168</v>
      </c>
      <c r="J265" s="1" t="n">
        <v>31038.51</v>
      </c>
      <c r="K265" s="1" t="n">
        <v>23459.81</v>
      </c>
      <c r="L265" s="1" t="n">
        <v>0</v>
      </c>
      <c r="M265" s="1" t="n">
        <v>23459.81</v>
      </c>
      <c r="N265" s="1" t="s">
        <v>260</v>
      </c>
      <c r="P265" s="1" t="n">
        <v>5</v>
      </c>
      <c r="Q265" s="1" t="s">
        <v>63</v>
      </c>
      <c r="R265" s="1" t="s">
        <v>125</v>
      </c>
    </row>
    <row r="266" customFormat="false" ht="14.25" hidden="false" customHeight="true" outlineLevel="0" collapsed="false">
      <c r="A266" s="1" t="s">
        <v>1169</v>
      </c>
      <c r="B266" s="1" t="s">
        <v>1144</v>
      </c>
      <c r="C266" s="1" t="s">
        <v>136</v>
      </c>
      <c r="D266" s="1" t="s">
        <v>1170</v>
      </c>
      <c r="E266" s="6" t="n">
        <v>46216</v>
      </c>
      <c r="F266" s="6" t="n">
        <v>46212</v>
      </c>
      <c r="G266" s="1" t="s">
        <v>108</v>
      </c>
      <c r="H266" s="1" t="s">
        <v>1171</v>
      </c>
      <c r="I266" s="1" t="s">
        <v>1172</v>
      </c>
      <c r="J266" s="1" t="n">
        <v>44621.47</v>
      </c>
      <c r="K266" s="1" t="n">
        <v>33572.17</v>
      </c>
      <c r="L266" s="1" t="n">
        <v>25996.19</v>
      </c>
      <c r="M266" s="1" t="n">
        <v>7575.98</v>
      </c>
      <c r="N266" s="1" t="s">
        <v>41</v>
      </c>
      <c r="P266" s="1" t="n">
        <v>6</v>
      </c>
      <c r="Q266" s="1" t="s">
        <v>155</v>
      </c>
      <c r="R266" s="1" t="s">
        <v>140</v>
      </c>
      <c r="S266" s="6" t="n">
        <v>46222</v>
      </c>
    </row>
    <row r="267" customFormat="false" ht="14.25" hidden="false" customHeight="true" outlineLevel="0" collapsed="false">
      <c r="A267" s="1" t="s">
        <v>1173</v>
      </c>
      <c r="B267" s="1" t="s">
        <v>262</v>
      </c>
      <c r="C267" s="1" t="s">
        <v>215</v>
      </c>
      <c r="D267" s="1" t="s">
        <v>441</v>
      </c>
      <c r="E267" s="6" t="n">
        <v>46190</v>
      </c>
      <c r="F267" s="6" t="n">
        <v>46188</v>
      </c>
      <c r="G267" s="1" t="s">
        <v>108</v>
      </c>
      <c r="H267" s="1" t="s">
        <v>1174</v>
      </c>
      <c r="I267" s="1" t="s">
        <v>1175</v>
      </c>
      <c r="J267" s="1" t="n">
        <v>45564.26</v>
      </c>
      <c r="K267" s="1" t="n">
        <v>30512.11</v>
      </c>
      <c r="L267" s="1" t="n">
        <v>0</v>
      </c>
      <c r="M267" s="1" t="n">
        <v>30512.11</v>
      </c>
      <c r="N267" s="1" t="s">
        <v>111</v>
      </c>
      <c r="P267" s="1" t="n">
        <v>8</v>
      </c>
      <c r="Q267" s="1" t="s">
        <v>155</v>
      </c>
      <c r="R267" s="1" t="s">
        <v>43</v>
      </c>
    </row>
    <row r="268" customFormat="false" ht="14.25" hidden="false" customHeight="true" outlineLevel="0" collapsed="false">
      <c r="A268" s="1" t="s">
        <v>1176</v>
      </c>
      <c r="B268" s="1" t="s">
        <v>1177</v>
      </c>
      <c r="C268" s="1" t="s">
        <v>335</v>
      </c>
      <c r="D268" s="1" t="s">
        <v>511</v>
      </c>
      <c r="E268" s="6" t="n">
        <v>46194</v>
      </c>
      <c r="F268" s="6" t="n">
        <v>46191</v>
      </c>
      <c r="G268" s="1" t="s">
        <v>49</v>
      </c>
      <c r="H268" s="1" t="s">
        <v>631</v>
      </c>
      <c r="I268" s="1" t="s">
        <v>1178</v>
      </c>
      <c r="J268" s="1" t="n">
        <v>45119.79</v>
      </c>
      <c r="K268" s="1" t="n">
        <v>32936.8</v>
      </c>
      <c r="L268" s="1" t="n">
        <v>30433.26</v>
      </c>
      <c r="M268" s="1" t="n">
        <v>2503.54</v>
      </c>
      <c r="N268" s="1" t="s">
        <v>41</v>
      </c>
      <c r="P268" s="1" t="n">
        <v>1</v>
      </c>
      <c r="Q268" s="1" t="s">
        <v>63</v>
      </c>
      <c r="R268" s="1" t="s">
        <v>54</v>
      </c>
      <c r="S268" s="6" t="n">
        <v>46195</v>
      </c>
    </row>
    <row r="269" customFormat="false" ht="14.25" hidden="false" customHeight="true" outlineLevel="0" collapsed="false">
      <c r="A269" s="1" t="s">
        <v>1179</v>
      </c>
      <c r="B269" s="1" t="s">
        <v>670</v>
      </c>
      <c r="C269" s="1" t="s">
        <v>58</v>
      </c>
      <c r="D269" s="1" t="s">
        <v>538</v>
      </c>
      <c r="E269" s="6" t="n">
        <v>46204</v>
      </c>
      <c r="F269" s="6" t="n">
        <v>46199</v>
      </c>
      <c r="G269" s="1" t="s">
        <v>38</v>
      </c>
      <c r="H269" s="1" t="s">
        <v>1180</v>
      </c>
      <c r="I269" s="1" t="s">
        <v>1181</v>
      </c>
      <c r="J269" s="1" t="n">
        <v>25088.2</v>
      </c>
      <c r="K269" s="1" t="n">
        <v>22414.73</v>
      </c>
      <c r="L269" s="1" t="n">
        <v>20550.88</v>
      </c>
      <c r="M269" s="1" t="n">
        <v>1863.85</v>
      </c>
      <c r="N269" s="1" t="s">
        <v>41</v>
      </c>
      <c r="P269" s="1" t="n">
        <v>3</v>
      </c>
      <c r="Q269" s="1" t="s">
        <v>42</v>
      </c>
      <c r="R269" s="1" t="s">
        <v>140</v>
      </c>
      <c r="S269" s="6" t="n">
        <v>46207</v>
      </c>
    </row>
    <row r="270" customFormat="false" ht="14.25" hidden="false" customHeight="true" outlineLevel="0" collapsed="false">
      <c r="A270" s="1" t="s">
        <v>1182</v>
      </c>
      <c r="B270" s="1" t="s">
        <v>1183</v>
      </c>
      <c r="C270" s="1" t="s">
        <v>92</v>
      </c>
      <c r="D270" s="1" t="s">
        <v>418</v>
      </c>
      <c r="E270" s="6" t="n">
        <v>46098</v>
      </c>
      <c r="F270" s="6" t="n">
        <v>46096</v>
      </c>
      <c r="G270" s="1" t="s">
        <v>70</v>
      </c>
      <c r="H270" s="1" t="s">
        <v>1184</v>
      </c>
      <c r="I270" s="1" t="s">
        <v>1185</v>
      </c>
      <c r="J270" s="1" t="n">
        <v>49813.27</v>
      </c>
      <c r="K270" s="1" t="n">
        <v>38386.51</v>
      </c>
      <c r="L270" s="1" t="n">
        <v>30957.63</v>
      </c>
      <c r="M270" s="1" t="n">
        <v>7428.88</v>
      </c>
      <c r="N270" s="1" t="s">
        <v>41</v>
      </c>
      <c r="P270" s="1" t="n">
        <v>2</v>
      </c>
      <c r="Q270" s="1" t="s">
        <v>42</v>
      </c>
      <c r="R270" s="1" t="s">
        <v>125</v>
      </c>
      <c r="S270" s="6" t="n">
        <v>46100</v>
      </c>
    </row>
    <row r="271" customFormat="false" ht="14.25" hidden="false" customHeight="true" outlineLevel="0" collapsed="false">
      <c r="A271" s="1" t="s">
        <v>1186</v>
      </c>
      <c r="B271" s="1" t="s">
        <v>917</v>
      </c>
      <c r="C271" s="1" t="s">
        <v>188</v>
      </c>
      <c r="D271" s="1" t="s">
        <v>400</v>
      </c>
      <c r="E271" s="6" t="n">
        <v>46161</v>
      </c>
      <c r="F271" s="6" t="n">
        <v>46158</v>
      </c>
      <c r="G271" s="1" t="s">
        <v>70</v>
      </c>
      <c r="H271" s="1" t="s">
        <v>297</v>
      </c>
      <c r="I271" s="1" t="s">
        <v>1187</v>
      </c>
      <c r="J271" s="1" t="n">
        <v>17692.17</v>
      </c>
      <c r="K271" s="1" t="n">
        <v>11906.8</v>
      </c>
      <c r="L271" s="1" t="n">
        <v>11382.12</v>
      </c>
      <c r="M271" s="1" t="n">
        <v>524.68</v>
      </c>
      <c r="N271" s="1" t="s">
        <v>41</v>
      </c>
      <c r="P271" s="1" t="n">
        <v>5</v>
      </c>
      <c r="Q271" s="1" t="s">
        <v>63</v>
      </c>
      <c r="R271" s="1" t="s">
        <v>102</v>
      </c>
      <c r="S271" s="6" t="n">
        <v>46166</v>
      </c>
    </row>
    <row r="272" customFormat="false" ht="14.25" hidden="false" customHeight="true" outlineLevel="0" collapsed="false">
      <c r="A272" s="1" t="s">
        <v>1188</v>
      </c>
      <c r="B272" s="1" t="s">
        <v>1009</v>
      </c>
      <c r="C272" s="1" t="s">
        <v>900</v>
      </c>
      <c r="D272" s="1" t="s">
        <v>287</v>
      </c>
      <c r="E272" s="6" t="n">
        <v>46186</v>
      </c>
      <c r="F272" s="6" t="n">
        <v>46182</v>
      </c>
      <c r="G272" s="1" t="s">
        <v>49</v>
      </c>
      <c r="H272" s="1" t="s">
        <v>1189</v>
      </c>
      <c r="I272" s="1" t="s">
        <v>1190</v>
      </c>
      <c r="J272" s="1" t="n">
        <v>38290.39</v>
      </c>
      <c r="K272" s="1" t="n">
        <v>26963.34</v>
      </c>
      <c r="L272" s="1" t="n">
        <v>20347.91</v>
      </c>
      <c r="M272" s="1" t="n">
        <v>6615.43</v>
      </c>
      <c r="N272" s="1" t="s">
        <v>41</v>
      </c>
      <c r="P272" s="1" t="n">
        <v>3</v>
      </c>
      <c r="Q272" s="1" t="s">
        <v>42</v>
      </c>
      <c r="R272" s="1" t="s">
        <v>125</v>
      </c>
      <c r="S272" s="6" t="n">
        <v>46189</v>
      </c>
    </row>
    <row r="273" customFormat="false" ht="14.25" hidden="false" customHeight="true" outlineLevel="0" collapsed="false">
      <c r="A273" s="1" t="s">
        <v>1191</v>
      </c>
      <c r="B273" s="1" t="s">
        <v>1192</v>
      </c>
      <c r="C273" s="1" t="s">
        <v>296</v>
      </c>
      <c r="D273" s="1" t="s">
        <v>855</v>
      </c>
      <c r="E273" s="6" t="n">
        <v>46222</v>
      </c>
      <c r="F273" s="6" t="n">
        <v>46219</v>
      </c>
      <c r="G273" s="1" t="s">
        <v>38</v>
      </c>
      <c r="H273" s="1" t="s">
        <v>649</v>
      </c>
      <c r="I273" s="1" t="s">
        <v>1193</v>
      </c>
      <c r="J273" s="1" t="n">
        <v>36467.45</v>
      </c>
      <c r="K273" s="1" t="n">
        <v>24358.96</v>
      </c>
      <c r="L273" s="1" t="n">
        <v>0</v>
      </c>
      <c r="M273" s="1" t="n">
        <v>24358.96</v>
      </c>
      <c r="N273" s="1" t="s">
        <v>52</v>
      </c>
      <c r="O273" s="1" t="s">
        <v>230</v>
      </c>
      <c r="P273" s="1" t="n">
        <v>4</v>
      </c>
      <c r="Q273" s="1" t="s">
        <v>63</v>
      </c>
      <c r="R273" s="1" t="s">
        <v>43</v>
      </c>
    </row>
    <row r="274" customFormat="false" ht="14.25" hidden="false" customHeight="true" outlineLevel="0" collapsed="false">
      <c r="A274" s="1" t="s">
        <v>1194</v>
      </c>
      <c r="B274" s="1" t="s">
        <v>372</v>
      </c>
      <c r="C274" s="1" t="s">
        <v>85</v>
      </c>
      <c r="D274" s="1" t="s">
        <v>722</v>
      </c>
      <c r="E274" s="6" t="n">
        <v>46104</v>
      </c>
      <c r="F274" s="6" t="n">
        <v>46104</v>
      </c>
      <c r="G274" s="1" t="s">
        <v>38</v>
      </c>
      <c r="H274" s="1" t="s">
        <v>490</v>
      </c>
      <c r="I274" s="1" t="s">
        <v>1195</v>
      </c>
      <c r="J274" s="1" t="n">
        <v>42375.37</v>
      </c>
      <c r="K274" s="1" t="n">
        <v>30937.43</v>
      </c>
      <c r="L274" s="1" t="n">
        <v>0</v>
      </c>
      <c r="M274" s="1" t="n">
        <v>30937.43</v>
      </c>
      <c r="N274" s="1" t="s">
        <v>111</v>
      </c>
      <c r="P274" s="1" t="n">
        <v>8</v>
      </c>
      <c r="Q274" s="1" t="s">
        <v>155</v>
      </c>
      <c r="R274" s="1" t="s">
        <v>140</v>
      </c>
    </row>
    <row r="275" customFormat="false" ht="14.25" hidden="false" customHeight="true" outlineLevel="0" collapsed="false">
      <c r="A275" s="1" t="s">
        <v>1196</v>
      </c>
      <c r="B275" s="1" t="s">
        <v>1197</v>
      </c>
      <c r="C275" s="1" t="s">
        <v>78</v>
      </c>
      <c r="D275" s="1" t="s">
        <v>152</v>
      </c>
      <c r="E275" s="6" t="n">
        <v>46072</v>
      </c>
      <c r="F275" s="6" t="n">
        <v>46072</v>
      </c>
      <c r="G275" s="1" t="s">
        <v>38</v>
      </c>
      <c r="H275" s="1" t="s">
        <v>1198</v>
      </c>
      <c r="I275" s="1" t="s">
        <v>1199</v>
      </c>
      <c r="J275" s="1" t="n">
        <v>41447.83</v>
      </c>
      <c r="K275" s="1" t="n">
        <v>32712.61</v>
      </c>
      <c r="L275" s="1" t="n">
        <v>29112.79</v>
      </c>
      <c r="M275" s="1" t="n">
        <v>3599.82</v>
      </c>
      <c r="N275" s="1" t="s">
        <v>41</v>
      </c>
      <c r="P275" s="1" t="n">
        <v>7</v>
      </c>
      <c r="Q275" s="1" t="s">
        <v>155</v>
      </c>
      <c r="R275" s="1" t="s">
        <v>54</v>
      </c>
      <c r="S275" s="6" t="n">
        <v>46079</v>
      </c>
    </row>
    <row r="276" customFormat="false" ht="14.25" hidden="false" customHeight="true" outlineLevel="0" collapsed="false">
      <c r="A276" s="1" t="s">
        <v>1200</v>
      </c>
      <c r="B276" s="1" t="s">
        <v>1201</v>
      </c>
      <c r="C276" s="1" t="s">
        <v>346</v>
      </c>
      <c r="D276" s="1" t="s">
        <v>937</v>
      </c>
      <c r="E276" s="6" t="n">
        <v>46091</v>
      </c>
      <c r="F276" s="6" t="n">
        <v>46089</v>
      </c>
      <c r="G276" s="1" t="s">
        <v>108</v>
      </c>
      <c r="H276" s="1" t="s">
        <v>1202</v>
      </c>
      <c r="I276" s="1" t="s">
        <v>1203</v>
      </c>
      <c r="J276" s="1" t="n">
        <v>9211.27</v>
      </c>
      <c r="K276" s="1" t="n">
        <v>8343.17</v>
      </c>
      <c r="L276" s="1" t="n">
        <v>0</v>
      </c>
      <c r="M276" s="1" t="n">
        <v>8343.17</v>
      </c>
      <c r="N276" s="1" t="s">
        <v>111</v>
      </c>
      <c r="P276" s="1" t="n">
        <v>15</v>
      </c>
      <c r="Q276" s="1" t="s">
        <v>155</v>
      </c>
      <c r="R276" s="1" t="s">
        <v>43</v>
      </c>
    </row>
    <row r="277" customFormat="false" ht="14.25" hidden="false" customHeight="true" outlineLevel="0" collapsed="false">
      <c r="A277" s="1" t="s">
        <v>1204</v>
      </c>
      <c r="B277" s="1" t="s">
        <v>267</v>
      </c>
      <c r="C277" s="1" t="s">
        <v>198</v>
      </c>
      <c r="D277" s="1" t="s">
        <v>501</v>
      </c>
      <c r="E277" s="6" t="n">
        <v>46121</v>
      </c>
      <c r="F277" s="6" t="n">
        <v>46116</v>
      </c>
      <c r="G277" s="1" t="s">
        <v>108</v>
      </c>
      <c r="H277" s="1" t="s">
        <v>1205</v>
      </c>
      <c r="I277" s="1" t="s">
        <v>1206</v>
      </c>
      <c r="J277" s="1" t="n">
        <v>4970.16</v>
      </c>
      <c r="K277" s="1" t="n">
        <v>4636.9</v>
      </c>
      <c r="L277" s="1" t="n">
        <v>0</v>
      </c>
      <c r="M277" s="1" t="n">
        <v>4636.9</v>
      </c>
      <c r="N277" s="1" t="s">
        <v>111</v>
      </c>
      <c r="P277" s="1" t="n">
        <v>15</v>
      </c>
      <c r="Q277" s="1" t="s">
        <v>63</v>
      </c>
      <c r="R277" s="1" t="s">
        <v>43</v>
      </c>
    </row>
    <row r="278" customFormat="false" ht="14.25" hidden="false" customHeight="true" outlineLevel="0" collapsed="false">
      <c r="A278" s="1" t="s">
        <v>1207</v>
      </c>
      <c r="B278" s="1" t="s">
        <v>606</v>
      </c>
      <c r="C278" s="1" t="s">
        <v>361</v>
      </c>
      <c r="D278" s="1" t="s">
        <v>268</v>
      </c>
      <c r="E278" s="6" t="n">
        <v>46047</v>
      </c>
      <c r="F278" s="6" t="n">
        <v>46046</v>
      </c>
      <c r="G278" s="1" t="s">
        <v>38</v>
      </c>
      <c r="H278" s="1" t="s">
        <v>1208</v>
      </c>
      <c r="I278" s="1" t="s">
        <v>1209</v>
      </c>
      <c r="J278" s="1" t="n">
        <v>38772.95</v>
      </c>
      <c r="K278" s="1" t="n">
        <v>28847.97</v>
      </c>
      <c r="L278" s="1" t="n">
        <v>0</v>
      </c>
      <c r="M278" s="1" t="n">
        <v>28847.97</v>
      </c>
      <c r="N278" s="1" t="s">
        <v>111</v>
      </c>
      <c r="P278" s="1" t="n">
        <v>13</v>
      </c>
      <c r="Q278" s="1" t="s">
        <v>155</v>
      </c>
      <c r="R278" s="1" t="s">
        <v>54</v>
      </c>
    </row>
    <row r="279" customFormat="false" ht="14.25" hidden="false" customHeight="true" outlineLevel="0" collapsed="false">
      <c r="A279" s="1" t="s">
        <v>1210</v>
      </c>
      <c r="B279" s="1" t="s">
        <v>1159</v>
      </c>
      <c r="C279" s="1" t="s">
        <v>325</v>
      </c>
      <c r="D279" s="1" t="s">
        <v>1211</v>
      </c>
      <c r="E279" s="6" t="n">
        <v>46068</v>
      </c>
      <c r="F279" s="6" t="n">
        <v>46067</v>
      </c>
      <c r="G279" s="1" t="s">
        <v>108</v>
      </c>
      <c r="H279" s="1" t="s">
        <v>1212</v>
      </c>
      <c r="I279" s="1" t="s">
        <v>1213</v>
      </c>
      <c r="J279" s="1" t="n">
        <v>22254.03</v>
      </c>
      <c r="K279" s="1" t="n">
        <v>16162.92</v>
      </c>
      <c r="L279" s="1" t="n">
        <v>0</v>
      </c>
      <c r="M279" s="1" t="n">
        <v>16162.92</v>
      </c>
      <c r="N279" s="1" t="s">
        <v>260</v>
      </c>
      <c r="P279" s="1" t="n">
        <v>1</v>
      </c>
      <c r="Q279" s="1" t="s">
        <v>63</v>
      </c>
      <c r="R279" s="1" t="s">
        <v>43</v>
      </c>
    </row>
    <row r="280" customFormat="false" ht="14.25" hidden="false" customHeight="true" outlineLevel="0" collapsed="false">
      <c r="A280" s="1" t="s">
        <v>1214</v>
      </c>
      <c r="B280" s="1" t="s">
        <v>983</v>
      </c>
      <c r="C280" s="1" t="s">
        <v>47</v>
      </c>
      <c r="D280" s="1" t="s">
        <v>1211</v>
      </c>
      <c r="E280" s="6" t="n">
        <v>46198</v>
      </c>
      <c r="F280" s="6" t="n">
        <v>46197</v>
      </c>
      <c r="G280" s="1" t="s">
        <v>70</v>
      </c>
      <c r="H280" s="1" t="s">
        <v>1215</v>
      </c>
      <c r="I280" s="1" t="s">
        <v>1216</v>
      </c>
      <c r="J280" s="1" t="n">
        <v>44031.96</v>
      </c>
      <c r="K280" s="1" t="n">
        <v>40997.79</v>
      </c>
      <c r="L280" s="1" t="n">
        <v>0</v>
      </c>
      <c r="M280" s="1" t="n">
        <v>40997.79</v>
      </c>
      <c r="N280" s="1" t="s">
        <v>260</v>
      </c>
      <c r="P280" s="1" t="n">
        <v>6</v>
      </c>
      <c r="Q280" s="1" t="s">
        <v>42</v>
      </c>
      <c r="R280" s="1" t="s">
        <v>74</v>
      </c>
    </row>
    <row r="281" customFormat="false" ht="14.25" hidden="false" customHeight="true" outlineLevel="0" collapsed="false">
      <c r="A281" s="1" t="s">
        <v>1217</v>
      </c>
      <c r="B281" s="1" t="s">
        <v>150</v>
      </c>
      <c r="C281" s="1" t="s">
        <v>543</v>
      </c>
      <c r="D281" s="1" t="s">
        <v>590</v>
      </c>
      <c r="E281" s="6" t="n">
        <v>46227</v>
      </c>
      <c r="F281" s="6" t="n">
        <v>46227</v>
      </c>
      <c r="G281" s="1" t="s">
        <v>70</v>
      </c>
      <c r="H281" s="1" t="s">
        <v>1218</v>
      </c>
      <c r="I281" s="1" t="s">
        <v>1219</v>
      </c>
      <c r="J281" s="1" t="n">
        <v>39545.73</v>
      </c>
      <c r="K281" s="1" t="n">
        <v>28548.17</v>
      </c>
      <c r="L281" s="1" t="n">
        <v>0</v>
      </c>
      <c r="M281" s="1" t="n">
        <v>28548.17</v>
      </c>
      <c r="N281" s="1" t="s">
        <v>111</v>
      </c>
      <c r="P281" s="1" t="n">
        <v>12</v>
      </c>
      <c r="Q281" s="1" t="s">
        <v>42</v>
      </c>
      <c r="R281" s="1" t="s">
        <v>125</v>
      </c>
    </row>
    <row r="282" customFormat="false" ht="14.25" hidden="false" customHeight="true" outlineLevel="0" collapsed="false">
      <c r="A282" s="1" t="s">
        <v>1220</v>
      </c>
      <c r="B282" s="1" t="s">
        <v>1221</v>
      </c>
      <c r="C282" s="1" t="s">
        <v>436</v>
      </c>
      <c r="D282" s="1" t="s">
        <v>1029</v>
      </c>
      <c r="E282" s="6" t="n">
        <v>46086</v>
      </c>
      <c r="F282" s="6" t="n">
        <v>46083</v>
      </c>
      <c r="G282" s="1" t="s">
        <v>38</v>
      </c>
      <c r="H282" s="1" t="s">
        <v>1222</v>
      </c>
      <c r="I282" s="1" t="s">
        <v>1223</v>
      </c>
      <c r="J282" s="1" t="n">
        <v>45534.56</v>
      </c>
      <c r="K282" s="1" t="n">
        <v>34965.65</v>
      </c>
      <c r="L282" s="1" t="n">
        <v>34773.28</v>
      </c>
      <c r="M282" s="1" t="n">
        <v>192.37</v>
      </c>
      <c r="N282" s="1" t="s">
        <v>41</v>
      </c>
      <c r="P282" s="1" t="n">
        <v>5</v>
      </c>
      <c r="Q282" s="1" t="s">
        <v>155</v>
      </c>
      <c r="R282" s="1" t="s">
        <v>43</v>
      </c>
      <c r="S282" s="6" t="n">
        <v>46091</v>
      </c>
    </row>
    <row r="283" customFormat="false" ht="14.25" hidden="false" customHeight="true" outlineLevel="0" collapsed="false">
      <c r="A283" s="1" t="s">
        <v>1224</v>
      </c>
      <c r="B283" s="1" t="s">
        <v>1225</v>
      </c>
      <c r="C283" s="1" t="s">
        <v>310</v>
      </c>
      <c r="D283" s="1" t="s">
        <v>635</v>
      </c>
      <c r="E283" s="6" t="n">
        <v>46186</v>
      </c>
      <c r="F283" s="6" t="n">
        <v>46184</v>
      </c>
      <c r="G283" s="1" t="s">
        <v>49</v>
      </c>
      <c r="H283" s="1" t="s">
        <v>1226</v>
      </c>
      <c r="I283" s="1" t="s">
        <v>908</v>
      </c>
      <c r="J283" s="1" t="n">
        <v>38453.67</v>
      </c>
      <c r="K283" s="1" t="n">
        <v>29681.87</v>
      </c>
      <c r="L283" s="1" t="n">
        <v>0</v>
      </c>
      <c r="M283" s="1" t="n">
        <v>29681.87</v>
      </c>
      <c r="N283" s="1" t="s">
        <v>52</v>
      </c>
      <c r="O283" s="1" t="s">
        <v>230</v>
      </c>
      <c r="P283" s="1" t="n">
        <v>1</v>
      </c>
      <c r="Q283" s="1" t="s">
        <v>63</v>
      </c>
      <c r="R283" s="1" t="s">
        <v>74</v>
      </c>
    </row>
    <row r="284" customFormat="false" ht="14.25" hidden="false" customHeight="true" outlineLevel="0" collapsed="false">
      <c r="A284" s="1" t="s">
        <v>1227</v>
      </c>
      <c r="B284" s="1" t="s">
        <v>1228</v>
      </c>
      <c r="C284" s="1" t="s">
        <v>361</v>
      </c>
      <c r="D284" s="1" t="s">
        <v>550</v>
      </c>
      <c r="E284" s="6" t="n">
        <v>46131</v>
      </c>
      <c r="F284" s="6" t="n">
        <v>46131</v>
      </c>
      <c r="G284" s="1" t="s">
        <v>49</v>
      </c>
      <c r="H284" s="1" t="s">
        <v>1229</v>
      </c>
      <c r="I284" s="1" t="s">
        <v>1230</v>
      </c>
      <c r="J284" s="1" t="n">
        <v>35074.87</v>
      </c>
      <c r="K284" s="1" t="n">
        <v>28126.55</v>
      </c>
      <c r="L284" s="1" t="n">
        <v>0</v>
      </c>
      <c r="M284" s="1" t="n">
        <v>28126.55</v>
      </c>
      <c r="N284" s="1" t="s">
        <v>52</v>
      </c>
      <c r="O284" s="1" t="s">
        <v>62</v>
      </c>
      <c r="P284" s="1" t="n">
        <v>6</v>
      </c>
      <c r="Q284" s="1" t="s">
        <v>155</v>
      </c>
      <c r="R284" s="1" t="s">
        <v>74</v>
      </c>
    </row>
    <row r="285" customFormat="false" ht="14.25" hidden="false" customHeight="true" outlineLevel="0" collapsed="false">
      <c r="A285" s="1" t="s">
        <v>1231</v>
      </c>
      <c r="B285" s="1" t="s">
        <v>1232</v>
      </c>
      <c r="C285" s="1" t="s">
        <v>286</v>
      </c>
      <c r="D285" s="1" t="s">
        <v>607</v>
      </c>
      <c r="E285" s="6" t="n">
        <v>46188</v>
      </c>
      <c r="F285" s="6" t="n">
        <v>46187</v>
      </c>
      <c r="G285" s="1" t="s">
        <v>70</v>
      </c>
      <c r="H285" s="1" t="s">
        <v>1233</v>
      </c>
      <c r="I285" s="1" t="s">
        <v>1234</v>
      </c>
      <c r="J285" s="1" t="n">
        <v>39655.46</v>
      </c>
      <c r="K285" s="1" t="n">
        <v>27395.09</v>
      </c>
      <c r="L285" s="1" t="n">
        <v>0</v>
      </c>
      <c r="M285" s="1" t="n">
        <v>27395.09</v>
      </c>
      <c r="N285" s="1" t="s">
        <v>111</v>
      </c>
      <c r="P285" s="1" t="n">
        <v>10</v>
      </c>
      <c r="Q285" s="1" t="s">
        <v>155</v>
      </c>
      <c r="R285" s="1" t="s">
        <v>140</v>
      </c>
    </row>
    <row r="286" customFormat="false" ht="14.25" hidden="false" customHeight="true" outlineLevel="0" collapsed="false">
      <c r="A286" s="1" t="s">
        <v>1235</v>
      </c>
      <c r="B286" s="1" t="s">
        <v>885</v>
      </c>
      <c r="C286" s="1" t="s">
        <v>386</v>
      </c>
      <c r="D286" s="1" t="s">
        <v>757</v>
      </c>
      <c r="E286" s="6" t="n">
        <v>46090</v>
      </c>
      <c r="F286" s="6" t="n">
        <v>46086</v>
      </c>
      <c r="G286" s="1" t="s">
        <v>49</v>
      </c>
      <c r="H286" s="1" t="s">
        <v>1236</v>
      </c>
      <c r="I286" s="1" t="s">
        <v>1237</v>
      </c>
      <c r="J286" s="1" t="n">
        <v>38496.56</v>
      </c>
      <c r="K286" s="1" t="n">
        <v>32520.13</v>
      </c>
      <c r="L286" s="1" t="n">
        <v>0</v>
      </c>
      <c r="M286" s="1" t="n">
        <v>32520.13</v>
      </c>
      <c r="N286" s="1" t="s">
        <v>111</v>
      </c>
      <c r="P286" s="1" t="n">
        <v>6</v>
      </c>
      <c r="Q286" s="1" t="s">
        <v>63</v>
      </c>
      <c r="R286" s="1" t="s">
        <v>140</v>
      </c>
    </row>
    <row r="287" customFormat="false" ht="14.25" hidden="false" customHeight="true" outlineLevel="0" collapsed="false">
      <c r="A287" s="1" t="s">
        <v>1238</v>
      </c>
      <c r="B287" s="1" t="s">
        <v>1239</v>
      </c>
      <c r="C287" s="1" t="s">
        <v>106</v>
      </c>
      <c r="D287" s="1" t="s">
        <v>717</v>
      </c>
      <c r="E287" s="6" t="n">
        <v>46202</v>
      </c>
      <c r="F287" s="6" t="n">
        <v>46198</v>
      </c>
      <c r="G287" s="1" t="s">
        <v>38</v>
      </c>
      <c r="H287" s="1" t="s">
        <v>1215</v>
      </c>
      <c r="I287" s="1" t="s">
        <v>1240</v>
      </c>
      <c r="J287" s="1" t="n">
        <v>40076.67</v>
      </c>
      <c r="K287" s="1" t="n">
        <v>28438.37</v>
      </c>
      <c r="L287" s="1" t="n">
        <v>0</v>
      </c>
      <c r="M287" s="1" t="n">
        <v>28438.37</v>
      </c>
      <c r="N287" s="1" t="s">
        <v>52</v>
      </c>
      <c r="O287" s="1" t="s">
        <v>230</v>
      </c>
      <c r="P287" s="1" t="n">
        <v>7</v>
      </c>
      <c r="Q287" s="1" t="s">
        <v>42</v>
      </c>
      <c r="R287" s="1" t="s">
        <v>74</v>
      </c>
    </row>
    <row r="288" customFormat="false" ht="14.25" hidden="false" customHeight="true" outlineLevel="0" collapsed="false">
      <c r="A288" s="1" t="s">
        <v>1241</v>
      </c>
      <c r="B288" s="1" t="s">
        <v>57</v>
      </c>
      <c r="C288" s="1" t="s">
        <v>106</v>
      </c>
      <c r="D288" s="1" t="s">
        <v>382</v>
      </c>
      <c r="E288" s="6" t="n">
        <v>46184</v>
      </c>
      <c r="F288" s="6" t="n">
        <v>46179</v>
      </c>
      <c r="G288" s="1" t="s">
        <v>49</v>
      </c>
      <c r="H288" s="1" t="s">
        <v>477</v>
      </c>
      <c r="I288" s="1" t="s">
        <v>1242</v>
      </c>
      <c r="J288" s="1" t="n">
        <v>4904.34</v>
      </c>
      <c r="K288" s="1" t="n">
        <v>3868.19</v>
      </c>
      <c r="L288" s="1" t="n">
        <v>3154.3</v>
      </c>
      <c r="M288" s="1" t="n">
        <v>713.89</v>
      </c>
      <c r="N288" s="1" t="s">
        <v>41</v>
      </c>
      <c r="P288" s="1" t="n">
        <v>3</v>
      </c>
      <c r="Q288" s="1" t="s">
        <v>155</v>
      </c>
      <c r="R288" s="1" t="s">
        <v>54</v>
      </c>
      <c r="S288" s="6" t="n">
        <v>46187</v>
      </c>
    </row>
    <row r="289" customFormat="false" ht="14.25" hidden="false" customHeight="true" outlineLevel="0" collapsed="false">
      <c r="A289" s="1" t="s">
        <v>1243</v>
      </c>
      <c r="B289" s="1" t="s">
        <v>1244</v>
      </c>
      <c r="C289" s="1" t="s">
        <v>367</v>
      </c>
      <c r="D289" s="1" t="s">
        <v>79</v>
      </c>
      <c r="E289" s="6" t="n">
        <v>46118</v>
      </c>
      <c r="F289" s="6" t="n">
        <v>46117</v>
      </c>
      <c r="G289" s="1" t="s">
        <v>38</v>
      </c>
      <c r="H289" s="1" t="s">
        <v>1245</v>
      </c>
      <c r="I289" s="1" t="s">
        <v>1246</v>
      </c>
      <c r="J289" s="1" t="n">
        <v>6308.85</v>
      </c>
      <c r="K289" s="1" t="n">
        <v>5460.78</v>
      </c>
      <c r="L289" s="1" t="n">
        <v>0</v>
      </c>
      <c r="M289" s="1" t="n">
        <v>5460.78</v>
      </c>
      <c r="N289" s="1" t="s">
        <v>52</v>
      </c>
      <c r="O289" s="1" t="s">
        <v>62</v>
      </c>
      <c r="P289" s="1" t="n">
        <v>7</v>
      </c>
      <c r="Q289" s="1" t="s">
        <v>63</v>
      </c>
      <c r="R289" s="1" t="s">
        <v>74</v>
      </c>
    </row>
    <row r="290" customFormat="false" ht="14.25" hidden="false" customHeight="true" outlineLevel="0" collapsed="false">
      <c r="A290" s="1" t="s">
        <v>1247</v>
      </c>
      <c r="B290" s="1" t="s">
        <v>1248</v>
      </c>
      <c r="C290" s="1" t="s">
        <v>136</v>
      </c>
      <c r="D290" s="1" t="s">
        <v>216</v>
      </c>
      <c r="E290" s="6" t="n">
        <v>46152</v>
      </c>
      <c r="F290" s="6" t="n">
        <v>46149</v>
      </c>
      <c r="G290" s="1" t="s">
        <v>49</v>
      </c>
      <c r="H290" s="1" t="s">
        <v>1152</v>
      </c>
      <c r="I290" s="1" t="s">
        <v>1249</v>
      </c>
      <c r="J290" s="1" t="n">
        <v>42888.72</v>
      </c>
      <c r="K290" s="1" t="n">
        <v>35598.7</v>
      </c>
      <c r="L290" s="1" t="n">
        <v>35556.05</v>
      </c>
      <c r="M290" s="1" t="n">
        <v>42.65</v>
      </c>
      <c r="N290" s="1" t="s">
        <v>41</v>
      </c>
      <c r="P290" s="1" t="n">
        <v>5</v>
      </c>
      <c r="Q290" s="1" t="s">
        <v>155</v>
      </c>
      <c r="R290" s="1" t="s">
        <v>102</v>
      </c>
      <c r="S290" s="6" t="n">
        <v>46157</v>
      </c>
    </row>
    <row r="291" customFormat="false" ht="14.25" hidden="false" customHeight="true" outlineLevel="0" collapsed="false">
      <c r="A291" s="1" t="s">
        <v>1250</v>
      </c>
      <c r="B291" s="1" t="s">
        <v>1251</v>
      </c>
      <c r="C291" s="1" t="s">
        <v>436</v>
      </c>
      <c r="D291" s="1" t="s">
        <v>305</v>
      </c>
      <c r="E291" s="6" t="n">
        <v>46091</v>
      </c>
      <c r="F291" s="6" t="n">
        <v>46090</v>
      </c>
      <c r="G291" s="1" t="s">
        <v>49</v>
      </c>
      <c r="H291" s="1" t="s">
        <v>1252</v>
      </c>
      <c r="I291" s="1" t="s">
        <v>1253</v>
      </c>
      <c r="J291" s="1" t="n">
        <v>45412.75</v>
      </c>
      <c r="K291" s="1" t="n">
        <v>34554.17</v>
      </c>
      <c r="L291" s="1" t="n">
        <v>0</v>
      </c>
      <c r="M291" s="1" t="n">
        <v>34554.17</v>
      </c>
      <c r="N291" s="1" t="s">
        <v>111</v>
      </c>
      <c r="P291" s="1" t="n">
        <v>14</v>
      </c>
      <c r="Q291" s="1" t="s">
        <v>42</v>
      </c>
      <c r="R291" s="1" t="s">
        <v>43</v>
      </c>
    </row>
    <row r="292" customFormat="false" ht="14.25" hidden="false" customHeight="true" outlineLevel="0" collapsed="false">
      <c r="A292" s="1" t="s">
        <v>1254</v>
      </c>
      <c r="B292" s="1" t="s">
        <v>355</v>
      </c>
      <c r="C292" s="1" t="s">
        <v>92</v>
      </c>
      <c r="D292" s="1" t="s">
        <v>315</v>
      </c>
      <c r="E292" s="6" t="n">
        <v>46199</v>
      </c>
      <c r="F292" s="6" t="n">
        <v>46198</v>
      </c>
      <c r="G292" s="1" t="s">
        <v>108</v>
      </c>
      <c r="H292" s="1" t="s">
        <v>910</v>
      </c>
      <c r="I292" s="1" t="s">
        <v>1255</v>
      </c>
      <c r="J292" s="1" t="n">
        <v>35568.43</v>
      </c>
      <c r="K292" s="1" t="n">
        <v>30974.1</v>
      </c>
      <c r="L292" s="1" t="n">
        <v>0</v>
      </c>
      <c r="M292" s="1" t="n">
        <v>30974.1</v>
      </c>
      <c r="N292" s="1" t="s">
        <v>111</v>
      </c>
      <c r="P292" s="1" t="n">
        <v>8</v>
      </c>
      <c r="Q292" s="1" t="s">
        <v>155</v>
      </c>
      <c r="R292" s="1" t="s">
        <v>43</v>
      </c>
    </row>
    <row r="293" customFormat="false" ht="14.25" hidden="false" customHeight="true" outlineLevel="0" collapsed="false">
      <c r="A293" s="1" t="s">
        <v>1256</v>
      </c>
      <c r="B293" s="1" t="s">
        <v>463</v>
      </c>
      <c r="C293" s="1" t="s">
        <v>115</v>
      </c>
      <c r="D293" s="1" t="s">
        <v>382</v>
      </c>
      <c r="E293" s="6" t="n">
        <v>46117</v>
      </c>
      <c r="F293" s="6" t="n">
        <v>46113</v>
      </c>
      <c r="G293" s="1" t="s">
        <v>49</v>
      </c>
      <c r="H293" s="1" t="s">
        <v>1257</v>
      </c>
      <c r="I293" s="1" t="s">
        <v>1258</v>
      </c>
      <c r="J293" s="1" t="n">
        <v>48376.89</v>
      </c>
      <c r="K293" s="1" t="n">
        <v>40127.16</v>
      </c>
      <c r="L293" s="1" t="n">
        <v>0</v>
      </c>
      <c r="M293" s="1" t="n">
        <v>40127.16</v>
      </c>
      <c r="N293" s="1" t="s">
        <v>52</v>
      </c>
      <c r="O293" s="1" t="s">
        <v>53</v>
      </c>
      <c r="P293" s="1" t="n">
        <v>1</v>
      </c>
      <c r="Q293" s="1" t="s">
        <v>42</v>
      </c>
      <c r="R293" s="1" t="s">
        <v>102</v>
      </c>
    </row>
    <row r="294" customFormat="false" ht="14.25" hidden="false" customHeight="true" outlineLevel="0" collapsed="false">
      <c r="A294" s="1" t="s">
        <v>1259</v>
      </c>
      <c r="B294" s="1" t="s">
        <v>1260</v>
      </c>
      <c r="C294" s="1" t="s">
        <v>158</v>
      </c>
      <c r="D294" s="1" t="s">
        <v>122</v>
      </c>
      <c r="E294" s="6" t="n">
        <v>46060</v>
      </c>
      <c r="F294" s="6" t="n">
        <v>46056</v>
      </c>
      <c r="G294" s="1" t="s">
        <v>70</v>
      </c>
      <c r="H294" s="1" t="s">
        <v>1261</v>
      </c>
      <c r="I294" s="1" t="s">
        <v>1262</v>
      </c>
      <c r="J294" s="1" t="n">
        <v>9378.93</v>
      </c>
      <c r="K294" s="1" t="n">
        <v>6574.25</v>
      </c>
      <c r="L294" s="1" t="n">
        <v>5740.7</v>
      </c>
      <c r="M294" s="1" t="n">
        <v>833.55</v>
      </c>
      <c r="N294" s="1" t="s">
        <v>41</v>
      </c>
      <c r="P294" s="1" t="n">
        <v>6</v>
      </c>
      <c r="Q294" s="1" t="s">
        <v>63</v>
      </c>
      <c r="R294" s="1" t="s">
        <v>140</v>
      </c>
      <c r="S294" s="6" t="n">
        <v>46066</v>
      </c>
    </row>
    <row r="295" customFormat="false" ht="14.25" hidden="false" customHeight="true" outlineLevel="0" collapsed="false">
      <c r="A295" s="1" t="s">
        <v>1263</v>
      </c>
      <c r="B295" s="1" t="s">
        <v>704</v>
      </c>
      <c r="C295" s="1" t="s">
        <v>279</v>
      </c>
      <c r="D295" s="1" t="s">
        <v>1077</v>
      </c>
      <c r="E295" s="6" t="n">
        <v>46089</v>
      </c>
      <c r="F295" s="6" t="n">
        <v>46089</v>
      </c>
      <c r="G295" s="1" t="s">
        <v>70</v>
      </c>
      <c r="H295" s="1" t="s">
        <v>1264</v>
      </c>
      <c r="I295" s="1" t="s">
        <v>1265</v>
      </c>
      <c r="J295" s="1" t="n">
        <v>48936.57</v>
      </c>
      <c r="K295" s="1" t="n">
        <v>39137.67</v>
      </c>
      <c r="L295" s="1" t="n">
        <v>38877.13</v>
      </c>
      <c r="M295" s="1" t="n">
        <v>260.54</v>
      </c>
      <c r="N295" s="1" t="s">
        <v>41</v>
      </c>
      <c r="P295" s="1" t="n">
        <v>5</v>
      </c>
      <c r="Q295" s="1" t="s">
        <v>42</v>
      </c>
      <c r="R295" s="1" t="s">
        <v>102</v>
      </c>
      <c r="S295" s="6" t="n">
        <v>46094</v>
      </c>
    </row>
    <row r="296" customFormat="false" ht="14.25" hidden="false" customHeight="true" outlineLevel="0" collapsed="false">
      <c r="A296" s="1" t="s">
        <v>1266</v>
      </c>
      <c r="B296" s="1" t="s">
        <v>238</v>
      </c>
      <c r="C296" s="1" t="s">
        <v>36</v>
      </c>
      <c r="D296" s="1" t="s">
        <v>99</v>
      </c>
      <c r="E296" s="6" t="n">
        <v>46135</v>
      </c>
      <c r="F296" s="6" t="n">
        <v>46134</v>
      </c>
      <c r="G296" s="1" t="s">
        <v>108</v>
      </c>
      <c r="H296" s="1" t="s">
        <v>423</v>
      </c>
      <c r="I296" s="1" t="s">
        <v>1267</v>
      </c>
      <c r="J296" s="1" t="n">
        <v>49730.97</v>
      </c>
      <c r="K296" s="1" t="n">
        <v>43718.63</v>
      </c>
      <c r="L296" s="1" t="n">
        <v>34442.24</v>
      </c>
      <c r="M296" s="1" t="n">
        <v>9276.39</v>
      </c>
      <c r="N296" s="1" t="s">
        <v>41</v>
      </c>
      <c r="P296" s="1" t="n">
        <v>8</v>
      </c>
      <c r="Q296" s="1" t="s">
        <v>155</v>
      </c>
      <c r="R296" s="1" t="s">
        <v>43</v>
      </c>
      <c r="S296" s="6" t="n">
        <v>46143</v>
      </c>
    </row>
    <row r="297" customFormat="false" ht="14.25" hidden="false" customHeight="true" outlineLevel="0" collapsed="false">
      <c r="A297" s="1" t="s">
        <v>1268</v>
      </c>
      <c r="B297" s="1" t="s">
        <v>1269</v>
      </c>
      <c r="C297" s="1" t="s">
        <v>300</v>
      </c>
      <c r="D297" s="1" t="s">
        <v>291</v>
      </c>
      <c r="E297" s="6" t="n">
        <v>46090</v>
      </c>
      <c r="F297" s="6" t="n">
        <v>46089</v>
      </c>
      <c r="G297" s="1" t="s">
        <v>49</v>
      </c>
      <c r="H297" s="1" t="s">
        <v>1270</v>
      </c>
      <c r="I297" s="1" t="s">
        <v>1271</v>
      </c>
      <c r="J297" s="1" t="n">
        <v>22103.28</v>
      </c>
      <c r="K297" s="1" t="n">
        <v>20966.3</v>
      </c>
      <c r="L297" s="1" t="n">
        <v>0</v>
      </c>
      <c r="M297" s="1" t="n">
        <v>20966.3</v>
      </c>
      <c r="N297" s="1" t="s">
        <v>111</v>
      </c>
      <c r="P297" s="1" t="n">
        <v>11</v>
      </c>
      <c r="Q297" s="1" t="s">
        <v>155</v>
      </c>
      <c r="R297" s="1" t="s">
        <v>125</v>
      </c>
    </row>
    <row r="298" customFormat="false" ht="14.25" hidden="false" customHeight="true" outlineLevel="0" collapsed="false">
      <c r="A298" s="1" t="s">
        <v>1272</v>
      </c>
      <c r="B298" s="1" t="s">
        <v>1273</v>
      </c>
      <c r="C298" s="1" t="s">
        <v>144</v>
      </c>
      <c r="D298" s="1" t="s">
        <v>137</v>
      </c>
      <c r="E298" s="6" t="n">
        <v>46208</v>
      </c>
      <c r="F298" s="6" t="n">
        <v>46207</v>
      </c>
      <c r="G298" s="1" t="s">
        <v>38</v>
      </c>
      <c r="H298" s="1" t="s">
        <v>109</v>
      </c>
      <c r="I298" s="1" t="s">
        <v>1274</v>
      </c>
      <c r="J298" s="1" t="n">
        <v>5132.1</v>
      </c>
      <c r="K298" s="1" t="n">
        <v>4672.53</v>
      </c>
      <c r="L298" s="1" t="n">
        <v>3715.43</v>
      </c>
      <c r="M298" s="1" t="n">
        <v>957.1</v>
      </c>
      <c r="N298" s="1" t="s">
        <v>41</v>
      </c>
      <c r="P298" s="1" t="n">
        <v>3</v>
      </c>
      <c r="Q298" s="1" t="s">
        <v>42</v>
      </c>
      <c r="R298" s="1" t="s">
        <v>125</v>
      </c>
      <c r="S298" s="6" t="n">
        <v>46211</v>
      </c>
    </row>
    <row r="299" customFormat="false" ht="14.25" hidden="false" customHeight="true" outlineLevel="0" collapsed="false">
      <c r="A299" s="1" t="s">
        <v>1275</v>
      </c>
      <c r="B299" s="1" t="s">
        <v>1276</v>
      </c>
      <c r="C299" s="1" t="s">
        <v>376</v>
      </c>
      <c r="D299" s="1" t="s">
        <v>722</v>
      </c>
      <c r="E299" s="6" t="n">
        <v>46170</v>
      </c>
      <c r="F299" s="6" t="n">
        <v>46169</v>
      </c>
      <c r="G299" s="1" t="s">
        <v>108</v>
      </c>
      <c r="H299" s="1" t="s">
        <v>525</v>
      </c>
      <c r="I299" s="1" t="s">
        <v>1277</v>
      </c>
      <c r="J299" s="1" t="n">
        <v>4303.36</v>
      </c>
      <c r="K299" s="1" t="n">
        <v>3789.01</v>
      </c>
      <c r="L299" s="1" t="n">
        <v>3482.96</v>
      </c>
      <c r="M299" s="1" t="n">
        <v>306.05</v>
      </c>
      <c r="N299" s="1" t="s">
        <v>41</v>
      </c>
      <c r="P299" s="1" t="n">
        <v>6</v>
      </c>
      <c r="Q299" s="1" t="s">
        <v>42</v>
      </c>
      <c r="R299" s="1" t="s">
        <v>54</v>
      </c>
      <c r="S299" s="6" t="n">
        <v>46176</v>
      </c>
    </row>
    <row r="300" customFormat="false" ht="14.25" hidden="false" customHeight="true" outlineLevel="0" collapsed="false">
      <c r="A300" s="1" t="s">
        <v>1278</v>
      </c>
      <c r="B300" s="1" t="s">
        <v>475</v>
      </c>
      <c r="C300" s="1" t="s">
        <v>215</v>
      </c>
      <c r="D300" s="1" t="s">
        <v>368</v>
      </c>
      <c r="E300" s="6" t="n">
        <v>46106</v>
      </c>
      <c r="F300" s="6" t="n">
        <v>46105</v>
      </c>
      <c r="G300" s="1" t="s">
        <v>49</v>
      </c>
      <c r="H300" s="1" t="s">
        <v>612</v>
      </c>
      <c r="I300" s="1" t="s">
        <v>1279</v>
      </c>
      <c r="J300" s="1" t="n">
        <v>23281.54</v>
      </c>
      <c r="K300" s="1" t="n">
        <v>20075.95</v>
      </c>
      <c r="L300" s="1" t="n">
        <v>17465.35</v>
      </c>
      <c r="M300" s="1" t="n">
        <v>2610.6</v>
      </c>
      <c r="N300" s="1" t="s">
        <v>41</v>
      </c>
      <c r="P300" s="1" t="n">
        <v>5</v>
      </c>
      <c r="Q300" s="1" t="s">
        <v>155</v>
      </c>
      <c r="R300" s="1" t="s">
        <v>125</v>
      </c>
      <c r="S300" s="6" t="n">
        <v>46111</v>
      </c>
    </row>
    <row r="301" customFormat="false" ht="14.25" hidden="false" customHeight="true" outlineLevel="0" collapsed="false">
      <c r="A301" s="1" t="s">
        <v>1280</v>
      </c>
      <c r="B301" s="1" t="s">
        <v>666</v>
      </c>
      <c r="C301" s="1" t="s">
        <v>106</v>
      </c>
      <c r="D301" s="1" t="s">
        <v>336</v>
      </c>
      <c r="E301" s="6" t="n">
        <v>46040</v>
      </c>
      <c r="F301" s="6" t="n">
        <v>46035</v>
      </c>
      <c r="G301" s="1" t="s">
        <v>38</v>
      </c>
      <c r="H301" s="1" t="s">
        <v>1281</v>
      </c>
      <c r="I301" s="1" t="s">
        <v>1282</v>
      </c>
      <c r="J301" s="1" t="n">
        <v>40008.28</v>
      </c>
      <c r="K301" s="1" t="n">
        <v>34932.83</v>
      </c>
      <c r="L301" s="1" t="n">
        <v>30978.05</v>
      </c>
      <c r="M301" s="1" t="n">
        <v>3954.78</v>
      </c>
      <c r="N301" s="1" t="s">
        <v>41</v>
      </c>
      <c r="P301" s="1" t="n">
        <v>7</v>
      </c>
      <c r="Q301" s="1" t="s">
        <v>155</v>
      </c>
      <c r="R301" s="1" t="s">
        <v>54</v>
      </c>
      <c r="S301" s="6" t="n">
        <v>46047</v>
      </c>
    </row>
    <row r="302" customFormat="false" ht="14.25" hidden="false" customHeight="true" outlineLevel="0" collapsed="false">
      <c r="A302" s="1" t="s">
        <v>1283</v>
      </c>
      <c r="B302" s="1" t="s">
        <v>1284</v>
      </c>
      <c r="C302" s="1" t="s">
        <v>543</v>
      </c>
      <c r="D302" s="1" t="s">
        <v>635</v>
      </c>
      <c r="E302" s="6" t="n">
        <v>46077</v>
      </c>
      <c r="F302" s="6" t="n">
        <v>46076</v>
      </c>
      <c r="G302" s="1" t="s">
        <v>49</v>
      </c>
      <c r="H302" s="1" t="s">
        <v>1285</v>
      </c>
      <c r="I302" s="1" t="s">
        <v>1286</v>
      </c>
      <c r="J302" s="1" t="n">
        <v>20418.61</v>
      </c>
      <c r="K302" s="1" t="n">
        <v>17236.38</v>
      </c>
      <c r="L302" s="1" t="n">
        <v>17040.03</v>
      </c>
      <c r="M302" s="1" t="n">
        <v>196.35</v>
      </c>
      <c r="N302" s="1" t="s">
        <v>41</v>
      </c>
      <c r="P302" s="1" t="n">
        <v>3</v>
      </c>
      <c r="Q302" s="1" t="s">
        <v>42</v>
      </c>
      <c r="R302" s="1" t="s">
        <v>64</v>
      </c>
      <c r="S302" s="6" t="n">
        <v>46080</v>
      </c>
    </row>
    <row r="303" customFormat="false" ht="14.25" hidden="false" customHeight="true" outlineLevel="0" collapsed="false">
      <c r="A303" s="1" t="s">
        <v>1287</v>
      </c>
      <c r="B303" s="1" t="s">
        <v>67</v>
      </c>
      <c r="C303" s="1" t="s">
        <v>335</v>
      </c>
      <c r="D303" s="1" t="s">
        <v>69</v>
      </c>
      <c r="E303" s="6" t="n">
        <v>46058</v>
      </c>
      <c r="F303" s="6" t="n">
        <v>46056</v>
      </c>
      <c r="G303" s="1" t="s">
        <v>70</v>
      </c>
      <c r="H303" s="1" t="s">
        <v>656</v>
      </c>
      <c r="I303" s="1" t="s">
        <v>1288</v>
      </c>
      <c r="J303" s="1" t="n">
        <v>41686.62</v>
      </c>
      <c r="K303" s="1" t="n">
        <v>33507.54</v>
      </c>
      <c r="L303" s="1" t="n">
        <v>0</v>
      </c>
      <c r="M303" s="1" t="n">
        <v>33507.54</v>
      </c>
      <c r="N303" s="1" t="s">
        <v>111</v>
      </c>
      <c r="P303" s="1" t="n">
        <v>11</v>
      </c>
      <c r="Q303" s="1" t="s">
        <v>155</v>
      </c>
      <c r="R303" s="1" t="s">
        <v>125</v>
      </c>
    </row>
    <row r="304" customFormat="false" ht="14.25" hidden="false" customHeight="true" outlineLevel="0" collapsed="false">
      <c r="A304" s="1" t="s">
        <v>1289</v>
      </c>
      <c r="B304" s="1" t="s">
        <v>497</v>
      </c>
      <c r="C304" s="1" t="s">
        <v>215</v>
      </c>
      <c r="D304" s="1" t="s">
        <v>391</v>
      </c>
      <c r="E304" s="6" t="n">
        <v>46133</v>
      </c>
      <c r="F304" s="6" t="n">
        <v>46131</v>
      </c>
      <c r="G304" s="1" t="s">
        <v>38</v>
      </c>
      <c r="H304" s="1" t="s">
        <v>1290</v>
      </c>
      <c r="I304" s="1" t="s">
        <v>1291</v>
      </c>
      <c r="J304" s="1" t="n">
        <v>21988.24</v>
      </c>
      <c r="K304" s="1" t="n">
        <v>17102.57</v>
      </c>
      <c r="L304" s="1" t="n">
        <v>0</v>
      </c>
      <c r="M304" s="1" t="n">
        <v>17102.57</v>
      </c>
      <c r="N304" s="1" t="s">
        <v>111</v>
      </c>
      <c r="P304" s="1" t="n">
        <v>4</v>
      </c>
      <c r="Q304" s="1" t="s">
        <v>63</v>
      </c>
      <c r="R304" s="1" t="s">
        <v>64</v>
      </c>
    </row>
    <row r="305" customFormat="false" ht="14.25" hidden="false" customHeight="true" outlineLevel="0" collapsed="false">
      <c r="A305" s="1" t="s">
        <v>1292</v>
      </c>
      <c r="B305" s="1" t="s">
        <v>670</v>
      </c>
      <c r="C305" s="1" t="s">
        <v>296</v>
      </c>
      <c r="D305" s="1" t="s">
        <v>984</v>
      </c>
      <c r="E305" s="6" t="n">
        <v>46189</v>
      </c>
      <c r="F305" s="6" t="n">
        <v>46184</v>
      </c>
      <c r="G305" s="1" t="s">
        <v>70</v>
      </c>
      <c r="H305" s="1" t="s">
        <v>1293</v>
      </c>
      <c r="I305" s="1" t="s">
        <v>1294</v>
      </c>
      <c r="J305" s="1" t="n">
        <v>14889.8</v>
      </c>
      <c r="K305" s="1" t="n">
        <v>11632.01</v>
      </c>
      <c r="L305" s="1" t="n">
        <v>11362.17</v>
      </c>
      <c r="M305" s="1" t="n">
        <v>269.84</v>
      </c>
      <c r="N305" s="1" t="s">
        <v>41</v>
      </c>
      <c r="P305" s="1" t="n">
        <v>8</v>
      </c>
      <c r="Q305" s="1" t="s">
        <v>42</v>
      </c>
      <c r="R305" s="1" t="s">
        <v>43</v>
      </c>
      <c r="S305" s="6" t="n">
        <v>46197</v>
      </c>
    </row>
    <row r="306" customFormat="false" ht="14.25" hidden="false" customHeight="true" outlineLevel="0" collapsed="false">
      <c r="A306" s="1" t="s">
        <v>1295</v>
      </c>
      <c r="B306" s="1" t="s">
        <v>798</v>
      </c>
      <c r="C306" s="1" t="s">
        <v>92</v>
      </c>
      <c r="D306" s="1" t="s">
        <v>391</v>
      </c>
      <c r="E306" s="6" t="n">
        <v>46102</v>
      </c>
      <c r="F306" s="6" t="n">
        <v>46098</v>
      </c>
      <c r="G306" s="1" t="s">
        <v>70</v>
      </c>
      <c r="H306" s="1" t="s">
        <v>123</v>
      </c>
      <c r="I306" s="1" t="s">
        <v>1296</v>
      </c>
      <c r="J306" s="1" t="n">
        <v>4288.36</v>
      </c>
      <c r="K306" s="1" t="n">
        <v>2845.45</v>
      </c>
      <c r="L306" s="1" t="n">
        <v>2210.65</v>
      </c>
      <c r="M306" s="1" t="n">
        <v>634.8</v>
      </c>
      <c r="N306" s="1" t="s">
        <v>41</v>
      </c>
      <c r="P306" s="1" t="n">
        <v>7</v>
      </c>
      <c r="Q306" s="1" t="s">
        <v>42</v>
      </c>
      <c r="R306" s="1" t="s">
        <v>54</v>
      </c>
      <c r="S306" s="6" t="n">
        <v>46109</v>
      </c>
    </row>
    <row r="307" customFormat="false" ht="14.25" hidden="false" customHeight="true" outlineLevel="0" collapsed="false">
      <c r="A307" s="1" t="s">
        <v>1297</v>
      </c>
      <c r="B307" s="1" t="s">
        <v>1298</v>
      </c>
      <c r="C307" s="1" t="s">
        <v>436</v>
      </c>
      <c r="D307" s="1" t="s">
        <v>274</v>
      </c>
      <c r="E307" s="6" t="n">
        <v>46223</v>
      </c>
      <c r="F307" s="6" t="n">
        <v>46219</v>
      </c>
      <c r="G307" s="1" t="s">
        <v>70</v>
      </c>
      <c r="H307" s="1" t="s">
        <v>1202</v>
      </c>
      <c r="I307" s="1" t="s">
        <v>1299</v>
      </c>
      <c r="J307" s="1" t="n">
        <v>37155.55</v>
      </c>
      <c r="K307" s="1" t="n">
        <v>29310.66</v>
      </c>
      <c r="L307" s="1" t="n">
        <v>27743.84</v>
      </c>
      <c r="M307" s="1" t="n">
        <v>1566.82</v>
      </c>
      <c r="N307" s="1" t="s">
        <v>41</v>
      </c>
      <c r="P307" s="1" t="n">
        <v>7</v>
      </c>
      <c r="Q307" s="1" t="s">
        <v>42</v>
      </c>
      <c r="R307" s="1" t="s">
        <v>43</v>
      </c>
      <c r="S307" s="6" t="n">
        <v>46230</v>
      </c>
    </row>
    <row r="308" customFormat="false" ht="14.25" hidden="false" customHeight="true" outlineLevel="0" collapsed="false">
      <c r="A308" s="1" t="s">
        <v>1300</v>
      </c>
      <c r="B308" s="1" t="s">
        <v>846</v>
      </c>
      <c r="C308" s="1" t="s">
        <v>164</v>
      </c>
      <c r="D308" s="1" t="s">
        <v>159</v>
      </c>
      <c r="E308" s="6" t="n">
        <v>46184</v>
      </c>
      <c r="F308" s="6" t="n">
        <v>46182</v>
      </c>
      <c r="G308" s="1" t="s">
        <v>49</v>
      </c>
      <c r="H308" s="1" t="s">
        <v>1301</v>
      </c>
      <c r="I308" s="1" t="s">
        <v>1302</v>
      </c>
      <c r="J308" s="1" t="n">
        <v>45946.54</v>
      </c>
      <c r="K308" s="1" t="n">
        <v>41030.34</v>
      </c>
      <c r="L308" s="1" t="n">
        <v>32937.81</v>
      </c>
      <c r="M308" s="1" t="n">
        <v>8092.53</v>
      </c>
      <c r="N308" s="1" t="s">
        <v>41</v>
      </c>
      <c r="P308" s="1" t="n">
        <v>2</v>
      </c>
      <c r="Q308" s="1" t="s">
        <v>155</v>
      </c>
      <c r="R308" s="1" t="s">
        <v>43</v>
      </c>
      <c r="S308" s="6" t="n">
        <v>46186</v>
      </c>
    </row>
    <row r="309" customFormat="false" ht="14.25" hidden="false" customHeight="true" outlineLevel="0" collapsed="false">
      <c r="A309" s="1" t="s">
        <v>1303</v>
      </c>
      <c r="B309" s="1" t="s">
        <v>1052</v>
      </c>
      <c r="C309" s="1" t="s">
        <v>516</v>
      </c>
      <c r="D309" s="1" t="s">
        <v>529</v>
      </c>
      <c r="E309" s="6" t="n">
        <v>46052</v>
      </c>
      <c r="F309" s="6" t="n">
        <v>46052</v>
      </c>
      <c r="G309" s="1" t="s">
        <v>70</v>
      </c>
      <c r="H309" s="1" t="s">
        <v>1112</v>
      </c>
      <c r="I309" s="1" t="s">
        <v>1304</v>
      </c>
      <c r="J309" s="1" t="n">
        <v>24117.43</v>
      </c>
      <c r="K309" s="1" t="n">
        <v>20681.71</v>
      </c>
      <c r="L309" s="1" t="n">
        <v>20003.25</v>
      </c>
      <c r="M309" s="1" t="n">
        <v>678.46</v>
      </c>
      <c r="N309" s="1" t="s">
        <v>41</v>
      </c>
      <c r="P309" s="1" t="n">
        <v>8</v>
      </c>
      <c r="Q309" s="1" t="s">
        <v>63</v>
      </c>
      <c r="R309" s="1" t="s">
        <v>54</v>
      </c>
      <c r="S309" s="6" t="n">
        <v>46060</v>
      </c>
    </row>
    <row r="310" customFormat="false" ht="14.25" hidden="false" customHeight="true" outlineLevel="0" collapsed="false">
      <c r="A310" s="1" t="s">
        <v>1305</v>
      </c>
      <c r="B310" s="1" t="s">
        <v>533</v>
      </c>
      <c r="C310" s="1" t="s">
        <v>129</v>
      </c>
      <c r="D310" s="1" t="s">
        <v>331</v>
      </c>
      <c r="E310" s="6" t="n">
        <v>46056</v>
      </c>
      <c r="F310" s="6" t="n">
        <v>46055</v>
      </c>
      <c r="G310" s="1" t="s">
        <v>38</v>
      </c>
      <c r="H310" s="1" t="s">
        <v>1306</v>
      </c>
      <c r="I310" s="1" t="s">
        <v>1307</v>
      </c>
      <c r="J310" s="1" t="n">
        <v>6039.67</v>
      </c>
      <c r="K310" s="1" t="n">
        <v>3954.57</v>
      </c>
      <c r="L310" s="1" t="n">
        <v>3925.43</v>
      </c>
      <c r="M310" s="1" t="n">
        <v>29.14</v>
      </c>
      <c r="N310" s="1" t="s">
        <v>41</v>
      </c>
      <c r="P310" s="1" t="n">
        <v>1</v>
      </c>
      <c r="Q310" s="1" t="s">
        <v>63</v>
      </c>
      <c r="R310" s="1" t="s">
        <v>125</v>
      </c>
      <c r="S310" s="6" t="n">
        <v>46057</v>
      </c>
    </row>
    <row r="311" customFormat="false" ht="14.25" hidden="false" customHeight="true" outlineLevel="0" collapsed="false">
      <c r="A311" s="1" t="s">
        <v>1308</v>
      </c>
      <c r="B311" s="1" t="s">
        <v>207</v>
      </c>
      <c r="C311" s="1" t="s">
        <v>176</v>
      </c>
      <c r="D311" s="1" t="s">
        <v>99</v>
      </c>
      <c r="E311" s="6" t="n">
        <v>46187</v>
      </c>
      <c r="F311" s="6" t="n">
        <v>46183</v>
      </c>
      <c r="G311" s="1" t="s">
        <v>49</v>
      </c>
      <c r="H311" s="1" t="s">
        <v>997</v>
      </c>
      <c r="I311" s="1" t="s">
        <v>1309</v>
      </c>
      <c r="J311" s="1" t="n">
        <v>15395.43</v>
      </c>
      <c r="K311" s="1" t="n">
        <v>12147.42</v>
      </c>
      <c r="L311" s="1" t="n">
        <v>10550</v>
      </c>
      <c r="M311" s="1" t="n">
        <v>1597.42</v>
      </c>
      <c r="N311" s="1" t="s">
        <v>41</v>
      </c>
      <c r="P311" s="1" t="n">
        <v>1</v>
      </c>
      <c r="Q311" s="1" t="s">
        <v>155</v>
      </c>
      <c r="R311" s="1" t="s">
        <v>125</v>
      </c>
      <c r="S311" s="6" t="n">
        <v>46188</v>
      </c>
    </row>
    <row r="312" customFormat="false" ht="14.25" hidden="false" customHeight="true" outlineLevel="0" collapsed="false">
      <c r="A312" s="1" t="s">
        <v>1310</v>
      </c>
      <c r="B312" s="1" t="s">
        <v>1311</v>
      </c>
      <c r="C312" s="1" t="s">
        <v>92</v>
      </c>
      <c r="D312" s="1" t="s">
        <v>320</v>
      </c>
      <c r="E312" s="6" t="n">
        <v>46142</v>
      </c>
      <c r="F312" s="6" t="n">
        <v>46138</v>
      </c>
      <c r="G312" s="1" t="s">
        <v>49</v>
      </c>
      <c r="H312" s="1" t="s">
        <v>1312</v>
      </c>
      <c r="I312" s="1" t="s">
        <v>1313</v>
      </c>
      <c r="J312" s="1" t="n">
        <v>15094.15</v>
      </c>
      <c r="K312" s="1" t="n">
        <v>13567.15</v>
      </c>
      <c r="L312" s="1" t="n">
        <v>11504.04</v>
      </c>
      <c r="M312" s="1" t="n">
        <v>2063.11</v>
      </c>
      <c r="N312" s="1" t="s">
        <v>41</v>
      </c>
      <c r="P312" s="1" t="n">
        <v>6</v>
      </c>
      <c r="Q312" s="1" t="s">
        <v>42</v>
      </c>
      <c r="R312" s="1" t="s">
        <v>64</v>
      </c>
      <c r="S312" s="6" t="n">
        <v>46148</v>
      </c>
    </row>
    <row r="313" customFormat="false" ht="14.25" hidden="false" customHeight="true" outlineLevel="0" collapsed="false">
      <c r="A313" s="1" t="s">
        <v>1314</v>
      </c>
      <c r="B313" s="1" t="s">
        <v>582</v>
      </c>
      <c r="C313" s="1" t="s">
        <v>47</v>
      </c>
      <c r="D313" s="1" t="s">
        <v>937</v>
      </c>
      <c r="E313" s="6" t="n">
        <v>46180</v>
      </c>
      <c r="F313" s="6" t="n">
        <v>46175</v>
      </c>
      <c r="G313" s="1" t="s">
        <v>108</v>
      </c>
      <c r="H313" s="1" t="s">
        <v>1315</v>
      </c>
      <c r="I313" s="1" t="s">
        <v>1316</v>
      </c>
      <c r="J313" s="1" t="n">
        <v>14893.34</v>
      </c>
      <c r="K313" s="1" t="n">
        <v>11858.81</v>
      </c>
      <c r="L313" s="1" t="n">
        <v>10335.25</v>
      </c>
      <c r="M313" s="1" t="n">
        <v>1523.56</v>
      </c>
      <c r="N313" s="1" t="s">
        <v>41</v>
      </c>
      <c r="P313" s="1" t="n">
        <v>8</v>
      </c>
      <c r="Q313" s="1" t="s">
        <v>42</v>
      </c>
      <c r="R313" s="1" t="s">
        <v>54</v>
      </c>
      <c r="S313" s="6" t="n">
        <v>46188</v>
      </c>
    </row>
    <row r="314" customFormat="false" ht="14.25" hidden="false" customHeight="true" outlineLevel="0" collapsed="false">
      <c r="A314" s="1" t="s">
        <v>1317</v>
      </c>
      <c r="B314" s="1" t="s">
        <v>1318</v>
      </c>
      <c r="C314" s="1" t="s">
        <v>221</v>
      </c>
      <c r="D314" s="1" t="s">
        <v>538</v>
      </c>
      <c r="E314" s="6" t="n">
        <v>46096</v>
      </c>
      <c r="F314" s="6" t="n">
        <v>46091</v>
      </c>
      <c r="G314" s="1" t="s">
        <v>108</v>
      </c>
      <c r="H314" s="1" t="s">
        <v>1319</v>
      </c>
      <c r="I314" s="1" t="s">
        <v>1320</v>
      </c>
      <c r="J314" s="1" t="n">
        <v>23930.23</v>
      </c>
      <c r="K314" s="1" t="n">
        <v>19106.77</v>
      </c>
      <c r="L314" s="1" t="n">
        <v>18815.22</v>
      </c>
      <c r="M314" s="1" t="n">
        <v>291.55</v>
      </c>
      <c r="N314" s="1" t="s">
        <v>41</v>
      </c>
      <c r="P314" s="1" t="n">
        <v>6</v>
      </c>
      <c r="Q314" s="1" t="s">
        <v>42</v>
      </c>
      <c r="R314" s="1" t="s">
        <v>140</v>
      </c>
      <c r="S314" s="6" t="n">
        <v>46102</v>
      </c>
    </row>
    <row r="315" customFormat="false" ht="14.25" hidden="false" customHeight="true" outlineLevel="0" collapsed="false">
      <c r="A315" s="1" t="s">
        <v>1321</v>
      </c>
      <c r="B315" s="1" t="s">
        <v>220</v>
      </c>
      <c r="C315" s="1" t="s">
        <v>376</v>
      </c>
      <c r="D315" s="1" t="s">
        <v>222</v>
      </c>
      <c r="E315" s="6" t="n">
        <v>46145</v>
      </c>
      <c r="F315" s="6" t="n">
        <v>46143</v>
      </c>
      <c r="G315" s="1" t="s">
        <v>49</v>
      </c>
      <c r="H315" s="1" t="s">
        <v>184</v>
      </c>
      <c r="I315" s="1" t="s">
        <v>1322</v>
      </c>
      <c r="J315" s="1" t="n">
        <v>25627.98</v>
      </c>
      <c r="K315" s="1" t="n">
        <v>21176.34</v>
      </c>
      <c r="L315" s="1" t="n">
        <v>19508.57</v>
      </c>
      <c r="M315" s="1" t="n">
        <v>1667.77</v>
      </c>
      <c r="N315" s="1" t="s">
        <v>41</v>
      </c>
      <c r="P315" s="1" t="n">
        <v>8</v>
      </c>
      <c r="Q315" s="1" t="s">
        <v>63</v>
      </c>
      <c r="R315" s="1" t="s">
        <v>125</v>
      </c>
      <c r="S315" s="6" t="n">
        <v>46153</v>
      </c>
    </row>
    <row r="316" customFormat="false" ht="14.25" hidden="false" customHeight="true" outlineLevel="0" collapsed="false">
      <c r="A316" s="1" t="s">
        <v>1323</v>
      </c>
      <c r="B316" s="1" t="s">
        <v>1232</v>
      </c>
      <c r="C316" s="1" t="s">
        <v>176</v>
      </c>
      <c r="D316" s="1" t="s">
        <v>86</v>
      </c>
      <c r="E316" s="6" t="n">
        <v>46068</v>
      </c>
      <c r="F316" s="6" t="n">
        <v>46064</v>
      </c>
      <c r="G316" s="1" t="s">
        <v>49</v>
      </c>
      <c r="H316" s="1" t="s">
        <v>1324</v>
      </c>
      <c r="I316" s="1" t="s">
        <v>1325</v>
      </c>
      <c r="J316" s="1" t="n">
        <v>34689.53</v>
      </c>
      <c r="K316" s="1" t="n">
        <v>23445.18</v>
      </c>
      <c r="L316" s="1" t="n">
        <v>20414.24</v>
      </c>
      <c r="M316" s="1" t="n">
        <v>3030.94</v>
      </c>
      <c r="N316" s="1" t="s">
        <v>41</v>
      </c>
      <c r="P316" s="1" t="n">
        <v>3</v>
      </c>
      <c r="Q316" s="1" t="s">
        <v>63</v>
      </c>
      <c r="R316" s="1" t="s">
        <v>102</v>
      </c>
      <c r="S316" s="6" t="n">
        <v>46071</v>
      </c>
    </row>
    <row r="317" customFormat="false" ht="14.25" hidden="false" customHeight="true" outlineLevel="0" collapsed="false">
      <c r="A317" s="1" t="s">
        <v>1326</v>
      </c>
      <c r="B317" s="1" t="s">
        <v>1327</v>
      </c>
      <c r="C317" s="1" t="s">
        <v>115</v>
      </c>
      <c r="D317" s="1" t="s">
        <v>152</v>
      </c>
      <c r="E317" s="6" t="n">
        <v>46084</v>
      </c>
      <c r="F317" s="6" t="n">
        <v>46083</v>
      </c>
      <c r="G317" s="1" t="s">
        <v>108</v>
      </c>
      <c r="H317" s="1" t="s">
        <v>1328</v>
      </c>
      <c r="I317" s="1" t="s">
        <v>1329</v>
      </c>
      <c r="J317" s="1" t="n">
        <v>49963.43</v>
      </c>
      <c r="K317" s="1" t="n">
        <v>37854.09</v>
      </c>
      <c r="L317" s="1" t="n">
        <v>30858.73</v>
      </c>
      <c r="M317" s="1" t="n">
        <v>6995.36</v>
      </c>
      <c r="N317" s="1" t="s">
        <v>41</v>
      </c>
      <c r="P317" s="1" t="n">
        <v>3</v>
      </c>
      <c r="Q317" s="1" t="s">
        <v>155</v>
      </c>
      <c r="R317" s="1" t="s">
        <v>64</v>
      </c>
      <c r="S317" s="6" t="n">
        <v>46087</v>
      </c>
    </row>
    <row r="318" customFormat="false" ht="14.25" hidden="false" customHeight="true" outlineLevel="0" collapsed="false">
      <c r="A318" s="1" t="s">
        <v>1330</v>
      </c>
      <c r="B318" s="1" t="s">
        <v>778</v>
      </c>
      <c r="C318" s="1" t="s">
        <v>144</v>
      </c>
      <c r="D318" s="1" t="s">
        <v>99</v>
      </c>
      <c r="E318" s="6" t="n">
        <v>46081</v>
      </c>
      <c r="F318" s="6" t="n">
        <v>46081</v>
      </c>
      <c r="G318" s="1" t="s">
        <v>108</v>
      </c>
      <c r="H318" s="1" t="s">
        <v>1331</v>
      </c>
      <c r="I318" s="1" t="s">
        <v>1332</v>
      </c>
      <c r="J318" s="1" t="n">
        <v>24575.08</v>
      </c>
      <c r="K318" s="1" t="n">
        <v>23299.61</v>
      </c>
      <c r="L318" s="1" t="n">
        <v>22046.59</v>
      </c>
      <c r="M318" s="1" t="n">
        <v>1253.02</v>
      </c>
      <c r="N318" s="1" t="s">
        <v>41</v>
      </c>
      <c r="P318" s="1" t="n">
        <v>1</v>
      </c>
      <c r="Q318" s="1" t="s">
        <v>63</v>
      </c>
      <c r="R318" s="1" t="s">
        <v>125</v>
      </c>
      <c r="S318" s="6" t="n">
        <v>46082</v>
      </c>
    </row>
    <row r="319" customFormat="false" ht="14.25" hidden="false" customHeight="true" outlineLevel="0" collapsed="false">
      <c r="A319" s="1" t="s">
        <v>1333</v>
      </c>
      <c r="B319" s="1" t="s">
        <v>330</v>
      </c>
      <c r="C319" s="1" t="s">
        <v>671</v>
      </c>
      <c r="D319" s="1" t="s">
        <v>48</v>
      </c>
      <c r="E319" s="6" t="n">
        <v>46140</v>
      </c>
      <c r="F319" s="6" t="n">
        <v>46140</v>
      </c>
      <c r="G319" s="1" t="s">
        <v>108</v>
      </c>
      <c r="H319" s="1" t="s">
        <v>1334</v>
      </c>
      <c r="I319" s="1" t="s">
        <v>1335</v>
      </c>
      <c r="J319" s="1" t="n">
        <v>39191.79</v>
      </c>
      <c r="K319" s="1" t="n">
        <v>32642.71</v>
      </c>
      <c r="L319" s="1" t="n">
        <v>0</v>
      </c>
      <c r="M319" s="1" t="n">
        <v>32642.71</v>
      </c>
      <c r="N319" s="1" t="s">
        <v>260</v>
      </c>
      <c r="P319" s="1" t="n">
        <v>2</v>
      </c>
      <c r="Q319" s="1" t="s">
        <v>155</v>
      </c>
      <c r="R319" s="1" t="s">
        <v>102</v>
      </c>
    </row>
    <row r="320" customFormat="false" ht="14.25" hidden="false" customHeight="true" outlineLevel="0" collapsed="false">
      <c r="A320" s="1" t="s">
        <v>1336</v>
      </c>
      <c r="B320" s="1" t="s">
        <v>345</v>
      </c>
      <c r="C320" s="1" t="s">
        <v>78</v>
      </c>
      <c r="D320" s="1" t="s">
        <v>257</v>
      </c>
      <c r="E320" s="6" t="n">
        <v>46068</v>
      </c>
      <c r="F320" s="6" t="n">
        <v>46063</v>
      </c>
      <c r="G320" s="1" t="s">
        <v>70</v>
      </c>
      <c r="H320" s="1" t="s">
        <v>1337</v>
      </c>
      <c r="I320" s="1" t="s">
        <v>1338</v>
      </c>
      <c r="J320" s="1" t="n">
        <v>22355.14</v>
      </c>
      <c r="K320" s="1" t="n">
        <v>17923.66</v>
      </c>
      <c r="L320" s="1" t="n">
        <v>16725.25</v>
      </c>
      <c r="M320" s="1" t="n">
        <v>1198.41</v>
      </c>
      <c r="N320" s="1" t="s">
        <v>41</v>
      </c>
      <c r="P320" s="1" t="n">
        <v>2</v>
      </c>
      <c r="Q320" s="1" t="s">
        <v>155</v>
      </c>
      <c r="R320" s="1" t="s">
        <v>125</v>
      </c>
      <c r="S320" s="6" t="n">
        <v>46070</v>
      </c>
    </row>
    <row r="321" customFormat="false" ht="14.25" hidden="false" customHeight="true" outlineLevel="0" collapsed="false">
      <c r="A321" s="1" t="s">
        <v>1339</v>
      </c>
      <c r="B321" s="1" t="s">
        <v>822</v>
      </c>
      <c r="C321" s="1" t="s">
        <v>376</v>
      </c>
      <c r="D321" s="1" t="s">
        <v>48</v>
      </c>
      <c r="E321" s="6" t="n">
        <v>46077</v>
      </c>
      <c r="F321" s="6" t="n">
        <v>46074</v>
      </c>
      <c r="G321" s="1" t="s">
        <v>38</v>
      </c>
      <c r="H321" s="1" t="s">
        <v>1340</v>
      </c>
      <c r="I321" s="1" t="s">
        <v>1341</v>
      </c>
      <c r="J321" s="1" t="n">
        <v>38576.36</v>
      </c>
      <c r="K321" s="1" t="n">
        <v>25150.87</v>
      </c>
      <c r="L321" s="1" t="n">
        <v>0</v>
      </c>
      <c r="M321" s="1" t="n">
        <v>25150.87</v>
      </c>
      <c r="N321" s="1" t="s">
        <v>260</v>
      </c>
      <c r="P321" s="1" t="n">
        <v>8</v>
      </c>
      <c r="Q321" s="1" t="s">
        <v>63</v>
      </c>
      <c r="R321" s="1" t="s">
        <v>74</v>
      </c>
    </row>
    <row r="322" customFormat="false" ht="14.25" hidden="false" customHeight="true" outlineLevel="0" collapsed="false">
      <c r="A322" s="1" t="s">
        <v>1342</v>
      </c>
      <c r="B322" s="1" t="s">
        <v>1343</v>
      </c>
      <c r="C322" s="1" t="s">
        <v>158</v>
      </c>
      <c r="D322" s="1" t="s">
        <v>387</v>
      </c>
      <c r="E322" s="6" t="n">
        <v>46219</v>
      </c>
      <c r="F322" s="6" t="n">
        <v>46216</v>
      </c>
      <c r="G322" s="1" t="s">
        <v>49</v>
      </c>
      <c r="H322" s="1" t="s">
        <v>1344</v>
      </c>
      <c r="I322" s="1" t="s">
        <v>1345</v>
      </c>
      <c r="J322" s="1" t="n">
        <v>33417.27</v>
      </c>
      <c r="K322" s="1" t="n">
        <v>23241.16</v>
      </c>
      <c r="L322" s="1" t="n">
        <v>21808.97</v>
      </c>
      <c r="M322" s="1" t="n">
        <v>1432.19</v>
      </c>
      <c r="N322" s="1" t="s">
        <v>41</v>
      </c>
      <c r="P322" s="1" t="n">
        <v>7</v>
      </c>
      <c r="Q322" s="1" t="s">
        <v>42</v>
      </c>
      <c r="R322" s="1" t="s">
        <v>125</v>
      </c>
      <c r="S322" s="6" t="n">
        <v>46226</v>
      </c>
    </row>
    <row r="323" customFormat="false" ht="14.25" hidden="false" customHeight="true" outlineLevel="0" collapsed="false">
      <c r="A323" s="1" t="s">
        <v>1346</v>
      </c>
      <c r="B323" s="1" t="s">
        <v>232</v>
      </c>
      <c r="C323" s="1" t="s">
        <v>386</v>
      </c>
      <c r="D323" s="1" t="s">
        <v>250</v>
      </c>
      <c r="E323" s="6" t="n">
        <v>46199</v>
      </c>
      <c r="F323" s="6" t="n">
        <v>46197</v>
      </c>
      <c r="G323" s="1" t="s">
        <v>38</v>
      </c>
      <c r="H323" s="1" t="s">
        <v>1347</v>
      </c>
      <c r="I323" s="1" t="s">
        <v>1348</v>
      </c>
      <c r="J323" s="1" t="n">
        <v>22407.65</v>
      </c>
      <c r="K323" s="1" t="n">
        <v>19742.16</v>
      </c>
      <c r="L323" s="1" t="n">
        <v>0</v>
      </c>
      <c r="M323" s="1" t="n">
        <v>19742.16</v>
      </c>
      <c r="N323" s="1" t="s">
        <v>52</v>
      </c>
      <c r="O323" s="1" t="s">
        <v>53</v>
      </c>
      <c r="P323" s="1" t="n">
        <v>2</v>
      </c>
      <c r="Q323" s="1" t="s">
        <v>63</v>
      </c>
      <c r="R323" s="1" t="s">
        <v>125</v>
      </c>
    </row>
    <row r="324" customFormat="false" ht="14.25" hidden="false" customHeight="true" outlineLevel="0" collapsed="false">
      <c r="A324" s="1" t="s">
        <v>1349</v>
      </c>
      <c r="B324" s="1" t="s">
        <v>1066</v>
      </c>
      <c r="C324" s="1" t="s">
        <v>164</v>
      </c>
      <c r="D324" s="1" t="s">
        <v>485</v>
      </c>
      <c r="E324" s="6" t="n">
        <v>46037</v>
      </c>
      <c r="F324" s="6" t="n">
        <v>46032</v>
      </c>
      <c r="G324" s="1" t="s">
        <v>70</v>
      </c>
      <c r="H324" s="1" t="s">
        <v>1350</v>
      </c>
      <c r="I324" s="1" t="s">
        <v>1351</v>
      </c>
      <c r="J324" s="1" t="n">
        <v>7972.13</v>
      </c>
      <c r="K324" s="1" t="n">
        <v>6556.02</v>
      </c>
      <c r="L324" s="1" t="n">
        <v>0</v>
      </c>
      <c r="M324" s="1" t="n">
        <v>6556.02</v>
      </c>
      <c r="N324" s="1" t="s">
        <v>52</v>
      </c>
      <c r="O324" s="1" t="s">
        <v>62</v>
      </c>
      <c r="P324" s="1" t="n">
        <v>5</v>
      </c>
      <c r="Q324" s="1" t="s">
        <v>63</v>
      </c>
      <c r="R324" s="1" t="s">
        <v>54</v>
      </c>
    </row>
    <row r="325" customFormat="false" ht="14.25" hidden="false" customHeight="true" outlineLevel="0" collapsed="false">
      <c r="A325" s="1" t="s">
        <v>1352</v>
      </c>
      <c r="B325" s="1" t="s">
        <v>1353</v>
      </c>
      <c r="C325" s="1" t="s">
        <v>325</v>
      </c>
      <c r="D325" s="1" t="s">
        <v>382</v>
      </c>
      <c r="E325" s="6" t="n">
        <v>46098</v>
      </c>
      <c r="F325" s="6" t="n">
        <v>46094</v>
      </c>
      <c r="G325" s="1" t="s">
        <v>49</v>
      </c>
      <c r="H325" s="1" t="s">
        <v>1030</v>
      </c>
      <c r="I325" s="1" t="s">
        <v>1354</v>
      </c>
      <c r="J325" s="1" t="n">
        <v>7769.66</v>
      </c>
      <c r="K325" s="1" t="n">
        <v>5991.82</v>
      </c>
      <c r="L325" s="1" t="n">
        <v>0</v>
      </c>
      <c r="M325" s="1" t="n">
        <v>5991.82</v>
      </c>
      <c r="N325" s="1" t="s">
        <v>111</v>
      </c>
      <c r="P325" s="1" t="n">
        <v>14</v>
      </c>
      <c r="Q325" s="1" t="s">
        <v>42</v>
      </c>
      <c r="R325" s="1" t="s">
        <v>43</v>
      </c>
    </row>
    <row r="326" customFormat="false" ht="14.25" hidden="false" customHeight="true" outlineLevel="0" collapsed="false">
      <c r="A326" s="1" t="s">
        <v>1355</v>
      </c>
      <c r="B326" s="1" t="s">
        <v>480</v>
      </c>
      <c r="C326" s="1" t="s">
        <v>325</v>
      </c>
      <c r="D326" s="1" t="s">
        <v>1077</v>
      </c>
      <c r="E326" s="6" t="n">
        <v>46222</v>
      </c>
      <c r="F326" s="6" t="n">
        <v>46221</v>
      </c>
      <c r="G326" s="1" t="s">
        <v>38</v>
      </c>
      <c r="H326" s="1" t="s">
        <v>1356</v>
      </c>
      <c r="I326" s="1" t="s">
        <v>1357</v>
      </c>
      <c r="J326" s="1" t="n">
        <v>4671.91</v>
      </c>
      <c r="K326" s="1" t="n">
        <v>3789.99</v>
      </c>
      <c r="L326" s="1" t="n">
        <v>0</v>
      </c>
      <c r="M326" s="1" t="n">
        <v>3789.99</v>
      </c>
      <c r="N326" s="1" t="s">
        <v>52</v>
      </c>
      <c r="O326" s="1" t="s">
        <v>265</v>
      </c>
      <c r="P326" s="1" t="n">
        <v>7</v>
      </c>
      <c r="Q326" s="1" t="s">
        <v>42</v>
      </c>
      <c r="R326" s="1" t="s">
        <v>102</v>
      </c>
    </row>
    <row r="327" customFormat="false" ht="14.25" hidden="false" customHeight="true" outlineLevel="0" collapsed="false">
      <c r="A327" s="1" t="s">
        <v>1358</v>
      </c>
      <c r="B327" s="1" t="s">
        <v>1052</v>
      </c>
      <c r="C327" s="1" t="s">
        <v>623</v>
      </c>
      <c r="D327" s="1" t="s">
        <v>387</v>
      </c>
      <c r="E327" s="6" t="n">
        <v>46158</v>
      </c>
      <c r="F327" s="6" t="n">
        <v>46156</v>
      </c>
      <c r="G327" s="1" t="s">
        <v>108</v>
      </c>
      <c r="H327" s="1" t="s">
        <v>1359</v>
      </c>
      <c r="I327" s="1" t="s">
        <v>1360</v>
      </c>
      <c r="J327" s="1" t="n">
        <v>8421.35</v>
      </c>
      <c r="K327" s="1" t="n">
        <v>5544.34</v>
      </c>
      <c r="L327" s="1" t="n">
        <v>0</v>
      </c>
      <c r="M327" s="1" t="n">
        <v>5544.34</v>
      </c>
      <c r="N327" s="1" t="s">
        <v>52</v>
      </c>
      <c r="O327" s="1" t="s">
        <v>265</v>
      </c>
      <c r="P327" s="1" t="n">
        <v>5</v>
      </c>
      <c r="Q327" s="1" t="s">
        <v>63</v>
      </c>
      <c r="R327" s="1" t="s">
        <v>102</v>
      </c>
    </row>
    <row r="328" customFormat="false" ht="14.25" hidden="false" customHeight="true" outlineLevel="0" collapsed="false">
      <c r="A328" s="1" t="s">
        <v>1361</v>
      </c>
      <c r="B328" s="1" t="s">
        <v>429</v>
      </c>
      <c r="C328" s="1" t="s">
        <v>361</v>
      </c>
      <c r="D328" s="1" t="s">
        <v>93</v>
      </c>
      <c r="E328" s="6" t="n">
        <v>46187</v>
      </c>
      <c r="F328" s="6" t="n">
        <v>46183</v>
      </c>
      <c r="G328" s="1" t="s">
        <v>49</v>
      </c>
      <c r="H328" s="1" t="s">
        <v>1362</v>
      </c>
      <c r="I328" s="1" t="s">
        <v>1363</v>
      </c>
      <c r="J328" s="1" t="n">
        <v>2862.78</v>
      </c>
      <c r="K328" s="1" t="n">
        <v>2419.88</v>
      </c>
      <c r="L328" s="1" t="n">
        <v>1890.38</v>
      </c>
      <c r="M328" s="1" t="n">
        <v>529.5</v>
      </c>
      <c r="N328" s="1" t="s">
        <v>41</v>
      </c>
      <c r="P328" s="1" t="n">
        <v>5</v>
      </c>
      <c r="Q328" s="1" t="s">
        <v>42</v>
      </c>
      <c r="R328" s="1" t="s">
        <v>64</v>
      </c>
      <c r="S328" s="6" t="n">
        <v>46192</v>
      </c>
    </row>
    <row r="329" customFormat="false" ht="14.25" hidden="false" customHeight="true" outlineLevel="0" collapsed="false">
      <c r="A329" s="1" t="s">
        <v>1364</v>
      </c>
      <c r="B329" s="1" t="s">
        <v>670</v>
      </c>
      <c r="C329" s="1" t="s">
        <v>376</v>
      </c>
      <c r="D329" s="1" t="s">
        <v>377</v>
      </c>
      <c r="E329" s="6" t="n">
        <v>46172</v>
      </c>
      <c r="F329" s="6" t="n">
        <v>46167</v>
      </c>
      <c r="G329" s="1" t="s">
        <v>38</v>
      </c>
      <c r="H329" s="1" t="s">
        <v>1365</v>
      </c>
      <c r="I329" s="1" t="s">
        <v>1366</v>
      </c>
      <c r="J329" s="1" t="n">
        <v>31573.35</v>
      </c>
      <c r="K329" s="1" t="n">
        <v>25573.99</v>
      </c>
      <c r="L329" s="1" t="n">
        <v>0</v>
      </c>
      <c r="M329" s="1" t="n">
        <v>25573.99</v>
      </c>
      <c r="N329" s="1" t="s">
        <v>52</v>
      </c>
      <c r="O329" s="1" t="s">
        <v>230</v>
      </c>
      <c r="P329" s="1" t="n">
        <v>4</v>
      </c>
      <c r="Q329" s="1" t="s">
        <v>42</v>
      </c>
      <c r="R329" s="1" t="s">
        <v>74</v>
      </c>
    </row>
    <row r="330" customFormat="false" ht="14.25" hidden="false" customHeight="true" outlineLevel="0" collapsed="false">
      <c r="A330" s="1" t="s">
        <v>1367</v>
      </c>
      <c r="B330" s="1" t="s">
        <v>1368</v>
      </c>
      <c r="C330" s="1" t="s">
        <v>47</v>
      </c>
      <c r="D330" s="1" t="s">
        <v>387</v>
      </c>
      <c r="E330" s="6" t="n">
        <v>46086</v>
      </c>
      <c r="F330" s="6" t="n">
        <v>46086</v>
      </c>
      <c r="G330" s="1" t="s">
        <v>49</v>
      </c>
      <c r="H330" s="1" t="s">
        <v>1369</v>
      </c>
      <c r="I330" s="1" t="s">
        <v>1370</v>
      </c>
      <c r="J330" s="1" t="n">
        <v>29327.27</v>
      </c>
      <c r="K330" s="1" t="n">
        <v>26302.24</v>
      </c>
      <c r="L330" s="1" t="n">
        <v>22102.22</v>
      </c>
      <c r="M330" s="1" t="n">
        <v>4200.02</v>
      </c>
      <c r="N330" s="1" t="s">
        <v>41</v>
      </c>
      <c r="P330" s="1" t="n">
        <v>2</v>
      </c>
      <c r="Q330" s="1" t="s">
        <v>155</v>
      </c>
      <c r="R330" s="1" t="s">
        <v>43</v>
      </c>
      <c r="S330" s="6" t="n">
        <v>46088</v>
      </c>
    </row>
    <row r="331" customFormat="false" ht="14.25" hidden="false" customHeight="true" outlineLevel="0" collapsed="false">
      <c r="A331" s="1" t="s">
        <v>1371</v>
      </c>
      <c r="B331" s="1" t="s">
        <v>1372</v>
      </c>
      <c r="C331" s="1" t="s">
        <v>430</v>
      </c>
      <c r="D331" s="1" t="s">
        <v>1128</v>
      </c>
      <c r="E331" s="6" t="n">
        <v>46059</v>
      </c>
      <c r="F331" s="6" t="n">
        <v>46056</v>
      </c>
      <c r="G331" s="1" t="s">
        <v>49</v>
      </c>
      <c r="H331" s="1" t="s">
        <v>1373</v>
      </c>
      <c r="I331" s="1" t="s">
        <v>1374</v>
      </c>
      <c r="J331" s="1" t="n">
        <v>4364.6</v>
      </c>
      <c r="K331" s="1" t="n">
        <v>3723.21</v>
      </c>
      <c r="L331" s="1" t="n">
        <v>3167.29</v>
      </c>
      <c r="M331" s="1" t="n">
        <v>555.92</v>
      </c>
      <c r="N331" s="1" t="s">
        <v>41</v>
      </c>
      <c r="P331" s="1" t="n">
        <v>7</v>
      </c>
      <c r="Q331" s="1" t="s">
        <v>42</v>
      </c>
      <c r="R331" s="1" t="s">
        <v>43</v>
      </c>
      <c r="S331" s="6" t="n">
        <v>46066</v>
      </c>
    </row>
    <row r="332" customFormat="false" ht="14.25" hidden="false" customHeight="true" outlineLevel="0" collapsed="false">
      <c r="A332" s="1" t="s">
        <v>1375</v>
      </c>
      <c r="B332" s="1" t="s">
        <v>1376</v>
      </c>
      <c r="C332" s="1" t="s">
        <v>413</v>
      </c>
      <c r="D332" s="1" t="s">
        <v>69</v>
      </c>
      <c r="E332" s="6" t="n">
        <v>46234</v>
      </c>
      <c r="F332" s="6" t="n">
        <v>46233</v>
      </c>
      <c r="G332" s="1" t="s">
        <v>108</v>
      </c>
      <c r="H332" s="1" t="s">
        <v>649</v>
      </c>
      <c r="I332" s="1" t="s">
        <v>1377</v>
      </c>
      <c r="J332" s="1" t="n">
        <v>6792.64</v>
      </c>
      <c r="K332" s="1" t="n">
        <v>5864.39</v>
      </c>
      <c r="L332" s="1" t="n">
        <v>4587.98</v>
      </c>
      <c r="M332" s="1" t="n">
        <v>1276.41</v>
      </c>
      <c r="N332" s="1" t="s">
        <v>41</v>
      </c>
      <c r="P332" s="1" t="n">
        <v>2</v>
      </c>
      <c r="Q332" s="1" t="s">
        <v>42</v>
      </c>
      <c r="R332" s="1" t="s">
        <v>102</v>
      </c>
      <c r="S332" s="6" t="n">
        <v>46236</v>
      </c>
    </row>
    <row r="333" customFormat="false" ht="14.25" hidden="false" customHeight="true" outlineLevel="0" collapsed="false">
      <c r="A333" s="1" t="s">
        <v>1378</v>
      </c>
      <c r="B333" s="1" t="s">
        <v>578</v>
      </c>
      <c r="C333" s="1" t="s">
        <v>296</v>
      </c>
      <c r="D333" s="1" t="s">
        <v>177</v>
      </c>
      <c r="E333" s="6" t="n">
        <v>46057</v>
      </c>
      <c r="F333" s="6" t="n">
        <v>46053</v>
      </c>
      <c r="G333" s="1" t="s">
        <v>70</v>
      </c>
      <c r="H333" s="1" t="s">
        <v>1379</v>
      </c>
      <c r="I333" s="1" t="s">
        <v>1380</v>
      </c>
      <c r="J333" s="1" t="n">
        <v>5961.64</v>
      </c>
      <c r="K333" s="1" t="n">
        <v>4536.07</v>
      </c>
      <c r="L333" s="1" t="n">
        <v>0</v>
      </c>
      <c r="M333" s="1" t="n">
        <v>4536.07</v>
      </c>
      <c r="N333" s="1" t="s">
        <v>52</v>
      </c>
      <c r="O333" s="1" t="s">
        <v>53</v>
      </c>
      <c r="P333" s="1" t="n">
        <v>5</v>
      </c>
      <c r="Q333" s="1" t="s">
        <v>63</v>
      </c>
      <c r="R333" s="1" t="s">
        <v>102</v>
      </c>
    </row>
    <row r="334" customFormat="false" ht="14.25" hidden="false" customHeight="true" outlineLevel="0" collapsed="false">
      <c r="A334" s="1" t="s">
        <v>1381</v>
      </c>
      <c r="B334" s="1" t="s">
        <v>435</v>
      </c>
      <c r="C334" s="1" t="s">
        <v>510</v>
      </c>
      <c r="D334" s="1" t="s">
        <v>216</v>
      </c>
      <c r="E334" s="6" t="n">
        <v>46147</v>
      </c>
      <c r="F334" s="6" t="n">
        <v>46147</v>
      </c>
      <c r="G334" s="1" t="s">
        <v>49</v>
      </c>
      <c r="H334" s="1" t="s">
        <v>263</v>
      </c>
      <c r="I334" s="1" t="s">
        <v>1382</v>
      </c>
      <c r="J334" s="1" t="n">
        <v>7535.92</v>
      </c>
      <c r="K334" s="1" t="n">
        <v>6231.36</v>
      </c>
      <c r="L334" s="1" t="n">
        <v>0</v>
      </c>
      <c r="M334" s="1" t="n">
        <v>6231.36</v>
      </c>
      <c r="N334" s="1" t="s">
        <v>52</v>
      </c>
      <c r="O334" s="1" t="s">
        <v>230</v>
      </c>
      <c r="P334" s="1" t="n">
        <v>1</v>
      </c>
      <c r="Q334" s="1" t="s">
        <v>42</v>
      </c>
      <c r="R334" s="1" t="s">
        <v>102</v>
      </c>
    </row>
    <row r="335" customFormat="false" ht="14.25" hidden="false" customHeight="true" outlineLevel="0" collapsed="false">
      <c r="A335" s="1" t="s">
        <v>1383</v>
      </c>
      <c r="B335" s="1" t="s">
        <v>983</v>
      </c>
      <c r="C335" s="1" t="s">
        <v>623</v>
      </c>
      <c r="D335" s="1" t="s">
        <v>86</v>
      </c>
      <c r="E335" s="6" t="n">
        <v>46040</v>
      </c>
      <c r="F335" s="6" t="n">
        <v>46040</v>
      </c>
      <c r="G335" s="1" t="s">
        <v>38</v>
      </c>
      <c r="H335" s="1" t="s">
        <v>1384</v>
      </c>
      <c r="I335" s="1" t="s">
        <v>1385</v>
      </c>
      <c r="J335" s="1" t="n">
        <v>28866.43</v>
      </c>
      <c r="K335" s="1" t="n">
        <v>23662.66</v>
      </c>
      <c r="L335" s="1" t="n">
        <v>23072.79</v>
      </c>
      <c r="M335" s="1" t="n">
        <v>589.87</v>
      </c>
      <c r="N335" s="1" t="s">
        <v>41</v>
      </c>
      <c r="P335" s="1" t="n">
        <v>7</v>
      </c>
      <c r="Q335" s="1" t="s">
        <v>42</v>
      </c>
      <c r="R335" s="1" t="s">
        <v>74</v>
      </c>
      <c r="S335" s="6" t="n">
        <v>46047</v>
      </c>
    </row>
    <row r="336" customFormat="false" ht="14.25" hidden="false" customHeight="true" outlineLevel="0" collapsed="false">
      <c r="A336" s="1" t="s">
        <v>1386</v>
      </c>
      <c r="B336" s="1" t="s">
        <v>1387</v>
      </c>
      <c r="C336" s="1" t="s">
        <v>335</v>
      </c>
      <c r="D336" s="1" t="s">
        <v>203</v>
      </c>
      <c r="E336" s="6" t="n">
        <v>46143</v>
      </c>
      <c r="F336" s="6" t="n">
        <v>46140</v>
      </c>
      <c r="G336" s="1" t="s">
        <v>49</v>
      </c>
      <c r="H336" s="1" t="s">
        <v>1362</v>
      </c>
      <c r="I336" s="1" t="s">
        <v>1388</v>
      </c>
      <c r="J336" s="1" t="n">
        <v>7874.64</v>
      </c>
      <c r="K336" s="1" t="n">
        <v>6838.02</v>
      </c>
      <c r="L336" s="1" t="n">
        <v>0</v>
      </c>
      <c r="M336" s="1" t="n">
        <v>6838.02</v>
      </c>
      <c r="N336" s="1" t="s">
        <v>111</v>
      </c>
      <c r="P336" s="1" t="n">
        <v>5</v>
      </c>
      <c r="Q336" s="1" t="s">
        <v>155</v>
      </c>
      <c r="R336" s="1" t="s">
        <v>74</v>
      </c>
    </row>
    <row r="337" customFormat="false" ht="14.25" hidden="false" customHeight="true" outlineLevel="0" collapsed="false">
      <c r="A337" s="1" t="s">
        <v>1389</v>
      </c>
      <c r="B337" s="1" t="s">
        <v>330</v>
      </c>
      <c r="C337" s="1" t="s">
        <v>78</v>
      </c>
      <c r="D337" s="1" t="s">
        <v>177</v>
      </c>
      <c r="E337" s="6" t="n">
        <v>46141</v>
      </c>
      <c r="F337" s="6" t="n">
        <v>46136</v>
      </c>
      <c r="G337" s="1" t="s">
        <v>108</v>
      </c>
      <c r="H337" s="1" t="s">
        <v>1390</v>
      </c>
      <c r="I337" s="1" t="s">
        <v>1391</v>
      </c>
      <c r="J337" s="1" t="n">
        <v>4882.23</v>
      </c>
      <c r="K337" s="1" t="n">
        <v>3416.02</v>
      </c>
      <c r="L337" s="1" t="n">
        <v>2583.2</v>
      </c>
      <c r="M337" s="1" t="n">
        <v>832.82</v>
      </c>
      <c r="N337" s="1" t="s">
        <v>41</v>
      </c>
      <c r="P337" s="1" t="n">
        <v>5</v>
      </c>
      <c r="Q337" s="1" t="s">
        <v>42</v>
      </c>
      <c r="R337" s="1" t="s">
        <v>125</v>
      </c>
      <c r="S337" s="6" t="n">
        <v>46146</v>
      </c>
    </row>
    <row r="338" customFormat="false" ht="14.25" hidden="false" customHeight="true" outlineLevel="0" collapsed="false">
      <c r="A338" s="1" t="s">
        <v>1392</v>
      </c>
      <c r="B338" s="1" t="s">
        <v>249</v>
      </c>
      <c r="C338" s="1" t="s">
        <v>144</v>
      </c>
      <c r="D338" s="1" t="s">
        <v>145</v>
      </c>
      <c r="E338" s="6" t="n">
        <v>46040</v>
      </c>
      <c r="F338" s="6" t="n">
        <v>46036</v>
      </c>
      <c r="G338" s="1" t="s">
        <v>38</v>
      </c>
      <c r="H338" s="1" t="s">
        <v>1393</v>
      </c>
      <c r="I338" s="1" t="s">
        <v>1394</v>
      </c>
      <c r="J338" s="1" t="n">
        <v>37652.65</v>
      </c>
      <c r="K338" s="1" t="n">
        <v>30151.93</v>
      </c>
      <c r="L338" s="1" t="n">
        <v>22754.64</v>
      </c>
      <c r="M338" s="1" t="n">
        <v>7397.29</v>
      </c>
      <c r="N338" s="1" t="s">
        <v>41</v>
      </c>
      <c r="P338" s="1" t="n">
        <v>3</v>
      </c>
      <c r="Q338" s="1" t="s">
        <v>155</v>
      </c>
      <c r="R338" s="1" t="s">
        <v>125</v>
      </c>
      <c r="S338" s="6" t="n">
        <v>46043</v>
      </c>
    </row>
    <row r="339" customFormat="false" ht="14.25" hidden="false" customHeight="true" outlineLevel="0" collapsed="false">
      <c r="A339" s="1" t="s">
        <v>1395</v>
      </c>
      <c r="B339" s="1" t="s">
        <v>1396</v>
      </c>
      <c r="C339" s="1" t="s">
        <v>68</v>
      </c>
      <c r="D339" s="1" t="s">
        <v>274</v>
      </c>
      <c r="E339" s="6" t="n">
        <v>46163</v>
      </c>
      <c r="F339" s="6" t="n">
        <v>46159</v>
      </c>
      <c r="G339" s="1" t="s">
        <v>108</v>
      </c>
      <c r="H339" s="1" t="s">
        <v>1397</v>
      </c>
      <c r="I339" s="1" t="s">
        <v>1398</v>
      </c>
      <c r="J339" s="1" t="n">
        <v>29650.2</v>
      </c>
      <c r="K339" s="1" t="n">
        <v>23644.31</v>
      </c>
      <c r="L339" s="1" t="n">
        <v>23253.29</v>
      </c>
      <c r="M339" s="1" t="n">
        <v>391.02</v>
      </c>
      <c r="N339" s="1" t="s">
        <v>41</v>
      </c>
      <c r="P339" s="1" t="n">
        <v>6</v>
      </c>
      <c r="Q339" s="1" t="s">
        <v>63</v>
      </c>
      <c r="R339" s="1" t="s">
        <v>43</v>
      </c>
      <c r="S339" s="6" t="n">
        <v>46169</v>
      </c>
    </row>
    <row r="340" customFormat="false" ht="14.25" hidden="false" customHeight="true" outlineLevel="0" collapsed="false">
      <c r="A340" s="1" t="s">
        <v>1399</v>
      </c>
      <c r="B340" s="1" t="s">
        <v>35</v>
      </c>
      <c r="C340" s="1" t="s">
        <v>296</v>
      </c>
      <c r="D340" s="1" t="s">
        <v>607</v>
      </c>
      <c r="E340" s="6" t="n">
        <v>46088</v>
      </c>
      <c r="F340" s="6" t="n">
        <v>46088</v>
      </c>
      <c r="G340" s="1" t="s">
        <v>49</v>
      </c>
      <c r="H340" s="1" t="s">
        <v>1400</v>
      </c>
      <c r="I340" s="1" t="s">
        <v>1401</v>
      </c>
      <c r="J340" s="1" t="n">
        <v>5417.01</v>
      </c>
      <c r="K340" s="1" t="n">
        <v>3794.33</v>
      </c>
      <c r="L340" s="1" t="n">
        <v>2982.38</v>
      </c>
      <c r="M340" s="1" t="n">
        <v>811.95</v>
      </c>
      <c r="N340" s="1" t="s">
        <v>41</v>
      </c>
      <c r="P340" s="1" t="n">
        <v>5</v>
      </c>
      <c r="Q340" s="1" t="s">
        <v>155</v>
      </c>
      <c r="R340" s="1" t="s">
        <v>64</v>
      </c>
      <c r="S340" s="6" t="n">
        <v>46093</v>
      </c>
    </row>
    <row r="341" customFormat="false" ht="14.25" hidden="false" customHeight="true" outlineLevel="0" collapsed="false">
      <c r="A341" s="1" t="s">
        <v>1402</v>
      </c>
      <c r="B341" s="1" t="s">
        <v>622</v>
      </c>
      <c r="C341" s="1" t="s">
        <v>85</v>
      </c>
      <c r="D341" s="1" t="s">
        <v>717</v>
      </c>
      <c r="E341" s="6" t="n">
        <v>46107</v>
      </c>
      <c r="F341" s="6" t="n">
        <v>46106</v>
      </c>
      <c r="G341" s="1" t="s">
        <v>108</v>
      </c>
      <c r="H341" s="1" t="s">
        <v>910</v>
      </c>
      <c r="I341" s="1" t="s">
        <v>1403</v>
      </c>
      <c r="J341" s="1" t="n">
        <v>3395.84</v>
      </c>
      <c r="K341" s="1" t="n">
        <v>2604.55</v>
      </c>
      <c r="L341" s="1" t="n">
        <v>2161.8</v>
      </c>
      <c r="M341" s="1" t="n">
        <v>442.75</v>
      </c>
      <c r="N341" s="1" t="s">
        <v>41</v>
      </c>
      <c r="P341" s="1" t="n">
        <v>7</v>
      </c>
      <c r="Q341" s="1" t="s">
        <v>155</v>
      </c>
      <c r="R341" s="1" t="s">
        <v>125</v>
      </c>
      <c r="S341" s="6" t="n">
        <v>46114</v>
      </c>
    </row>
    <row r="342" customFormat="false" ht="14.25" hidden="false" customHeight="true" outlineLevel="0" collapsed="false">
      <c r="A342" s="1" t="s">
        <v>1404</v>
      </c>
      <c r="B342" s="1" t="s">
        <v>869</v>
      </c>
      <c r="C342" s="1" t="s">
        <v>386</v>
      </c>
      <c r="D342" s="1" t="s">
        <v>391</v>
      </c>
      <c r="E342" s="6" t="n">
        <v>46179</v>
      </c>
      <c r="F342" s="6" t="n">
        <v>46175</v>
      </c>
      <c r="G342" s="1" t="s">
        <v>49</v>
      </c>
      <c r="H342" s="1" t="s">
        <v>1405</v>
      </c>
      <c r="I342" s="1" t="s">
        <v>1406</v>
      </c>
      <c r="J342" s="1" t="n">
        <v>25676.75</v>
      </c>
      <c r="K342" s="1" t="n">
        <v>20575.46</v>
      </c>
      <c r="L342" s="1" t="n">
        <v>20314.96</v>
      </c>
      <c r="M342" s="1" t="n">
        <v>260.5</v>
      </c>
      <c r="N342" s="1" t="s">
        <v>41</v>
      </c>
      <c r="P342" s="1" t="n">
        <v>5</v>
      </c>
      <c r="Q342" s="1" t="s">
        <v>155</v>
      </c>
      <c r="R342" s="1" t="s">
        <v>43</v>
      </c>
      <c r="S342" s="6" t="n">
        <v>46184</v>
      </c>
    </row>
    <row r="343" customFormat="false" ht="14.25" hidden="false" customHeight="true" outlineLevel="0" collapsed="false">
      <c r="A343" s="1" t="s">
        <v>1407</v>
      </c>
      <c r="B343" s="1" t="s">
        <v>1408</v>
      </c>
      <c r="C343" s="1" t="s">
        <v>78</v>
      </c>
      <c r="D343" s="1" t="s">
        <v>984</v>
      </c>
      <c r="E343" s="6" t="n">
        <v>46186</v>
      </c>
      <c r="F343" s="6" t="n">
        <v>46185</v>
      </c>
      <c r="G343" s="1" t="s">
        <v>70</v>
      </c>
      <c r="H343" s="1" t="s">
        <v>1409</v>
      </c>
      <c r="I343" s="1" t="s">
        <v>1410</v>
      </c>
      <c r="J343" s="1" t="n">
        <v>1421.83</v>
      </c>
      <c r="K343" s="1" t="n">
        <v>1160.53</v>
      </c>
      <c r="L343" s="1" t="n">
        <v>0</v>
      </c>
      <c r="M343" s="1" t="n">
        <v>1160.53</v>
      </c>
      <c r="N343" s="1" t="s">
        <v>52</v>
      </c>
      <c r="O343" s="1" t="s">
        <v>265</v>
      </c>
      <c r="P343" s="1" t="n">
        <v>2</v>
      </c>
      <c r="Q343" s="1" t="s">
        <v>63</v>
      </c>
      <c r="R343" s="1" t="s">
        <v>54</v>
      </c>
    </row>
    <row r="344" customFormat="false" ht="14.25" hidden="false" customHeight="true" outlineLevel="0" collapsed="false">
      <c r="A344" s="1" t="s">
        <v>1411</v>
      </c>
      <c r="B344" s="1" t="s">
        <v>395</v>
      </c>
      <c r="C344" s="1" t="s">
        <v>279</v>
      </c>
      <c r="D344" s="1" t="s">
        <v>315</v>
      </c>
      <c r="E344" s="6" t="n">
        <v>46189</v>
      </c>
      <c r="F344" s="6" t="n">
        <v>46185</v>
      </c>
      <c r="G344" s="1" t="s">
        <v>49</v>
      </c>
      <c r="H344" s="1" t="s">
        <v>1412</v>
      </c>
      <c r="I344" s="1" t="s">
        <v>1413</v>
      </c>
      <c r="J344" s="1" t="n">
        <v>48411.62</v>
      </c>
      <c r="K344" s="1" t="n">
        <v>36889.25</v>
      </c>
      <c r="L344" s="1" t="n">
        <v>36753.76</v>
      </c>
      <c r="M344" s="1" t="n">
        <v>135.49</v>
      </c>
      <c r="N344" s="1" t="s">
        <v>41</v>
      </c>
      <c r="P344" s="1" t="n">
        <v>4</v>
      </c>
      <c r="Q344" s="1" t="s">
        <v>63</v>
      </c>
      <c r="R344" s="1" t="s">
        <v>125</v>
      </c>
      <c r="S344" s="6" t="n">
        <v>46193</v>
      </c>
    </row>
    <row r="345" customFormat="false" ht="14.25" hidden="false" customHeight="true" outlineLevel="0" collapsed="false">
      <c r="A345" s="1" t="s">
        <v>1414</v>
      </c>
      <c r="B345" s="1" t="s">
        <v>1415</v>
      </c>
      <c r="C345" s="1" t="s">
        <v>446</v>
      </c>
      <c r="D345" s="1" t="s">
        <v>336</v>
      </c>
      <c r="E345" s="6" t="n">
        <v>46183</v>
      </c>
      <c r="F345" s="6" t="n">
        <v>46181</v>
      </c>
      <c r="G345" s="1" t="s">
        <v>49</v>
      </c>
      <c r="H345" s="1" t="s">
        <v>925</v>
      </c>
      <c r="I345" s="1" t="s">
        <v>1416</v>
      </c>
      <c r="J345" s="1" t="n">
        <v>8785.39</v>
      </c>
      <c r="K345" s="1" t="n">
        <v>5869.1</v>
      </c>
      <c r="L345" s="1" t="n">
        <v>0</v>
      </c>
      <c r="M345" s="1" t="n">
        <v>5869.1</v>
      </c>
      <c r="N345" s="1" t="s">
        <v>111</v>
      </c>
      <c r="P345" s="1" t="n">
        <v>11</v>
      </c>
      <c r="Q345" s="1" t="s">
        <v>42</v>
      </c>
      <c r="R345" s="1" t="s">
        <v>125</v>
      </c>
    </row>
    <row r="346" customFormat="false" ht="14.25" hidden="false" customHeight="true" outlineLevel="0" collapsed="false">
      <c r="A346" s="1" t="s">
        <v>1417</v>
      </c>
      <c r="B346" s="1" t="s">
        <v>928</v>
      </c>
      <c r="C346" s="1" t="s">
        <v>158</v>
      </c>
      <c r="D346" s="1" t="s">
        <v>222</v>
      </c>
      <c r="E346" s="6" t="n">
        <v>46155</v>
      </c>
      <c r="F346" s="6" t="n">
        <v>46153</v>
      </c>
      <c r="G346" s="1" t="s">
        <v>70</v>
      </c>
      <c r="H346" s="1" t="s">
        <v>1418</v>
      </c>
      <c r="I346" s="1" t="s">
        <v>1419</v>
      </c>
      <c r="J346" s="1" t="n">
        <v>37089.56</v>
      </c>
      <c r="K346" s="1" t="n">
        <v>30373.55</v>
      </c>
      <c r="L346" s="1" t="n">
        <v>25063.03</v>
      </c>
      <c r="M346" s="1" t="n">
        <v>5310.52</v>
      </c>
      <c r="N346" s="1" t="s">
        <v>41</v>
      </c>
      <c r="P346" s="1" t="n">
        <v>7</v>
      </c>
      <c r="Q346" s="1" t="s">
        <v>155</v>
      </c>
      <c r="R346" s="1" t="s">
        <v>64</v>
      </c>
      <c r="S346" s="6" t="n">
        <v>46162</v>
      </c>
    </row>
    <row r="347" customFormat="false" ht="14.25" hidden="false" customHeight="true" outlineLevel="0" collapsed="false">
      <c r="A347" s="1" t="s">
        <v>1420</v>
      </c>
      <c r="B347" s="1" t="s">
        <v>1421</v>
      </c>
      <c r="C347" s="1" t="s">
        <v>188</v>
      </c>
      <c r="D347" s="1" t="s">
        <v>550</v>
      </c>
      <c r="E347" s="6" t="n">
        <v>46154</v>
      </c>
      <c r="F347" s="6" t="n">
        <v>46152</v>
      </c>
      <c r="G347" s="1" t="s">
        <v>70</v>
      </c>
      <c r="H347" s="1" t="s">
        <v>1422</v>
      </c>
      <c r="I347" s="1" t="s">
        <v>1423</v>
      </c>
      <c r="J347" s="1" t="n">
        <v>47297.72</v>
      </c>
      <c r="K347" s="1" t="n">
        <v>39756.14</v>
      </c>
      <c r="L347" s="1" t="n">
        <v>0</v>
      </c>
      <c r="M347" s="1" t="n">
        <v>39756.14</v>
      </c>
      <c r="N347" s="1" t="s">
        <v>52</v>
      </c>
      <c r="O347" s="1" t="s">
        <v>230</v>
      </c>
      <c r="P347" s="1" t="n">
        <v>8</v>
      </c>
      <c r="Q347" s="1" t="s">
        <v>42</v>
      </c>
      <c r="R347" s="1" t="s">
        <v>102</v>
      </c>
    </row>
    <row r="348" customFormat="false" ht="14.25" hidden="false" customHeight="true" outlineLevel="0" collapsed="false">
      <c r="A348" s="1" t="s">
        <v>1424</v>
      </c>
      <c r="B348" s="1" t="s">
        <v>976</v>
      </c>
      <c r="C348" s="1" t="s">
        <v>136</v>
      </c>
      <c r="D348" s="1" t="s">
        <v>315</v>
      </c>
      <c r="E348" s="6" t="n">
        <v>46032</v>
      </c>
      <c r="F348" s="6" t="n">
        <v>46027</v>
      </c>
      <c r="G348" s="1" t="s">
        <v>49</v>
      </c>
      <c r="H348" s="1" t="s">
        <v>1384</v>
      </c>
      <c r="I348" s="1" t="s">
        <v>1425</v>
      </c>
      <c r="J348" s="1" t="n">
        <v>46151.76</v>
      </c>
      <c r="K348" s="1" t="n">
        <v>38427.62</v>
      </c>
      <c r="L348" s="1" t="n">
        <v>28861.83</v>
      </c>
      <c r="M348" s="1" t="n">
        <v>9565.79</v>
      </c>
      <c r="N348" s="1" t="s">
        <v>41</v>
      </c>
      <c r="P348" s="1" t="n">
        <v>1</v>
      </c>
      <c r="Q348" s="1" t="s">
        <v>42</v>
      </c>
      <c r="R348" s="1" t="s">
        <v>54</v>
      </c>
      <c r="S348" s="6" t="n">
        <v>46033</v>
      </c>
    </row>
    <row r="349" customFormat="false" ht="14.25" hidden="false" customHeight="true" outlineLevel="0" collapsed="false">
      <c r="A349" s="1" t="s">
        <v>1426</v>
      </c>
      <c r="B349" s="1" t="s">
        <v>1132</v>
      </c>
      <c r="C349" s="1" t="s">
        <v>164</v>
      </c>
      <c r="D349" s="1" t="s">
        <v>177</v>
      </c>
      <c r="E349" s="6" t="n">
        <v>46229</v>
      </c>
      <c r="F349" s="6" t="n">
        <v>46224</v>
      </c>
      <c r="G349" s="1" t="s">
        <v>70</v>
      </c>
      <c r="H349" s="1" t="s">
        <v>1427</v>
      </c>
      <c r="I349" s="1" t="s">
        <v>1428</v>
      </c>
      <c r="J349" s="1" t="n">
        <v>27163.14</v>
      </c>
      <c r="K349" s="1" t="n">
        <v>24929.56</v>
      </c>
      <c r="L349" s="1" t="n">
        <v>0</v>
      </c>
      <c r="M349" s="1" t="n">
        <v>24929.56</v>
      </c>
      <c r="N349" s="1" t="s">
        <v>111</v>
      </c>
      <c r="P349" s="1" t="n">
        <v>14</v>
      </c>
      <c r="Q349" s="1" t="s">
        <v>42</v>
      </c>
      <c r="R349" s="1" t="s">
        <v>102</v>
      </c>
    </row>
    <row r="350" customFormat="false" ht="14.25" hidden="false" customHeight="true" outlineLevel="0" collapsed="false">
      <c r="A350" s="1" t="s">
        <v>1429</v>
      </c>
      <c r="B350" s="1" t="s">
        <v>467</v>
      </c>
      <c r="C350" s="1" t="s">
        <v>36</v>
      </c>
      <c r="D350" s="1" t="s">
        <v>37</v>
      </c>
      <c r="E350" s="6" t="n">
        <v>46123</v>
      </c>
      <c r="F350" s="6" t="n">
        <v>46122</v>
      </c>
      <c r="G350" s="1" t="s">
        <v>108</v>
      </c>
      <c r="H350" s="1" t="s">
        <v>1430</v>
      </c>
      <c r="I350" s="1" t="s">
        <v>548</v>
      </c>
      <c r="J350" s="1" t="n">
        <v>40687.55</v>
      </c>
      <c r="K350" s="1" t="n">
        <v>38455.38</v>
      </c>
      <c r="L350" s="1" t="n">
        <v>0</v>
      </c>
      <c r="M350" s="1" t="n">
        <v>38455.38</v>
      </c>
      <c r="N350" s="1" t="s">
        <v>52</v>
      </c>
      <c r="O350" s="1" t="s">
        <v>62</v>
      </c>
      <c r="P350" s="1" t="n">
        <v>2</v>
      </c>
      <c r="Q350" s="1" t="s">
        <v>63</v>
      </c>
      <c r="R350" s="1" t="s">
        <v>74</v>
      </c>
    </row>
    <row r="351" customFormat="false" ht="14.25" hidden="false" customHeight="true" outlineLevel="0" collapsed="false">
      <c r="A351" s="1" t="s">
        <v>1431</v>
      </c>
      <c r="B351" s="1" t="s">
        <v>1432</v>
      </c>
      <c r="C351" s="1" t="s">
        <v>900</v>
      </c>
      <c r="D351" s="1" t="s">
        <v>257</v>
      </c>
      <c r="E351" s="6" t="n">
        <v>46206</v>
      </c>
      <c r="F351" s="6" t="n">
        <v>46204</v>
      </c>
      <c r="G351" s="1" t="s">
        <v>108</v>
      </c>
      <c r="H351" s="1" t="s">
        <v>1433</v>
      </c>
      <c r="I351" s="1" t="s">
        <v>1434</v>
      </c>
      <c r="J351" s="1" t="n">
        <v>40905.9</v>
      </c>
      <c r="K351" s="1" t="n">
        <v>34261.59</v>
      </c>
      <c r="L351" s="1" t="n">
        <v>32620.58</v>
      </c>
      <c r="M351" s="1" t="n">
        <v>1641.01</v>
      </c>
      <c r="N351" s="1" t="s">
        <v>41</v>
      </c>
      <c r="P351" s="1" t="n">
        <v>4</v>
      </c>
      <c r="Q351" s="1" t="s">
        <v>42</v>
      </c>
      <c r="R351" s="1" t="s">
        <v>74</v>
      </c>
      <c r="S351" s="6" t="n">
        <v>46210</v>
      </c>
    </row>
    <row r="352" customFormat="false" ht="14.25" hidden="false" customHeight="true" outlineLevel="0" collapsed="false">
      <c r="A352" s="1" t="s">
        <v>1435</v>
      </c>
      <c r="B352" s="1" t="s">
        <v>647</v>
      </c>
      <c r="C352" s="1" t="s">
        <v>115</v>
      </c>
      <c r="D352" s="1" t="s">
        <v>1128</v>
      </c>
      <c r="E352" s="6" t="n">
        <v>46179</v>
      </c>
      <c r="F352" s="6" t="n">
        <v>46178</v>
      </c>
      <c r="G352" s="1" t="s">
        <v>38</v>
      </c>
      <c r="H352" s="1" t="s">
        <v>882</v>
      </c>
      <c r="I352" s="1" t="s">
        <v>1436</v>
      </c>
      <c r="J352" s="1" t="n">
        <v>49221.05</v>
      </c>
      <c r="K352" s="1" t="n">
        <v>41421.03</v>
      </c>
      <c r="L352" s="1" t="n">
        <v>32214.65</v>
      </c>
      <c r="M352" s="1" t="n">
        <v>9206.38</v>
      </c>
      <c r="N352" s="1" t="s">
        <v>41</v>
      </c>
      <c r="P352" s="1" t="n">
        <v>5</v>
      </c>
      <c r="Q352" s="1" t="s">
        <v>42</v>
      </c>
      <c r="R352" s="1" t="s">
        <v>74</v>
      </c>
      <c r="S352" s="6" t="n">
        <v>46184</v>
      </c>
    </row>
    <row r="353" customFormat="false" ht="14.25" hidden="false" customHeight="true" outlineLevel="0" collapsed="false">
      <c r="A353" s="1" t="s">
        <v>1437</v>
      </c>
      <c r="B353" s="1" t="s">
        <v>1140</v>
      </c>
      <c r="C353" s="1" t="s">
        <v>158</v>
      </c>
      <c r="D353" s="1" t="s">
        <v>396</v>
      </c>
      <c r="E353" s="6" t="n">
        <v>46172</v>
      </c>
      <c r="F353" s="6" t="n">
        <v>46167</v>
      </c>
      <c r="G353" s="1" t="s">
        <v>38</v>
      </c>
      <c r="H353" s="1" t="s">
        <v>1438</v>
      </c>
      <c r="I353" s="1" t="s">
        <v>1439</v>
      </c>
      <c r="J353" s="1" t="n">
        <v>28474.44</v>
      </c>
      <c r="K353" s="1" t="n">
        <v>19066.72</v>
      </c>
      <c r="L353" s="1" t="n">
        <v>0</v>
      </c>
      <c r="M353" s="1" t="n">
        <v>19066.72</v>
      </c>
      <c r="N353" s="1" t="s">
        <v>111</v>
      </c>
      <c r="P353" s="1" t="n">
        <v>6</v>
      </c>
      <c r="Q353" s="1" t="s">
        <v>155</v>
      </c>
      <c r="R353" s="1" t="s">
        <v>125</v>
      </c>
    </row>
    <row r="354" customFormat="false" ht="14.25" hidden="false" customHeight="true" outlineLevel="0" collapsed="false">
      <c r="A354" s="1" t="s">
        <v>1440</v>
      </c>
      <c r="B354" s="1" t="s">
        <v>1441</v>
      </c>
      <c r="C354" s="1" t="s">
        <v>413</v>
      </c>
      <c r="D354" s="1" t="s">
        <v>93</v>
      </c>
      <c r="E354" s="6" t="n">
        <v>46196</v>
      </c>
      <c r="F354" s="6" t="n">
        <v>46196</v>
      </c>
      <c r="G354" s="1" t="s">
        <v>49</v>
      </c>
      <c r="H354" s="1" t="s">
        <v>1442</v>
      </c>
      <c r="I354" s="1" t="s">
        <v>1443</v>
      </c>
      <c r="J354" s="1" t="n">
        <v>34802.8</v>
      </c>
      <c r="K354" s="1" t="n">
        <v>28186.18</v>
      </c>
      <c r="L354" s="1" t="n">
        <v>0</v>
      </c>
      <c r="M354" s="1" t="n">
        <v>28186.18</v>
      </c>
      <c r="N354" s="1" t="s">
        <v>260</v>
      </c>
      <c r="P354" s="1" t="n">
        <v>5</v>
      </c>
      <c r="Q354" s="1" t="s">
        <v>63</v>
      </c>
      <c r="R354" s="1" t="s">
        <v>43</v>
      </c>
    </row>
    <row r="355" customFormat="false" ht="14.25" hidden="false" customHeight="true" outlineLevel="0" collapsed="false">
      <c r="A355" s="1" t="s">
        <v>1444</v>
      </c>
      <c r="B355" s="1" t="s">
        <v>84</v>
      </c>
      <c r="C355" s="1" t="s">
        <v>182</v>
      </c>
      <c r="D355" s="1" t="s">
        <v>712</v>
      </c>
      <c r="E355" s="6" t="n">
        <v>46129</v>
      </c>
      <c r="F355" s="6" t="n">
        <v>46127</v>
      </c>
      <c r="G355" s="1" t="s">
        <v>49</v>
      </c>
      <c r="H355" s="1" t="s">
        <v>1445</v>
      </c>
      <c r="I355" s="1" t="s">
        <v>1446</v>
      </c>
      <c r="J355" s="1" t="n">
        <v>26155.62</v>
      </c>
      <c r="K355" s="1" t="n">
        <v>20889.77</v>
      </c>
      <c r="L355" s="1" t="n">
        <v>18368.67</v>
      </c>
      <c r="M355" s="1" t="n">
        <v>2521.1</v>
      </c>
      <c r="N355" s="1" t="s">
        <v>41</v>
      </c>
      <c r="P355" s="1" t="n">
        <v>1</v>
      </c>
      <c r="Q355" s="1" t="s">
        <v>63</v>
      </c>
      <c r="R355" s="1" t="s">
        <v>54</v>
      </c>
      <c r="S355" s="6" t="n">
        <v>46130</v>
      </c>
    </row>
    <row r="356" customFormat="false" ht="14.25" hidden="false" customHeight="true" outlineLevel="0" collapsed="false">
      <c r="A356" s="1" t="s">
        <v>1447</v>
      </c>
      <c r="B356" s="1" t="s">
        <v>1197</v>
      </c>
      <c r="C356" s="1" t="s">
        <v>686</v>
      </c>
      <c r="D356" s="1" t="s">
        <v>1448</v>
      </c>
      <c r="E356" s="6" t="n">
        <v>46124</v>
      </c>
      <c r="F356" s="6" t="n">
        <v>46123</v>
      </c>
      <c r="G356" s="1" t="s">
        <v>38</v>
      </c>
      <c r="H356" s="1" t="s">
        <v>1449</v>
      </c>
      <c r="I356" s="1" t="s">
        <v>1450</v>
      </c>
      <c r="J356" s="1" t="n">
        <v>44064.87</v>
      </c>
      <c r="K356" s="1" t="n">
        <v>39319.17</v>
      </c>
      <c r="L356" s="1" t="n">
        <v>39223.47</v>
      </c>
      <c r="M356" s="1" t="n">
        <v>95.7</v>
      </c>
      <c r="N356" s="1" t="s">
        <v>41</v>
      </c>
      <c r="P356" s="1" t="n">
        <v>4</v>
      </c>
      <c r="Q356" s="1" t="s">
        <v>63</v>
      </c>
      <c r="R356" s="1" t="s">
        <v>54</v>
      </c>
      <c r="S356" s="6" t="n">
        <v>46128</v>
      </c>
    </row>
    <row r="357" customFormat="false" ht="14.25" hidden="false" customHeight="true" outlineLevel="0" collapsed="false">
      <c r="A357" s="1" t="s">
        <v>1451</v>
      </c>
      <c r="B357" s="1" t="s">
        <v>1452</v>
      </c>
      <c r="C357" s="1" t="s">
        <v>198</v>
      </c>
      <c r="D357" s="1" t="s">
        <v>159</v>
      </c>
      <c r="E357" s="6" t="n">
        <v>46188</v>
      </c>
      <c r="F357" s="6" t="n">
        <v>46183</v>
      </c>
      <c r="G357" s="1" t="s">
        <v>49</v>
      </c>
      <c r="H357" s="1" t="s">
        <v>1453</v>
      </c>
      <c r="I357" s="1" t="s">
        <v>1454</v>
      </c>
      <c r="J357" s="1" t="n">
        <v>24258.34</v>
      </c>
      <c r="K357" s="1" t="n">
        <v>21648.57</v>
      </c>
      <c r="L357" s="1" t="n">
        <v>19443.29</v>
      </c>
      <c r="M357" s="1" t="n">
        <v>2205.28</v>
      </c>
      <c r="N357" s="1" t="s">
        <v>41</v>
      </c>
      <c r="P357" s="1" t="n">
        <v>6</v>
      </c>
      <c r="Q357" s="1" t="s">
        <v>155</v>
      </c>
      <c r="R357" s="1" t="s">
        <v>125</v>
      </c>
      <c r="S357" s="6" t="n">
        <v>46194</v>
      </c>
    </row>
    <row r="358" customFormat="false" ht="14.25" hidden="false" customHeight="true" outlineLevel="0" collapsed="false">
      <c r="A358" s="1" t="s">
        <v>1455</v>
      </c>
      <c r="B358" s="1" t="s">
        <v>67</v>
      </c>
      <c r="C358" s="1" t="s">
        <v>430</v>
      </c>
      <c r="D358" s="1" t="s">
        <v>177</v>
      </c>
      <c r="E358" s="6" t="n">
        <v>46112</v>
      </c>
      <c r="F358" s="6" t="n">
        <v>46108</v>
      </c>
      <c r="G358" s="1" t="s">
        <v>108</v>
      </c>
      <c r="H358" s="1" t="s">
        <v>1456</v>
      </c>
      <c r="I358" s="1" t="s">
        <v>1457</v>
      </c>
      <c r="J358" s="1" t="n">
        <v>47205.61</v>
      </c>
      <c r="K358" s="1" t="n">
        <v>41669.56</v>
      </c>
      <c r="L358" s="1" t="n">
        <v>0</v>
      </c>
      <c r="M358" s="1" t="n">
        <v>41669.56</v>
      </c>
      <c r="N358" s="1" t="s">
        <v>52</v>
      </c>
      <c r="O358" s="1" t="s">
        <v>53</v>
      </c>
      <c r="P358" s="1" t="n">
        <v>8</v>
      </c>
      <c r="Q358" s="1" t="s">
        <v>63</v>
      </c>
      <c r="R358" s="1" t="s">
        <v>102</v>
      </c>
    </row>
    <row r="359" customFormat="false" ht="14.25" hidden="false" customHeight="true" outlineLevel="0" collapsed="false">
      <c r="A359" s="1" t="s">
        <v>1458</v>
      </c>
      <c r="B359" s="1" t="s">
        <v>917</v>
      </c>
      <c r="C359" s="1" t="s">
        <v>686</v>
      </c>
      <c r="D359" s="1" t="s">
        <v>159</v>
      </c>
      <c r="E359" s="6" t="n">
        <v>46200</v>
      </c>
      <c r="F359" s="6" t="n">
        <v>46200</v>
      </c>
      <c r="G359" s="1" t="s">
        <v>108</v>
      </c>
      <c r="H359" s="1" t="s">
        <v>1459</v>
      </c>
      <c r="I359" s="1" t="s">
        <v>1460</v>
      </c>
      <c r="J359" s="1" t="n">
        <v>3569.11</v>
      </c>
      <c r="K359" s="1" t="n">
        <v>3179.06</v>
      </c>
      <c r="L359" s="1" t="n">
        <v>0</v>
      </c>
      <c r="M359" s="1" t="n">
        <v>3179.06</v>
      </c>
      <c r="N359" s="1" t="s">
        <v>52</v>
      </c>
      <c r="O359" s="1" t="s">
        <v>230</v>
      </c>
      <c r="P359" s="1" t="n">
        <v>1</v>
      </c>
      <c r="Q359" s="1" t="s">
        <v>63</v>
      </c>
      <c r="R359" s="1" t="s">
        <v>125</v>
      </c>
    </row>
    <row r="360" customFormat="false" ht="14.25" hidden="false" customHeight="true" outlineLevel="0" collapsed="false">
      <c r="A360" s="1" t="s">
        <v>1461</v>
      </c>
      <c r="B360" s="1" t="s">
        <v>1462</v>
      </c>
      <c r="C360" s="1" t="s">
        <v>335</v>
      </c>
      <c r="D360" s="1" t="s">
        <v>391</v>
      </c>
      <c r="E360" s="6" t="n">
        <v>46123</v>
      </c>
      <c r="F360" s="6" t="n">
        <v>46120</v>
      </c>
      <c r="G360" s="1" t="s">
        <v>49</v>
      </c>
      <c r="H360" s="1" t="s">
        <v>1463</v>
      </c>
      <c r="I360" s="1" t="s">
        <v>1464</v>
      </c>
      <c r="J360" s="1" t="n">
        <v>37722.19</v>
      </c>
      <c r="K360" s="1" t="n">
        <v>27157.47</v>
      </c>
      <c r="L360" s="1" t="n">
        <v>24438.84</v>
      </c>
      <c r="M360" s="1" t="n">
        <v>2718.63</v>
      </c>
      <c r="N360" s="1" t="s">
        <v>41</v>
      </c>
      <c r="P360" s="1" t="n">
        <v>1</v>
      </c>
      <c r="Q360" s="1" t="s">
        <v>63</v>
      </c>
      <c r="R360" s="1" t="s">
        <v>74</v>
      </c>
      <c r="S360" s="6" t="n">
        <v>46124</v>
      </c>
    </row>
    <row r="361" customFormat="false" ht="14.25" hidden="false" customHeight="true" outlineLevel="0" collapsed="false">
      <c r="A361" s="1" t="s">
        <v>1465</v>
      </c>
      <c r="B361" s="1" t="s">
        <v>1466</v>
      </c>
      <c r="C361" s="1" t="s">
        <v>459</v>
      </c>
      <c r="D361" s="1" t="s">
        <v>984</v>
      </c>
      <c r="E361" s="6" t="n">
        <v>46195</v>
      </c>
      <c r="F361" s="6" t="n">
        <v>46195</v>
      </c>
      <c r="G361" s="1" t="s">
        <v>70</v>
      </c>
      <c r="H361" s="1" t="s">
        <v>123</v>
      </c>
      <c r="I361" s="1" t="s">
        <v>1467</v>
      </c>
      <c r="J361" s="1" t="n">
        <v>16745.59</v>
      </c>
      <c r="K361" s="1" t="n">
        <v>11851.6</v>
      </c>
      <c r="L361" s="1" t="n">
        <v>9192.96</v>
      </c>
      <c r="M361" s="1" t="n">
        <v>2658.64</v>
      </c>
      <c r="N361" s="1" t="s">
        <v>41</v>
      </c>
      <c r="P361" s="1" t="n">
        <v>2</v>
      </c>
      <c r="Q361" s="1" t="s">
        <v>63</v>
      </c>
      <c r="R361" s="1" t="s">
        <v>74</v>
      </c>
      <c r="S361" s="6" t="n">
        <v>46197</v>
      </c>
    </row>
    <row r="362" customFormat="false" ht="14.25" hidden="false" customHeight="true" outlineLevel="0" collapsed="false">
      <c r="A362" s="1" t="s">
        <v>1468</v>
      </c>
      <c r="B362" s="1" t="s">
        <v>497</v>
      </c>
      <c r="C362" s="1" t="s">
        <v>78</v>
      </c>
      <c r="D362" s="1" t="s">
        <v>1029</v>
      </c>
      <c r="E362" s="6" t="n">
        <v>46184</v>
      </c>
      <c r="F362" s="6" t="n">
        <v>46181</v>
      </c>
      <c r="G362" s="1" t="s">
        <v>70</v>
      </c>
      <c r="H362" s="1" t="s">
        <v>1469</v>
      </c>
      <c r="I362" s="1" t="s">
        <v>1470</v>
      </c>
      <c r="J362" s="1" t="n">
        <v>7314.8</v>
      </c>
      <c r="K362" s="1" t="n">
        <v>4851.33</v>
      </c>
      <c r="L362" s="1" t="n">
        <v>3793.35</v>
      </c>
      <c r="M362" s="1" t="n">
        <v>1057.98</v>
      </c>
      <c r="N362" s="1" t="s">
        <v>41</v>
      </c>
      <c r="P362" s="1" t="n">
        <v>7</v>
      </c>
      <c r="Q362" s="1" t="s">
        <v>155</v>
      </c>
      <c r="R362" s="1" t="s">
        <v>140</v>
      </c>
      <c r="S362" s="6" t="n">
        <v>46191</v>
      </c>
    </row>
    <row r="363" customFormat="false" ht="14.25" hidden="false" customHeight="true" outlineLevel="0" collapsed="false">
      <c r="A363" s="1" t="s">
        <v>1471</v>
      </c>
      <c r="B363" s="1" t="s">
        <v>906</v>
      </c>
      <c r="C363" s="1" t="s">
        <v>182</v>
      </c>
      <c r="D363" s="1" t="s">
        <v>855</v>
      </c>
      <c r="E363" s="6" t="n">
        <v>46145</v>
      </c>
      <c r="F363" s="6" t="n">
        <v>46143</v>
      </c>
      <c r="G363" s="1" t="s">
        <v>108</v>
      </c>
      <c r="H363" s="1" t="s">
        <v>1315</v>
      </c>
      <c r="I363" s="1" t="s">
        <v>1472</v>
      </c>
      <c r="J363" s="1" t="n">
        <v>14907.67</v>
      </c>
      <c r="K363" s="1" t="n">
        <v>14029.33</v>
      </c>
      <c r="L363" s="1" t="n">
        <v>0</v>
      </c>
      <c r="M363" s="1" t="n">
        <v>14029.33</v>
      </c>
      <c r="N363" s="1" t="s">
        <v>111</v>
      </c>
      <c r="P363" s="1" t="n">
        <v>12</v>
      </c>
      <c r="Q363" s="1" t="s">
        <v>155</v>
      </c>
      <c r="R363" s="1" t="s">
        <v>140</v>
      </c>
    </row>
    <row r="364" customFormat="false" ht="14.25" hidden="false" customHeight="true" outlineLevel="0" collapsed="false">
      <c r="A364" s="1" t="s">
        <v>1473</v>
      </c>
      <c r="B364" s="1" t="s">
        <v>197</v>
      </c>
      <c r="C364" s="1" t="s">
        <v>430</v>
      </c>
      <c r="D364" s="1" t="s">
        <v>137</v>
      </c>
      <c r="E364" s="6" t="n">
        <v>46187</v>
      </c>
      <c r="F364" s="6" t="n">
        <v>46186</v>
      </c>
      <c r="G364" s="1" t="s">
        <v>70</v>
      </c>
      <c r="H364" s="1" t="s">
        <v>1474</v>
      </c>
      <c r="I364" s="1" t="s">
        <v>1475</v>
      </c>
      <c r="J364" s="1" t="n">
        <v>17406.82</v>
      </c>
      <c r="K364" s="1" t="n">
        <v>14802.03</v>
      </c>
      <c r="L364" s="1" t="n">
        <v>0</v>
      </c>
      <c r="M364" s="1" t="n">
        <v>14802.03</v>
      </c>
      <c r="N364" s="1" t="s">
        <v>52</v>
      </c>
      <c r="O364" s="1" t="s">
        <v>73</v>
      </c>
      <c r="P364" s="1" t="n">
        <v>8</v>
      </c>
      <c r="Q364" s="1" t="s">
        <v>63</v>
      </c>
      <c r="R364" s="1" t="s">
        <v>102</v>
      </c>
    </row>
    <row r="365" customFormat="false" ht="14.25" hidden="false" customHeight="true" outlineLevel="0" collapsed="false">
      <c r="A365" s="1" t="s">
        <v>1476</v>
      </c>
      <c r="B365" s="1" t="s">
        <v>84</v>
      </c>
      <c r="C365" s="1" t="s">
        <v>221</v>
      </c>
      <c r="D365" s="1" t="s">
        <v>203</v>
      </c>
      <c r="E365" s="6" t="n">
        <v>46064</v>
      </c>
      <c r="F365" s="6" t="n">
        <v>46064</v>
      </c>
      <c r="G365" s="1" t="s">
        <v>49</v>
      </c>
      <c r="H365" s="1" t="s">
        <v>691</v>
      </c>
      <c r="I365" s="1" t="s">
        <v>1477</v>
      </c>
      <c r="J365" s="1" t="n">
        <v>39564.97</v>
      </c>
      <c r="K365" s="1" t="n">
        <v>26218.03</v>
      </c>
      <c r="L365" s="1" t="n">
        <v>21101.62</v>
      </c>
      <c r="M365" s="1" t="n">
        <v>5116.41</v>
      </c>
      <c r="N365" s="1" t="s">
        <v>41</v>
      </c>
      <c r="P365" s="1" t="n">
        <v>1</v>
      </c>
      <c r="Q365" s="1" t="s">
        <v>155</v>
      </c>
      <c r="R365" s="1" t="s">
        <v>43</v>
      </c>
      <c r="S365" s="6" t="n">
        <v>46065</v>
      </c>
    </row>
    <row r="366" customFormat="false" ht="14.25" hidden="false" customHeight="true" outlineLevel="0" collapsed="false">
      <c r="A366" s="1" t="s">
        <v>1478</v>
      </c>
      <c r="B366" s="1" t="s">
        <v>1479</v>
      </c>
      <c r="C366" s="1" t="s">
        <v>686</v>
      </c>
      <c r="D366" s="1" t="s">
        <v>291</v>
      </c>
      <c r="E366" s="6" t="n">
        <v>46213</v>
      </c>
      <c r="F366" s="6" t="n">
        <v>46211</v>
      </c>
      <c r="G366" s="1" t="s">
        <v>108</v>
      </c>
      <c r="H366" s="1" t="s">
        <v>1480</v>
      </c>
      <c r="I366" s="1" t="s">
        <v>1481</v>
      </c>
      <c r="J366" s="1" t="n">
        <v>19107.63</v>
      </c>
      <c r="K366" s="1" t="n">
        <v>14714.67</v>
      </c>
      <c r="L366" s="1" t="n">
        <v>0</v>
      </c>
      <c r="M366" s="1" t="n">
        <v>14714.67</v>
      </c>
      <c r="N366" s="1" t="s">
        <v>52</v>
      </c>
      <c r="O366" s="1" t="s">
        <v>230</v>
      </c>
      <c r="P366" s="1" t="n">
        <v>1</v>
      </c>
      <c r="Q366" s="1" t="s">
        <v>155</v>
      </c>
      <c r="R366" s="1" t="s">
        <v>102</v>
      </c>
    </row>
    <row r="367" customFormat="false" ht="14.25" hidden="false" customHeight="true" outlineLevel="0" collapsed="false">
      <c r="A367" s="1" t="s">
        <v>1482</v>
      </c>
      <c r="B367" s="1" t="s">
        <v>708</v>
      </c>
      <c r="C367" s="1" t="s">
        <v>36</v>
      </c>
      <c r="D367" s="1" t="s">
        <v>1077</v>
      </c>
      <c r="E367" s="6" t="n">
        <v>46136</v>
      </c>
      <c r="F367" s="6" t="n">
        <v>46135</v>
      </c>
      <c r="G367" s="1" t="s">
        <v>38</v>
      </c>
      <c r="H367" s="1" t="s">
        <v>1483</v>
      </c>
      <c r="I367" s="1" t="s">
        <v>1484</v>
      </c>
      <c r="J367" s="1" t="n">
        <v>45679.08</v>
      </c>
      <c r="K367" s="1" t="n">
        <v>34623.5</v>
      </c>
      <c r="L367" s="1" t="n">
        <v>0</v>
      </c>
      <c r="M367" s="1" t="n">
        <v>34623.5</v>
      </c>
      <c r="N367" s="1" t="s">
        <v>111</v>
      </c>
      <c r="P367" s="1" t="n">
        <v>4</v>
      </c>
      <c r="Q367" s="1" t="s">
        <v>42</v>
      </c>
      <c r="R367" s="1" t="s">
        <v>140</v>
      </c>
    </row>
    <row r="368" customFormat="false" ht="14.25" hidden="false" customHeight="true" outlineLevel="0" collapsed="false">
      <c r="A368" s="1" t="s">
        <v>1485</v>
      </c>
      <c r="B368" s="1" t="s">
        <v>181</v>
      </c>
      <c r="C368" s="1" t="s">
        <v>164</v>
      </c>
      <c r="D368" s="1" t="s">
        <v>165</v>
      </c>
      <c r="E368" s="6" t="n">
        <v>46113</v>
      </c>
      <c r="F368" s="6" t="n">
        <v>46109</v>
      </c>
      <c r="G368" s="1" t="s">
        <v>49</v>
      </c>
      <c r="H368" s="1" t="s">
        <v>1486</v>
      </c>
      <c r="I368" s="1" t="s">
        <v>1487</v>
      </c>
      <c r="J368" s="1" t="n">
        <v>10201.38</v>
      </c>
      <c r="K368" s="1" t="n">
        <v>7169.77</v>
      </c>
      <c r="L368" s="1" t="n">
        <v>5846.57</v>
      </c>
      <c r="M368" s="1" t="n">
        <v>1323.2</v>
      </c>
      <c r="N368" s="1" t="s">
        <v>41</v>
      </c>
      <c r="P368" s="1" t="n">
        <v>2</v>
      </c>
      <c r="Q368" s="1" t="s">
        <v>63</v>
      </c>
      <c r="R368" s="1" t="s">
        <v>140</v>
      </c>
      <c r="S368" s="6" t="n">
        <v>46115</v>
      </c>
    </row>
    <row r="369" customFormat="false" ht="14.25" hidden="false" customHeight="true" outlineLevel="0" collapsed="false">
      <c r="A369" s="1" t="s">
        <v>1488</v>
      </c>
      <c r="B369" s="1" t="s">
        <v>1140</v>
      </c>
      <c r="C369" s="1" t="s">
        <v>367</v>
      </c>
      <c r="D369" s="1" t="s">
        <v>476</v>
      </c>
      <c r="E369" s="6" t="n">
        <v>46104</v>
      </c>
      <c r="F369" s="6" t="n">
        <v>46101</v>
      </c>
      <c r="G369" s="1" t="s">
        <v>38</v>
      </c>
      <c r="H369" s="1" t="s">
        <v>1489</v>
      </c>
      <c r="I369" s="1" t="s">
        <v>1490</v>
      </c>
      <c r="J369" s="1" t="n">
        <v>40569.64</v>
      </c>
      <c r="K369" s="1" t="n">
        <v>34414.11</v>
      </c>
      <c r="L369" s="1" t="n">
        <v>33907.89</v>
      </c>
      <c r="M369" s="1" t="n">
        <v>506.22</v>
      </c>
      <c r="N369" s="1" t="s">
        <v>41</v>
      </c>
      <c r="P369" s="1" t="n">
        <v>7</v>
      </c>
      <c r="Q369" s="1" t="s">
        <v>155</v>
      </c>
      <c r="R369" s="1" t="s">
        <v>64</v>
      </c>
      <c r="S369" s="6" t="n">
        <v>46111</v>
      </c>
    </row>
    <row r="370" customFormat="false" ht="14.25" hidden="false" customHeight="true" outlineLevel="0" collapsed="false">
      <c r="A370" s="1" t="s">
        <v>1491</v>
      </c>
      <c r="B370" s="1" t="s">
        <v>1248</v>
      </c>
      <c r="C370" s="1" t="s">
        <v>325</v>
      </c>
      <c r="D370" s="1" t="s">
        <v>1084</v>
      </c>
      <c r="E370" s="6" t="n">
        <v>46124</v>
      </c>
      <c r="F370" s="6" t="n">
        <v>46119</v>
      </c>
      <c r="G370" s="1" t="s">
        <v>38</v>
      </c>
      <c r="H370" s="1" t="s">
        <v>1492</v>
      </c>
      <c r="I370" s="1" t="s">
        <v>1493</v>
      </c>
      <c r="J370" s="1" t="n">
        <v>30177.68</v>
      </c>
      <c r="K370" s="1" t="n">
        <v>28460.4</v>
      </c>
      <c r="L370" s="1" t="n">
        <v>23085.3</v>
      </c>
      <c r="M370" s="1" t="n">
        <v>5375.1</v>
      </c>
      <c r="N370" s="1" t="s">
        <v>41</v>
      </c>
      <c r="P370" s="1" t="n">
        <v>1</v>
      </c>
      <c r="Q370" s="1" t="s">
        <v>155</v>
      </c>
      <c r="R370" s="1" t="s">
        <v>74</v>
      </c>
      <c r="S370" s="6" t="n">
        <v>46125</v>
      </c>
    </row>
    <row r="371" customFormat="false" ht="14.25" hidden="false" customHeight="true" outlineLevel="0" collapsed="false">
      <c r="A371" s="1" t="s">
        <v>1494</v>
      </c>
      <c r="B371" s="1" t="s">
        <v>1225</v>
      </c>
      <c r="C371" s="1" t="s">
        <v>129</v>
      </c>
      <c r="D371" s="1" t="s">
        <v>933</v>
      </c>
      <c r="E371" s="6" t="n">
        <v>46228</v>
      </c>
      <c r="F371" s="6" t="n">
        <v>46226</v>
      </c>
      <c r="G371" s="1" t="s">
        <v>108</v>
      </c>
      <c r="H371" s="1" t="s">
        <v>1334</v>
      </c>
      <c r="I371" s="1" t="s">
        <v>1495</v>
      </c>
      <c r="J371" s="1" t="n">
        <v>42649.38</v>
      </c>
      <c r="K371" s="1" t="n">
        <v>40112.39</v>
      </c>
      <c r="L371" s="1" t="n">
        <v>0</v>
      </c>
      <c r="M371" s="1" t="n">
        <v>40112.39</v>
      </c>
      <c r="N371" s="1" t="s">
        <v>52</v>
      </c>
      <c r="O371" s="1" t="s">
        <v>265</v>
      </c>
      <c r="P371" s="1" t="n">
        <v>8</v>
      </c>
      <c r="Q371" s="1" t="s">
        <v>63</v>
      </c>
      <c r="R371" s="1" t="s">
        <v>125</v>
      </c>
    </row>
    <row r="372" customFormat="false" ht="14.25" hidden="false" customHeight="true" outlineLevel="0" collapsed="false">
      <c r="A372" s="1" t="s">
        <v>1496</v>
      </c>
      <c r="B372" s="1" t="s">
        <v>1244</v>
      </c>
      <c r="C372" s="1" t="s">
        <v>129</v>
      </c>
      <c r="D372" s="1" t="s">
        <v>595</v>
      </c>
      <c r="E372" s="6" t="n">
        <v>46192</v>
      </c>
      <c r="F372" s="6" t="n">
        <v>46188</v>
      </c>
      <c r="G372" s="1" t="s">
        <v>49</v>
      </c>
      <c r="H372" s="1" t="s">
        <v>1497</v>
      </c>
      <c r="I372" s="1" t="s">
        <v>1498</v>
      </c>
      <c r="J372" s="1" t="n">
        <v>26185.17</v>
      </c>
      <c r="K372" s="1" t="n">
        <v>18426.49</v>
      </c>
      <c r="L372" s="1" t="n">
        <v>17102.03</v>
      </c>
      <c r="M372" s="1" t="n">
        <v>1324.46</v>
      </c>
      <c r="N372" s="1" t="s">
        <v>41</v>
      </c>
      <c r="P372" s="1" t="n">
        <v>8</v>
      </c>
      <c r="Q372" s="1" t="s">
        <v>155</v>
      </c>
      <c r="R372" s="1" t="s">
        <v>140</v>
      </c>
      <c r="S372" s="6" t="n">
        <v>46200</v>
      </c>
    </row>
    <row r="373" customFormat="false" ht="14.25" hidden="false" customHeight="true" outlineLevel="0" collapsed="false">
      <c r="A373" s="1" t="s">
        <v>1499</v>
      </c>
      <c r="B373" s="1" t="s">
        <v>726</v>
      </c>
      <c r="C373" s="1" t="s">
        <v>58</v>
      </c>
      <c r="D373" s="1" t="s">
        <v>336</v>
      </c>
      <c r="E373" s="6" t="n">
        <v>46077</v>
      </c>
      <c r="F373" s="6" t="n">
        <v>46074</v>
      </c>
      <c r="G373" s="1" t="s">
        <v>108</v>
      </c>
      <c r="H373" s="1" t="s">
        <v>736</v>
      </c>
      <c r="I373" s="1" t="s">
        <v>1500</v>
      </c>
      <c r="J373" s="1" t="n">
        <v>20097.05</v>
      </c>
      <c r="K373" s="1" t="n">
        <v>14907.99</v>
      </c>
      <c r="L373" s="1" t="n">
        <v>0</v>
      </c>
      <c r="M373" s="1" t="n">
        <v>14907.99</v>
      </c>
      <c r="N373" s="1" t="s">
        <v>52</v>
      </c>
      <c r="O373" s="1" t="s">
        <v>73</v>
      </c>
      <c r="P373" s="1" t="n">
        <v>7</v>
      </c>
      <c r="Q373" s="1" t="s">
        <v>63</v>
      </c>
      <c r="R373" s="1" t="s">
        <v>43</v>
      </c>
    </row>
    <row r="374" customFormat="false" ht="14.25" hidden="false" customHeight="true" outlineLevel="0" collapsed="false">
      <c r="A374" s="1" t="s">
        <v>1501</v>
      </c>
      <c r="B374" s="1" t="s">
        <v>1260</v>
      </c>
      <c r="C374" s="1" t="s">
        <v>279</v>
      </c>
      <c r="D374" s="1" t="s">
        <v>740</v>
      </c>
      <c r="E374" s="6" t="n">
        <v>46157</v>
      </c>
      <c r="F374" s="6" t="n">
        <v>46155</v>
      </c>
      <c r="G374" s="1" t="s">
        <v>70</v>
      </c>
      <c r="H374" s="1" t="s">
        <v>1502</v>
      </c>
      <c r="I374" s="1" t="s">
        <v>1503</v>
      </c>
      <c r="J374" s="1" t="n">
        <v>2536.57</v>
      </c>
      <c r="K374" s="1" t="n">
        <v>2038.59</v>
      </c>
      <c r="L374" s="1" t="n">
        <v>1700.37</v>
      </c>
      <c r="M374" s="1" t="n">
        <v>338.22</v>
      </c>
      <c r="N374" s="1" t="s">
        <v>41</v>
      </c>
      <c r="P374" s="1" t="n">
        <v>8</v>
      </c>
      <c r="Q374" s="1" t="s">
        <v>63</v>
      </c>
      <c r="R374" s="1" t="s">
        <v>102</v>
      </c>
      <c r="S374" s="6" t="n">
        <v>46165</v>
      </c>
    </row>
    <row r="375" customFormat="false" ht="14.25" hidden="false" customHeight="true" outlineLevel="0" collapsed="false">
      <c r="A375" s="1" t="s">
        <v>1504</v>
      </c>
      <c r="B375" s="1" t="s">
        <v>932</v>
      </c>
      <c r="C375" s="1" t="s">
        <v>115</v>
      </c>
      <c r="D375" s="1" t="s">
        <v>881</v>
      </c>
      <c r="E375" s="6" t="n">
        <v>46120</v>
      </c>
      <c r="F375" s="6" t="n">
        <v>46120</v>
      </c>
      <c r="G375" s="1" t="s">
        <v>108</v>
      </c>
      <c r="H375" s="1" t="s">
        <v>1505</v>
      </c>
      <c r="I375" s="1" t="s">
        <v>1506</v>
      </c>
      <c r="J375" s="1" t="n">
        <v>12072.62</v>
      </c>
      <c r="K375" s="1" t="n">
        <v>10184.54</v>
      </c>
      <c r="L375" s="1" t="n">
        <v>8552.7</v>
      </c>
      <c r="M375" s="1" t="n">
        <v>1631.84</v>
      </c>
      <c r="N375" s="1" t="s">
        <v>41</v>
      </c>
      <c r="P375" s="1" t="n">
        <v>2</v>
      </c>
      <c r="Q375" s="1" t="s">
        <v>155</v>
      </c>
      <c r="R375" s="1" t="s">
        <v>54</v>
      </c>
      <c r="S375" s="6" t="n">
        <v>46122</v>
      </c>
    </row>
    <row r="376" customFormat="false" ht="14.25" hidden="false" customHeight="true" outlineLevel="0" collapsed="false">
      <c r="A376" s="1" t="s">
        <v>1507</v>
      </c>
      <c r="B376" s="1" t="s">
        <v>1221</v>
      </c>
      <c r="C376" s="1" t="s">
        <v>361</v>
      </c>
      <c r="D376" s="1" t="s">
        <v>341</v>
      </c>
      <c r="E376" s="6" t="n">
        <v>46053</v>
      </c>
      <c r="F376" s="6" t="n">
        <v>46053</v>
      </c>
      <c r="G376" s="1" t="s">
        <v>70</v>
      </c>
      <c r="H376" s="1" t="s">
        <v>1245</v>
      </c>
      <c r="I376" s="1" t="s">
        <v>1508</v>
      </c>
      <c r="J376" s="1" t="n">
        <v>27528.29</v>
      </c>
      <c r="K376" s="1" t="n">
        <v>20649.72</v>
      </c>
      <c r="L376" s="1" t="n">
        <v>18972.48</v>
      </c>
      <c r="M376" s="1" t="n">
        <v>1677.24</v>
      </c>
      <c r="N376" s="1" t="s">
        <v>41</v>
      </c>
      <c r="P376" s="1" t="n">
        <v>5</v>
      </c>
      <c r="Q376" s="1" t="s">
        <v>42</v>
      </c>
      <c r="R376" s="1" t="s">
        <v>74</v>
      </c>
      <c r="S376" s="6" t="n">
        <v>46058</v>
      </c>
    </row>
    <row r="377" customFormat="false" ht="14.25" hidden="false" customHeight="true" outlineLevel="0" collapsed="false">
      <c r="A377" s="1" t="s">
        <v>1509</v>
      </c>
      <c r="B377" s="1" t="s">
        <v>872</v>
      </c>
      <c r="C377" s="1" t="s">
        <v>430</v>
      </c>
      <c r="D377" s="1" t="s">
        <v>1029</v>
      </c>
      <c r="E377" s="6" t="n">
        <v>46164</v>
      </c>
      <c r="F377" s="6" t="n">
        <v>46162</v>
      </c>
      <c r="G377" s="1" t="s">
        <v>108</v>
      </c>
      <c r="H377" s="1" t="s">
        <v>131</v>
      </c>
      <c r="I377" s="1" t="s">
        <v>433</v>
      </c>
      <c r="J377" s="1" t="n">
        <v>15323.97</v>
      </c>
      <c r="K377" s="1" t="n">
        <v>13740.89</v>
      </c>
      <c r="L377" s="1" t="n">
        <v>12995.89</v>
      </c>
      <c r="M377" s="1" t="n">
        <v>745</v>
      </c>
      <c r="N377" s="1" t="s">
        <v>41</v>
      </c>
      <c r="P377" s="1" t="n">
        <v>7</v>
      </c>
      <c r="Q377" s="1" t="s">
        <v>155</v>
      </c>
      <c r="R377" s="1" t="s">
        <v>125</v>
      </c>
      <c r="S377" s="6" t="n">
        <v>46171</v>
      </c>
    </row>
    <row r="378" customFormat="false" ht="14.25" hidden="false" customHeight="true" outlineLevel="0" collapsed="false">
      <c r="A378" s="1" t="s">
        <v>1510</v>
      </c>
      <c r="B378" s="1" t="s">
        <v>1192</v>
      </c>
      <c r="C378" s="1" t="s">
        <v>215</v>
      </c>
      <c r="D378" s="1" t="s">
        <v>890</v>
      </c>
      <c r="E378" s="6" t="n">
        <v>46125</v>
      </c>
      <c r="F378" s="6" t="n">
        <v>46124</v>
      </c>
      <c r="G378" s="1" t="s">
        <v>70</v>
      </c>
      <c r="H378" s="1" t="s">
        <v>1511</v>
      </c>
      <c r="I378" s="1" t="s">
        <v>1512</v>
      </c>
      <c r="J378" s="1" t="n">
        <v>37582.29</v>
      </c>
      <c r="K378" s="1" t="n">
        <v>29777.63</v>
      </c>
      <c r="L378" s="1" t="n">
        <v>26173.24</v>
      </c>
      <c r="M378" s="1" t="n">
        <v>3604.39</v>
      </c>
      <c r="N378" s="1" t="s">
        <v>41</v>
      </c>
      <c r="P378" s="1" t="n">
        <v>8</v>
      </c>
      <c r="Q378" s="1" t="s">
        <v>63</v>
      </c>
      <c r="R378" s="1" t="s">
        <v>125</v>
      </c>
      <c r="S378" s="6" t="n">
        <v>46133</v>
      </c>
    </row>
    <row r="379" customFormat="false" ht="14.25" hidden="false" customHeight="true" outlineLevel="0" collapsed="false">
      <c r="A379" s="1" t="s">
        <v>1513</v>
      </c>
      <c r="B379" s="1" t="s">
        <v>1514</v>
      </c>
      <c r="C379" s="1" t="s">
        <v>361</v>
      </c>
      <c r="D379" s="1" t="s">
        <v>305</v>
      </c>
      <c r="E379" s="6" t="n">
        <v>46204</v>
      </c>
      <c r="F379" s="6" t="n">
        <v>46201</v>
      </c>
      <c r="G379" s="1" t="s">
        <v>49</v>
      </c>
      <c r="H379" s="1" t="s">
        <v>1515</v>
      </c>
      <c r="I379" s="1" t="s">
        <v>1516</v>
      </c>
      <c r="J379" s="1" t="n">
        <v>22773.61</v>
      </c>
      <c r="K379" s="1" t="n">
        <v>18618.2</v>
      </c>
      <c r="L379" s="1" t="n">
        <v>15707.71</v>
      </c>
      <c r="M379" s="1" t="n">
        <v>2910.49</v>
      </c>
      <c r="N379" s="1" t="s">
        <v>41</v>
      </c>
      <c r="P379" s="1" t="n">
        <v>3</v>
      </c>
      <c r="Q379" s="1" t="s">
        <v>63</v>
      </c>
      <c r="R379" s="1" t="s">
        <v>140</v>
      </c>
      <c r="S379" s="6" t="n">
        <v>46207</v>
      </c>
    </row>
    <row r="380" customFormat="false" ht="14.25" hidden="false" customHeight="true" outlineLevel="0" collapsed="false">
      <c r="A380" s="1" t="s">
        <v>1517</v>
      </c>
      <c r="B380" s="1" t="s">
        <v>670</v>
      </c>
      <c r="C380" s="1" t="s">
        <v>386</v>
      </c>
      <c r="D380" s="1" t="s">
        <v>418</v>
      </c>
      <c r="E380" s="6" t="n">
        <v>46133</v>
      </c>
      <c r="F380" s="6" t="n">
        <v>46130</v>
      </c>
      <c r="G380" s="1" t="s">
        <v>108</v>
      </c>
      <c r="H380" s="1" t="s">
        <v>1409</v>
      </c>
      <c r="I380" s="1" t="s">
        <v>1518</v>
      </c>
      <c r="J380" s="1" t="n">
        <v>20466.75</v>
      </c>
      <c r="K380" s="1" t="n">
        <v>18084.28</v>
      </c>
      <c r="L380" s="1" t="n">
        <v>0</v>
      </c>
      <c r="M380" s="1" t="n">
        <v>18084.28</v>
      </c>
      <c r="N380" s="1" t="s">
        <v>111</v>
      </c>
      <c r="P380" s="1" t="n">
        <v>12</v>
      </c>
      <c r="Q380" s="1" t="s">
        <v>155</v>
      </c>
      <c r="R380" s="1" t="s">
        <v>140</v>
      </c>
    </row>
    <row r="381" customFormat="false" ht="14.25" hidden="false" customHeight="true" outlineLevel="0" collapsed="false">
      <c r="A381" s="1" t="s">
        <v>1519</v>
      </c>
      <c r="B381" s="1" t="s">
        <v>295</v>
      </c>
      <c r="C381" s="1" t="s">
        <v>510</v>
      </c>
      <c r="D381" s="1" t="s">
        <v>362</v>
      </c>
      <c r="E381" s="6" t="n">
        <v>46111</v>
      </c>
      <c r="F381" s="6" t="n">
        <v>46107</v>
      </c>
      <c r="G381" s="1" t="s">
        <v>108</v>
      </c>
      <c r="H381" s="1" t="s">
        <v>1301</v>
      </c>
      <c r="I381" s="1" t="s">
        <v>1520</v>
      </c>
      <c r="J381" s="1" t="n">
        <v>30348.64</v>
      </c>
      <c r="K381" s="1" t="n">
        <v>25260.73</v>
      </c>
      <c r="L381" s="1" t="n">
        <v>0</v>
      </c>
      <c r="M381" s="1" t="n">
        <v>25260.73</v>
      </c>
      <c r="N381" s="1" t="s">
        <v>111</v>
      </c>
      <c r="P381" s="1" t="n">
        <v>10</v>
      </c>
      <c r="Q381" s="1" t="s">
        <v>155</v>
      </c>
      <c r="R381" s="1" t="s">
        <v>43</v>
      </c>
    </row>
    <row r="382" customFormat="false" ht="14.25" hidden="false" customHeight="true" outlineLevel="0" collapsed="false">
      <c r="A382" s="1" t="s">
        <v>1521</v>
      </c>
      <c r="B382" s="1" t="s">
        <v>278</v>
      </c>
      <c r="C382" s="1" t="s">
        <v>68</v>
      </c>
      <c r="D382" s="1" t="s">
        <v>152</v>
      </c>
      <c r="E382" s="6" t="n">
        <v>46052</v>
      </c>
      <c r="F382" s="6" t="n">
        <v>46050</v>
      </c>
      <c r="G382" s="1" t="s">
        <v>49</v>
      </c>
      <c r="H382" s="1" t="s">
        <v>1522</v>
      </c>
      <c r="I382" s="1" t="s">
        <v>1523</v>
      </c>
      <c r="J382" s="1" t="n">
        <v>22851</v>
      </c>
      <c r="K382" s="1" t="n">
        <v>20986.89</v>
      </c>
      <c r="L382" s="1" t="n">
        <v>16229.38</v>
      </c>
      <c r="M382" s="1" t="n">
        <v>4757.51</v>
      </c>
      <c r="N382" s="1" t="s">
        <v>41</v>
      </c>
      <c r="P382" s="1" t="n">
        <v>2</v>
      </c>
      <c r="Q382" s="1" t="s">
        <v>155</v>
      </c>
      <c r="R382" s="1" t="s">
        <v>54</v>
      </c>
      <c r="S382" s="6" t="n">
        <v>46054</v>
      </c>
    </row>
    <row r="383" customFormat="false" ht="14.25" hidden="false" customHeight="true" outlineLevel="0" collapsed="false">
      <c r="A383" s="1" t="s">
        <v>1524</v>
      </c>
      <c r="B383" s="1" t="s">
        <v>1525</v>
      </c>
      <c r="C383" s="1" t="s">
        <v>151</v>
      </c>
      <c r="D383" s="1" t="s">
        <v>441</v>
      </c>
      <c r="E383" s="6" t="n">
        <v>46123</v>
      </c>
      <c r="F383" s="6" t="n">
        <v>46121</v>
      </c>
      <c r="G383" s="1" t="s">
        <v>70</v>
      </c>
      <c r="H383" s="1" t="s">
        <v>1397</v>
      </c>
      <c r="I383" s="1" t="s">
        <v>1526</v>
      </c>
      <c r="J383" s="1" t="n">
        <v>14909.72</v>
      </c>
      <c r="K383" s="1" t="n">
        <v>12036.9</v>
      </c>
      <c r="L383" s="1" t="n">
        <v>10395.86</v>
      </c>
      <c r="M383" s="1" t="n">
        <v>1641.04</v>
      </c>
      <c r="N383" s="1" t="s">
        <v>41</v>
      </c>
      <c r="P383" s="1" t="n">
        <v>6</v>
      </c>
      <c r="Q383" s="1" t="s">
        <v>63</v>
      </c>
      <c r="R383" s="1" t="s">
        <v>140</v>
      </c>
      <c r="S383" s="6" t="n">
        <v>46129</v>
      </c>
    </row>
    <row r="384" customFormat="false" ht="14.25" hidden="false" customHeight="true" outlineLevel="0" collapsed="false">
      <c r="A384" s="1" t="s">
        <v>1527</v>
      </c>
      <c r="B384" s="1" t="s">
        <v>1528</v>
      </c>
      <c r="C384" s="1" t="s">
        <v>510</v>
      </c>
      <c r="D384" s="1" t="s">
        <v>607</v>
      </c>
      <c r="E384" s="6" t="n">
        <v>46052</v>
      </c>
      <c r="F384" s="6" t="n">
        <v>46051</v>
      </c>
      <c r="G384" s="1" t="s">
        <v>49</v>
      </c>
      <c r="H384" s="1" t="s">
        <v>1529</v>
      </c>
      <c r="I384" s="1" t="s">
        <v>1530</v>
      </c>
      <c r="J384" s="1" t="n">
        <v>24173.43</v>
      </c>
      <c r="K384" s="1" t="n">
        <v>16211.4</v>
      </c>
      <c r="L384" s="1" t="n">
        <v>16029.41</v>
      </c>
      <c r="M384" s="1" t="n">
        <v>181.99</v>
      </c>
      <c r="N384" s="1" t="s">
        <v>41</v>
      </c>
      <c r="P384" s="1" t="n">
        <v>4</v>
      </c>
      <c r="Q384" s="1" t="s">
        <v>155</v>
      </c>
      <c r="R384" s="1" t="s">
        <v>64</v>
      </c>
      <c r="S384" s="6" t="n">
        <v>46056</v>
      </c>
    </row>
    <row r="385" customFormat="false" ht="14.25" hidden="false" customHeight="true" outlineLevel="0" collapsed="false">
      <c r="A385" s="1" t="s">
        <v>1531</v>
      </c>
      <c r="B385" s="1" t="s">
        <v>634</v>
      </c>
      <c r="C385" s="1" t="s">
        <v>151</v>
      </c>
      <c r="D385" s="1" t="s">
        <v>476</v>
      </c>
      <c r="E385" s="6" t="n">
        <v>46172</v>
      </c>
      <c r="F385" s="6" t="n">
        <v>46170</v>
      </c>
      <c r="G385" s="1" t="s">
        <v>49</v>
      </c>
      <c r="H385" s="1" t="s">
        <v>1532</v>
      </c>
      <c r="I385" s="1" t="s">
        <v>1533</v>
      </c>
      <c r="J385" s="1" t="n">
        <v>25372.51</v>
      </c>
      <c r="K385" s="1" t="n">
        <v>21704.93</v>
      </c>
      <c r="L385" s="1" t="n">
        <v>0</v>
      </c>
      <c r="M385" s="1" t="n">
        <v>21704.93</v>
      </c>
      <c r="N385" s="1" t="s">
        <v>111</v>
      </c>
      <c r="P385" s="1" t="n">
        <v>8</v>
      </c>
      <c r="Q385" s="1" t="s">
        <v>42</v>
      </c>
      <c r="R385" s="1" t="s">
        <v>125</v>
      </c>
    </row>
    <row r="386" customFormat="false" ht="14.25" hidden="false" customHeight="true" outlineLevel="0" collapsed="false">
      <c r="A386" s="1" t="s">
        <v>1534</v>
      </c>
      <c r="B386" s="1" t="s">
        <v>404</v>
      </c>
      <c r="C386" s="1" t="s">
        <v>376</v>
      </c>
      <c r="D386" s="1" t="s">
        <v>239</v>
      </c>
      <c r="E386" s="6" t="n">
        <v>46090</v>
      </c>
      <c r="F386" s="6" t="n">
        <v>46086</v>
      </c>
      <c r="G386" s="1" t="s">
        <v>49</v>
      </c>
      <c r="H386" s="1" t="s">
        <v>575</v>
      </c>
      <c r="I386" s="1" t="s">
        <v>1535</v>
      </c>
      <c r="J386" s="1" t="n">
        <v>28676.84</v>
      </c>
      <c r="K386" s="1" t="n">
        <v>22863.69</v>
      </c>
      <c r="L386" s="1" t="n">
        <v>19792.5</v>
      </c>
      <c r="M386" s="1" t="n">
        <v>3071.19</v>
      </c>
      <c r="N386" s="1" t="s">
        <v>41</v>
      </c>
      <c r="P386" s="1" t="n">
        <v>1</v>
      </c>
      <c r="Q386" s="1" t="s">
        <v>63</v>
      </c>
      <c r="R386" s="1" t="s">
        <v>64</v>
      </c>
      <c r="S386" s="6" t="n">
        <v>46091</v>
      </c>
    </row>
    <row r="387" customFormat="false" ht="14.25" hidden="false" customHeight="true" outlineLevel="0" collapsed="false">
      <c r="A387" s="1" t="s">
        <v>1536</v>
      </c>
      <c r="B387" s="1" t="s">
        <v>1239</v>
      </c>
      <c r="C387" s="1" t="s">
        <v>221</v>
      </c>
      <c r="D387" s="1" t="s">
        <v>137</v>
      </c>
      <c r="E387" s="6" t="n">
        <v>46234</v>
      </c>
      <c r="F387" s="6" t="n">
        <v>46233</v>
      </c>
      <c r="G387" s="1" t="s">
        <v>108</v>
      </c>
      <c r="H387" s="1" t="s">
        <v>1537</v>
      </c>
      <c r="I387" s="1" t="s">
        <v>1538</v>
      </c>
      <c r="J387" s="1" t="n">
        <v>9389.12</v>
      </c>
      <c r="K387" s="1" t="n">
        <v>7842.93</v>
      </c>
      <c r="L387" s="1" t="n">
        <v>6729.38</v>
      </c>
      <c r="M387" s="1" t="n">
        <v>1113.55</v>
      </c>
      <c r="N387" s="1" t="s">
        <v>41</v>
      </c>
      <c r="P387" s="1" t="n">
        <v>7</v>
      </c>
      <c r="Q387" s="1" t="s">
        <v>155</v>
      </c>
      <c r="R387" s="1" t="s">
        <v>125</v>
      </c>
      <c r="S387" s="6" t="n">
        <v>46241</v>
      </c>
    </row>
    <row r="388" customFormat="false" ht="14.25" hidden="false" customHeight="true" outlineLevel="0" collapsed="false">
      <c r="A388" s="1" t="s">
        <v>1539</v>
      </c>
      <c r="B388" s="1" t="s">
        <v>794</v>
      </c>
      <c r="C388" s="1" t="s">
        <v>136</v>
      </c>
      <c r="D388" s="1" t="s">
        <v>208</v>
      </c>
      <c r="E388" s="6" t="n">
        <v>46065</v>
      </c>
      <c r="F388" s="6" t="n">
        <v>46063</v>
      </c>
      <c r="G388" s="1" t="s">
        <v>108</v>
      </c>
      <c r="H388" s="1" t="s">
        <v>1540</v>
      </c>
      <c r="I388" s="1" t="s">
        <v>1541</v>
      </c>
      <c r="J388" s="1" t="n">
        <v>27118.01</v>
      </c>
      <c r="K388" s="1" t="n">
        <v>23050.23</v>
      </c>
      <c r="L388" s="1" t="n">
        <v>0</v>
      </c>
      <c r="M388" s="1" t="n">
        <v>23050.23</v>
      </c>
      <c r="N388" s="1" t="s">
        <v>52</v>
      </c>
      <c r="O388" s="1" t="s">
        <v>265</v>
      </c>
      <c r="P388" s="1" t="n">
        <v>2</v>
      </c>
      <c r="Q388" s="1" t="s">
        <v>155</v>
      </c>
      <c r="R388" s="1" t="s">
        <v>64</v>
      </c>
    </row>
    <row r="389" customFormat="false" ht="14.25" hidden="false" customHeight="true" outlineLevel="0" collapsed="false">
      <c r="A389" s="1" t="s">
        <v>1542</v>
      </c>
      <c r="B389" s="1" t="s">
        <v>355</v>
      </c>
      <c r="C389" s="1" t="s">
        <v>286</v>
      </c>
      <c r="D389" s="1" t="s">
        <v>183</v>
      </c>
      <c r="E389" s="6" t="n">
        <v>46221</v>
      </c>
      <c r="F389" s="6" t="n">
        <v>46219</v>
      </c>
      <c r="G389" s="1" t="s">
        <v>49</v>
      </c>
      <c r="H389" s="1" t="s">
        <v>1543</v>
      </c>
      <c r="I389" s="1" t="s">
        <v>1544</v>
      </c>
      <c r="J389" s="1" t="n">
        <v>8659.54</v>
      </c>
      <c r="K389" s="1" t="n">
        <v>6167.43</v>
      </c>
      <c r="L389" s="1" t="n">
        <v>4694.39</v>
      </c>
      <c r="M389" s="1" t="n">
        <v>1473.04</v>
      </c>
      <c r="N389" s="1" t="s">
        <v>41</v>
      </c>
      <c r="P389" s="1" t="n">
        <v>1</v>
      </c>
      <c r="Q389" s="1" t="s">
        <v>42</v>
      </c>
      <c r="R389" s="1" t="s">
        <v>43</v>
      </c>
      <c r="S389" s="6" t="n">
        <v>46222</v>
      </c>
    </row>
    <row r="390" customFormat="false" ht="14.25" hidden="false" customHeight="true" outlineLevel="0" collapsed="false">
      <c r="A390" s="1" t="s">
        <v>1545</v>
      </c>
      <c r="B390" s="1" t="s">
        <v>1201</v>
      </c>
      <c r="C390" s="1" t="s">
        <v>413</v>
      </c>
      <c r="D390" s="1" t="s">
        <v>727</v>
      </c>
      <c r="E390" s="6" t="n">
        <v>46075</v>
      </c>
      <c r="F390" s="6" t="n">
        <v>46072</v>
      </c>
      <c r="G390" s="1" t="s">
        <v>108</v>
      </c>
      <c r="H390" s="1" t="s">
        <v>697</v>
      </c>
      <c r="I390" s="1" t="s">
        <v>1546</v>
      </c>
      <c r="J390" s="1" t="n">
        <v>12904.98</v>
      </c>
      <c r="K390" s="1" t="n">
        <v>11133.51</v>
      </c>
      <c r="L390" s="1" t="n">
        <v>8730.01</v>
      </c>
      <c r="M390" s="1" t="n">
        <v>2403.5</v>
      </c>
      <c r="N390" s="1" t="s">
        <v>41</v>
      </c>
      <c r="P390" s="1" t="n">
        <v>8</v>
      </c>
      <c r="Q390" s="1" t="s">
        <v>42</v>
      </c>
      <c r="R390" s="1" t="s">
        <v>43</v>
      </c>
      <c r="S390" s="6" t="n">
        <v>46083</v>
      </c>
    </row>
    <row r="391" customFormat="false" ht="14.25" hidden="false" customHeight="true" outlineLevel="0" collapsed="false">
      <c r="A391" s="1" t="s">
        <v>1547</v>
      </c>
      <c r="B391" s="1" t="s">
        <v>381</v>
      </c>
      <c r="C391" s="1" t="s">
        <v>68</v>
      </c>
      <c r="D391" s="1" t="s">
        <v>1084</v>
      </c>
      <c r="E391" s="6" t="n">
        <v>46061</v>
      </c>
      <c r="F391" s="6" t="n">
        <v>46058</v>
      </c>
      <c r="G391" s="1" t="s">
        <v>108</v>
      </c>
      <c r="H391" s="1" t="s">
        <v>1301</v>
      </c>
      <c r="I391" s="1" t="s">
        <v>1548</v>
      </c>
      <c r="J391" s="1" t="n">
        <v>42157.35</v>
      </c>
      <c r="K391" s="1" t="n">
        <v>29559.75</v>
      </c>
      <c r="L391" s="1" t="n">
        <v>0</v>
      </c>
      <c r="M391" s="1" t="n">
        <v>29559.75</v>
      </c>
      <c r="N391" s="1" t="s">
        <v>52</v>
      </c>
      <c r="O391" s="1" t="s">
        <v>73</v>
      </c>
      <c r="P391" s="1" t="n">
        <v>1</v>
      </c>
      <c r="Q391" s="1" t="s">
        <v>155</v>
      </c>
      <c r="R391" s="1" t="s">
        <v>54</v>
      </c>
    </row>
    <row r="392" customFormat="false" ht="14.25" hidden="false" customHeight="true" outlineLevel="0" collapsed="false">
      <c r="A392" s="1" t="s">
        <v>1549</v>
      </c>
      <c r="B392" s="1" t="s">
        <v>569</v>
      </c>
      <c r="C392" s="1" t="s">
        <v>164</v>
      </c>
      <c r="D392" s="1" t="s">
        <v>326</v>
      </c>
      <c r="E392" s="6" t="n">
        <v>46194</v>
      </c>
      <c r="F392" s="6" t="n">
        <v>46194</v>
      </c>
      <c r="G392" s="1" t="s">
        <v>38</v>
      </c>
      <c r="H392" s="1" t="s">
        <v>1550</v>
      </c>
      <c r="I392" s="1" t="s">
        <v>1551</v>
      </c>
      <c r="J392" s="1" t="n">
        <v>8098.08</v>
      </c>
      <c r="K392" s="1" t="n">
        <v>6133.7</v>
      </c>
      <c r="L392" s="1" t="n">
        <v>0</v>
      </c>
      <c r="M392" s="1" t="n">
        <v>6133.7</v>
      </c>
      <c r="N392" s="1" t="s">
        <v>111</v>
      </c>
      <c r="P392" s="1" t="n">
        <v>7</v>
      </c>
      <c r="Q392" s="1" t="s">
        <v>42</v>
      </c>
      <c r="R392" s="1" t="s">
        <v>125</v>
      </c>
    </row>
    <row r="393" customFormat="false" ht="14.25" hidden="false" customHeight="true" outlineLevel="0" collapsed="false">
      <c r="A393" s="1" t="s">
        <v>1552</v>
      </c>
      <c r="B393" s="1" t="s">
        <v>1553</v>
      </c>
      <c r="C393" s="1" t="s">
        <v>300</v>
      </c>
      <c r="D393" s="1" t="s">
        <v>130</v>
      </c>
      <c r="E393" s="6" t="n">
        <v>46161</v>
      </c>
      <c r="F393" s="6" t="n">
        <v>46156</v>
      </c>
      <c r="G393" s="1" t="s">
        <v>108</v>
      </c>
      <c r="H393" s="1" t="s">
        <v>1097</v>
      </c>
      <c r="I393" s="1" t="s">
        <v>1554</v>
      </c>
      <c r="J393" s="1" t="n">
        <v>33172</v>
      </c>
      <c r="K393" s="1" t="n">
        <v>22584.76</v>
      </c>
      <c r="L393" s="1" t="n">
        <v>0</v>
      </c>
      <c r="M393" s="1" t="n">
        <v>22584.76</v>
      </c>
      <c r="N393" s="1" t="s">
        <v>111</v>
      </c>
      <c r="P393" s="1" t="n">
        <v>15</v>
      </c>
      <c r="Q393" s="1" t="s">
        <v>155</v>
      </c>
      <c r="R393" s="1" t="s">
        <v>140</v>
      </c>
    </row>
    <row r="394" customFormat="false" ht="14.25" hidden="false" customHeight="true" outlineLevel="0" collapsed="false">
      <c r="A394" s="1" t="s">
        <v>1555</v>
      </c>
      <c r="B394" s="1" t="s">
        <v>972</v>
      </c>
      <c r="C394" s="1" t="s">
        <v>244</v>
      </c>
      <c r="D394" s="1" t="s">
        <v>189</v>
      </c>
      <c r="E394" s="6" t="n">
        <v>46119</v>
      </c>
      <c r="F394" s="6" t="n">
        <v>46118</v>
      </c>
      <c r="G394" s="1" t="s">
        <v>38</v>
      </c>
      <c r="H394" s="1" t="s">
        <v>1556</v>
      </c>
      <c r="I394" s="1" t="s">
        <v>1557</v>
      </c>
      <c r="J394" s="1" t="n">
        <v>1293.9</v>
      </c>
      <c r="K394" s="1" t="n">
        <v>851.88</v>
      </c>
      <c r="L394" s="1" t="n">
        <v>642.01</v>
      </c>
      <c r="M394" s="1" t="n">
        <v>209.87</v>
      </c>
      <c r="N394" s="1" t="s">
        <v>41</v>
      </c>
      <c r="P394" s="1" t="n">
        <v>4</v>
      </c>
      <c r="Q394" s="1" t="s">
        <v>155</v>
      </c>
      <c r="R394" s="1" t="s">
        <v>43</v>
      </c>
      <c r="S394" s="6" t="n">
        <v>46123</v>
      </c>
    </row>
    <row r="395" customFormat="false" ht="14.25" hidden="false" customHeight="true" outlineLevel="0" collapsed="false">
      <c r="A395" s="1" t="s">
        <v>1558</v>
      </c>
      <c r="B395" s="1" t="s">
        <v>1136</v>
      </c>
      <c r="C395" s="1" t="s">
        <v>279</v>
      </c>
      <c r="D395" s="1" t="s">
        <v>177</v>
      </c>
      <c r="E395" s="6" t="n">
        <v>46154</v>
      </c>
      <c r="F395" s="6" t="n">
        <v>46154</v>
      </c>
      <c r="G395" s="1" t="s">
        <v>38</v>
      </c>
      <c r="H395" s="1" t="s">
        <v>1559</v>
      </c>
      <c r="I395" s="1" t="s">
        <v>1560</v>
      </c>
      <c r="J395" s="1" t="n">
        <v>16472.64</v>
      </c>
      <c r="K395" s="1" t="n">
        <v>13804.66</v>
      </c>
      <c r="L395" s="1" t="n">
        <v>0</v>
      </c>
      <c r="M395" s="1" t="n">
        <v>13804.66</v>
      </c>
      <c r="N395" s="1" t="s">
        <v>52</v>
      </c>
      <c r="O395" s="1" t="s">
        <v>73</v>
      </c>
      <c r="P395" s="1" t="n">
        <v>4</v>
      </c>
      <c r="Q395" s="1" t="s">
        <v>63</v>
      </c>
      <c r="R395" s="1" t="s">
        <v>102</v>
      </c>
    </row>
    <row r="396" customFormat="false" ht="14.25" hidden="false" customHeight="true" outlineLevel="0" collapsed="false">
      <c r="A396" s="1" t="s">
        <v>1561</v>
      </c>
      <c r="B396" s="1" t="s">
        <v>1562</v>
      </c>
      <c r="C396" s="1" t="s">
        <v>78</v>
      </c>
      <c r="D396" s="1" t="s">
        <v>382</v>
      </c>
      <c r="E396" s="6" t="n">
        <v>46067</v>
      </c>
      <c r="F396" s="6" t="n">
        <v>46067</v>
      </c>
      <c r="G396" s="1" t="s">
        <v>70</v>
      </c>
      <c r="H396" s="1" t="s">
        <v>1563</v>
      </c>
      <c r="I396" s="1" t="s">
        <v>1564</v>
      </c>
      <c r="J396" s="1" t="n">
        <v>16153.89</v>
      </c>
      <c r="K396" s="1" t="n">
        <v>12386.09</v>
      </c>
      <c r="L396" s="1" t="n">
        <v>10710.18</v>
      </c>
      <c r="M396" s="1" t="n">
        <v>1675.91</v>
      </c>
      <c r="N396" s="1" t="s">
        <v>41</v>
      </c>
      <c r="P396" s="1" t="n">
        <v>2</v>
      </c>
      <c r="Q396" s="1" t="s">
        <v>155</v>
      </c>
      <c r="R396" s="1" t="s">
        <v>43</v>
      </c>
      <c r="S396" s="6" t="n">
        <v>46069</v>
      </c>
    </row>
    <row r="397" customFormat="false" ht="14.25" hidden="false" customHeight="true" outlineLevel="0" collapsed="false">
      <c r="A397" s="1" t="s">
        <v>1565</v>
      </c>
      <c r="B397" s="1" t="s">
        <v>1452</v>
      </c>
      <c r="C397" s="1" t="s">
        <v>92</v>
      </c>
      <c r="D397" s="1" t="s">
        <v>678</v>
      </c>
      <c r="E397" s="6" t="n">
        <v>46104</v>
      </c>
      <c r="F397" s="6" t="n">
        <v>46100</v>
      </c>
      <c r="G397" s="1" t="s">
        <v>70</v>
      </c>
      <c r="H397" s="1" t="s">
        <v>1566</v>
      </c>
      <c r="I397" s="1" t="s">
        <v>1567</v>
      </c>
      <c r="J397" s="1" t="n">
        <v>49528.48</v>
      </c>
      <c r="K397" s="1" t="n">
        <v>42780.69</v>
      </c>
      <c r="L397" s="1" t="n">
        <v>40548.18</v>
      </c>
      <c r="M397" s="1" t="n">
        <v>2232.51</v>
      </c>
      <c r="N397" s="1" t="s">
        <v>41</v>
      </c>
      <c r="P397" s="1" t="n">
        <v>3</v>
      </c>
      <c r="Q397" s="1" t="s">
        <v>42</v>
      </c>
      <c r="R397" s="1" t="s">
        <v>125</v>
      </c>
      <c r="S397" s="6" t="n">
        <v>46107</v>
      </c>
    </row>
    <row r="398" customFormat="false" ht="14.25" hidden="false" customHeight="true" outlineLevel="0" collapsed="false">
      <c r="A398" s="1" t="s">
        <v>1568</v>
      </c>
      <c r="B398" s="1" t="s">
        <v>1090</v>
      </c>
      <c r="C398" s="1" t="s">
        <v>215</v>
      </c>
      <c r="D398" s="1" t="s">
        <v>705</v>
      </c>
      <c r="E398" s="6" t="n">
        <v>46201</v>
      </c>
      <c r="F398" s="6" t="n">
        <v>46200</v>
      </c>
      <c r="G398" s="1" t="s">
        <v>49</v>
      </c>
      <c r="H398" s="1" t="s">
        <v>1569</v>
      </c>
      <c r="I398" s="1" t="s">
        <v>1570</v>
      </c>
      <c r="J398" s="1" t="n">
        <v>31950</v>
      </c>
      <c r="K398" s="1" t="n">
        <v>29240.32</v>
      </c>
      <c r="L398" s="1" t="n">
        <v>24254.6</v>
      </c>
      <c r="M398" s="1" t="n">
        <v>4985.72</v>
      </c>
      <c r="N398" s="1" t="s">
        <v>41</v>
      </c>
      <c r="P398" s="1" t="n">
        <v>8</v>
      </c>
      <c r="Q398" s="1" t="s">
        <v>42</v>
      </c>
      <c r="R398" s="1" t="s">
        <v>74</v>
      </c>
      <c r="S398" s="6" t="n">
        <v>46209</v>
      </c>
    </row>
    <row r="399" customFormat="false" ht="14.25" hidden="false" customHeight="true" outlineLevel="0" collapsed="false">
      <c r="A399" s="1" t="s">
        <v>1571</v>
      </c>
      <c r="B399" s="1" t="s">
        <v>764</v>
      </c>
      <c r="C399" s="1" t="s">
        <v>543</v>
      </c>
      <c r="D399" s="1" t="s">
        <v>855</v>
      </c>
      <c r="E399" s="6" t="n">
        <v>46086</v>
      </c>
      <c r="F399" s="6" t="n">
        <v>46082</v>
      </c>
      <c r="G399" s="1" t="s">
        <v>49</v>
      </c>
      <c r="H399" s="1" t="s">
        <v>862</v>
      </c>
      <c r="I399" s="1" t="s">
        <v>1572</v>
      </c>
      <c r="J399" s="1" t="n">
        <v>49424.85</v>
      </c>
      <c r="K399" s="1" t="n">
        <v>35575.11</v>
      </c>
      <c r="L399" s="1" t="n">
        <v>0</v>
      </c>
      <c r="M399" s="1" t="n">
        <v>35575.11</v>
      </c>
      <c r="N399" s="1" t="s">
        <v>111</v>
      </c>
      <c r="P399" s="1" t="n">
        <v>13</v>
      </c>
      <c r="Q399" s="1" t="s">
        <v>42</v>
      </c>
      <c r="R399" s="1" t="s">
        <v>54</v>
      </c>
    </row>
    <row r="400" customFormat="false" ht="14.25" hidden="false" customHeight="true" outlineLevel="0" collapsed="false">
      <c r="A400" s="1" t="s">
        <v>1573</v>
      </c>
      <c r="B400" s="1" t="s">
        <v>1574</v>
      </c>
      <c r="C400" s="1" t="s">
        <v>623</v>
      </c>
      <c r="D400" s="1" t="s">
        <v>678</v>
      </c>
      <c r="E400" s="6" t="n">
        <v>46039</v>
      </c>
      <c r="F400" s="6" t="n">
        <v>46038</v>
      </c>
      <c r="G400" s="1" t="s">
        <v>49</v>
      </c>
      <c r="H400" s="1" t="s">
        <v>1575</v>
      </c>
      <c r="I400" s="1" t="s">
        <v>1576</v>
      </c>
      <c r="J400" s="1" t="n">
        <v>15182.43</v>
      </c>
      <c r="K400" s="1" t="n">
        <v>10559.4</v>
      </c>
      <c r="L400" s="1" t="n">
        <v>8459.1</v>
      </c>
      <c r="M400" s="1" t="n">
        <v>2100.3</v>
      </c>
      <c r="N400" s="1" t="s">
        <v>41</v>
      </c>
      <c r="P400" s="1" t="n">
        <v>1</v>
      </c>
      <c r="Q400" s="1" t="s">
        <v>155</v>
      </c>
      <c r="R400" s="1" t="s">
        <v>102</v>
      </c>
      <c r="S400" s="6" t="n">
        <v>46040</v>
      </c>
    </row>
    <row r="401" customFormat="false" ht="14.25" hidden="false" customHeight="true" outlineLevel="0" collapsed="false">
      <c r="A401" s="1" t="s">
        <v>1577</v>
      </c>
      <c r="B401" s="1" t="s">
        <v>1578</v>
      </c>
      <c r="C401" s="1" t="s">
        <v>244</v>
      </c>
      <c r="D401" s="1" t="s">
        <v>227</v>
      </c>
      <c r="E401" s="6" t="n">
        <v>46109</v>
      </c>
      <c r="F401" s="6" t="n">
        <v>46104</v>
      </c>
      <c r="G401" s="1" t="s">
        <v>70</v>
      </c>
      <c r="H401" s="1" t="s">
        <v>1579</v>
      </c>
      <c r="I401" s="1" t="s">
        <v>1546</v>
      </c>
      <c r="J401" s="1" t="n">
        <v>2460.57</v>
      </c>
      <c r="K401" s="1" t="n">
        <v>2183.84</v>
      </c>
      <c r="L401" s="1" t="n">
        <v>0</v>
      </c>
      <c r="M401" s="1" t="n">
        <v>2183.84</v>
      </c>
      <c r="N401" s="1" t="s">
        <v>52</v>
      </c>
      <c r="O401" s="1" t="s">
        <v>230</v>
      </c>
      <c r="P401" s="1" t="n">
        <v>7</v>
      </c>
      <c r="Q401" s="1" t="s">
        <v>155</v>
      </c>
      <c r="R401" s="1" t="s">
        <v>64</v>
      </c>
    </row>
    <row r="402" customFormat="false" ht="14.25" hidden="false" customHeight="true" outlineLevel="0" collapsed="false">
      <c r="A402" s="1" t="s">
        <v>1580</v>
      </c>
      <c r="B402" s="1" t="s">
        <v>295</v>
      </c>
      <c r="C402" s="1" t="s">
        <v>233</v>
      </c>
      <c r="D402" s="1" t="s">
        <v>550</v>
      </c>
      <c r="E402" s="6" t="n">
        <v>46041</v>
      </c>
      <c r="F402" s="6" t="n">
        <v>46036</v>
      </c>
      <c r="G402" s="1" t="s">
        <v>38</v>
      </c>
      <c r="H402" s="1" t="s">
        <v>1550</v>
      </c>
      <c r="I402" s="1" t="s">
        <v>1581</v>
      </c>
      <c r="J402" s="1" t="n">
        <v>40171.86</v>
      </c>
      <c r="K402" s="1" t="n">
        <v>34502.94</v>
      </c>
      <c r="L402" s="1" t="n">
        <v>0</v>
      </c>
      <c r="M402" s="1" t="n">
        <v>34502.94</v>
      </c>
      <c r="N402" s="1" t="s">
        <v>260</v>
      </c>
      <c r="P402" s="1" t="n">
        <v>4</v>
      </c>
      <c r="Q402" s="1" t="s">
        <v>155</v>
      </c>
      <c r="R402" s="1" t="s">
        <v>125</v>
      </c>
    </row>
    <row r="403" customFormat="false" ht="14.25" hidden="false" customHeight="true" outlineLevel="0" collapsed="false">
      <c r="A403" s="1" t="s">
        <v>1582</v>
      </c>
      <c r="B403" s="1" t="s">
        <v>1583</v>
      </c>
      <c r="C403" s="1" t="s">
        <v>436</v>
      </c>
      <c r="D403" s="1" t="s">
        <v>648</v>
      </c>
      <c r="E403" s="6" t="n">
        <v>46148</v>
      </c>
      <c r="F403" s="6" t="n">
        <v>46148</v>
      </c>
      <c r="G403" s="1" t="s">
        <v>38</v>
      </c>
      <c r="H403" s="1" t="s">
        <v>1584</v>
      </c>
      <c r="I403" s="1" t="s">
        <v>1585</v>
      </c>
      <c r="J403" s="1" t="n">
        <v>3079.29</v>
      </c>
      <c r="K403" s="1" t="n">
        <v>2917.95</v>
      </c>
      <c r="L403" s="1" t="n">
        <v>0</v>
      </c>
      <c r="M403" s="1" t="n">
        <v>2917.95</v>
      </c>
      <c r="N403" s="1" t="s">
        <v>260</v>
      </c>
      <c r="P403" s="1" t="n">
        <v>4</v>
      </c>
      <c r="Q403" s="1" t="s">
        <v>155</v>
      </c>
      <c r="R403" s="1" t="s">
        <v>43</v>
      </c>
    </row>
    <row r="404" customFormat="false" ht="14.25" hidden="false" customHeight="true" outlineLevel="0" collapsed="false">
      <c r="A404" s="1" t="s">
        <v>1586</v>
      </c>
      <c r="B404" s="1" t="s">
        <v>1052</v>
      </c>
      <c r="C404" s="1" t="s">
        <v>376</v>
      </c>
      <c r="D404" s="1" t="s">
        <v>511</v>
      </c>
      <c r="E404" s="6" t="n">
        <v>46211</v>
      </c>
      <c r="F404" s="6" t="n">
        <v>46208</v>
      </c>
      <c r="G404" s="1" t="s">
        <v>49</v>
      </c>
      <c r="H404" s="1" t="s">
        <v>1587</v>
      </c>
      <c r="I404" s="1" t="s">
        <v>1588</v>
      </c>
      <c r="J404" s="1" t="n">
        <v>36222.85</v>
      </c>
      <c r="K404" s="1" t="n">
        <v>26206.42</v>
      </c>
      <c r="L404" s="1" t="n">
        <v>20810.75</v>
      </c>
      <c r="M404" s="1" t="n">
        <v>5395.67</v>
      </c>
      <c r="N404" s="1" t="s">
        <v>41</v>
      </c>
      <c r="P404" s="1" t="n">
        <v>4</v>
      </c>
      <c r="Q404" s="1" t="s">
        <v>63</v>
      </c>
      <c r="R404" s="1" t="s">
        <v>125</v>
      </c>
      <c r="S404" s="6" t="n">
        <v>46215</v>
      </c>
    </row>
    <row r="405" customFormat="false" ht="14.25" hidden="false" customHeight="true" outlineLevel="0" collapsed="false">
      <c r="A405" s="1" t="s">
        <v>1589</v>
      </c>
      <c r="B405" s="1" t="s">
        <v>1197</v>
      </c>
      <c r="C405" s="1" t="s">
        <v>115</v>
      </c>
      <c r="D405" s="1" t="s">
        <v>529</v>
      </c>
      <c r="E405" s="6" t="n">
        <v>46226</v>
      </c>
      <c r="F405" s="6" t="n">
        <v>46223</v>
      </c>
      <c r="G405" s="1" t="s">
        <v>49</v>
      </c>
      <c r="H405" s="1" t="s">
        <v>1590</v>
      </c>
      <c r="I405" s="1" t="s">
        <v>1591</v>
      </c>
      <c r="J405" s="1" t="n">
        <v>48641.48</v>
      </c>
      <c r="K405" s="1" t="n">
        <v>37428.32</v>
      </c>
      <c r="L405" s="1" t="n">
        <v>29641.04</v>
      </c>
      <c r="M405" s="1" t="n">
        <v>7787.28</v>
      </c>
      <c r="N405" s="1" t="s">
        <v>41</v>
      </c>
      <c r="P405" s="1" t="n">
        <v>8</v>
      </c>
      <c r="Q405" s="1" t="s">
        <v>63</v>
      </c>
      <c r="R405" s="1" t="s">
        <v>54</v>
      </c>
      <c r="S405" s="6" t="n">
        <v>46234</v>
      </c>
    </row>
    <row r="406" customFormat="false" ht="14.25" hidden="false" customHeight="true" outlineLevel="0" collapsed="false">
      <c r="A406" s="1" t="s">
        <v>1592</v>
      </c>
      <c r="B406" s="1" t="s">
        <v>278</v>
      </c>
      <c r="C406" s="1" t="s">
        <v>623</v>
      </c>
      <c r="D406" s="1" t="s">
        <v>648</v>
      </c>
      <c r="E406" s="6" t="n">
        <v>46221</v>
      </c>
      <c r="F406" s="6" t="n">
        <v>46218</v>
      </c>
      <c r="G406" s="1" t="s">
        <v>70</v>
      </c>
      <c r="H406" s="1" t="s">
        <v>1593</v>
      </c>
      <c r="I406" s="1" t="s">
        <v>1594</v>
      </c>
      <c r="J406" s="1" t="n">
        <v>4620.03</v>
      </c>
      <c r="K406" s="1" t="n">
        <v>4259.38</v>
      </c>
      <c r="L406" s="1" t="n">
        <v>3514.24</v>
      </c>
      <c r="M406" s="1" t="n">
        <v>745.14</v>
      </c>
      <c r="N406" s="1" t="s">
        <v>41</v>
      </c>
      <c r="P406" s="1" t="n">
        <v>3</v>
      </c>
      <c r="Q406" s="1" t="s">
        <v>63</v>
      </c>
      <c r="R406" s="1" t="s">
        <v>43</v>
      </c>
      <c r="S406" s="6" t="n">
        <v>46224</v>
      </c>
    </row>
    <row r="407" customFormat="false" ht="14.25" hidden="false" customHeight="true" outlineLevel="0" collapsed="false">
      <c r="A407" s="1" t="s">
        <v>1595</v>
      </c>
      <c r="B407" s="1" t="s">
        <v>565</v>
      </c>
      <c r="C407" s="1" t="s">
        <v>36</v>
      </c>
      <c r="D407" s="1" t="s">
        <v>93</v>
      </c>
      <c r="E407" s="6" t="n">
        <v>46098</v>
      </c>
      <c r="F407" s="6" t="n">
        <v>46095</v>
      </c>
      <c r="G407" s="1" t="s">
        <v>108</v>
      </c>
      <c r="H407" s="1" t="s">
        <v>1596</v>
      </c>
      <c r="I407" s="1" t="s">
        <v>1597</v>
      </c>
      <c r="J407" s="1" t="n">
        <v>24301.79</v>
      </c>
      <c r="K407" s="1" t="n">
        <v>18225.62</v>
      </c>
      <c r="L407" s="1" t="n">
        <v>16926.42</v>
      </c>
      <c r="M407" s="1" t="n">
        <v>1299.2</v>
      </c>
      <c r="N407" s="1" t="s">
        <v>41</v>
      </c>
      <c r="P407" s="1" t="n">
        <v>4</v>
      </c>
      <c r="Q407" s="1" t="s">
        <v>42</v>
      </c>
      <c r="R407" s="1" t="s">
        <v>74</v>
      </c>
      <c r="S407" s="6" t="n">
        <v>46102</v>
      </c>
    </row>
    <row r="408" customFormat="false" ht="14.25" hidden="false" customHeight="true" outlineLevel="0" collapsed="false">
      <c r="A408" s="1" t="s">
        <v>1598</v>
      </c>
      <c r="B408" s="1" t="s">
        <v>744</v>
      </c>
      <c r="C408" s="1" t="s">
        <v>543</v>
      </c>
      <c r="D408" s="1" t="s">
        <v>239</v>
      </c>
      <c r="E408" s="6" t="n">
        <v>46121</v>
      </c>
      <c r="F408" s="6" t="n">
        <v>46118</v>
      </c>
      <c r="G408" s="1" t="s">
        <v>108</v>
      </c>
      <c r="H408" s="1" t="s">
        <v>1599</v>
      </c>
      <c r="I408" s="1" t="s">
        <v>1600</v>
      </c>
      <c r="J408" s="1" t="n">
        <v>21083.1</v>
      </c>
      <c r="K408" s="1" t="n">
        <v>16200.15</v>
      </c>
      <c r="L408" s="1" t="n">
        <v>15156.03</v>
      </c>
      <c r="M408" s="1" t="n">
        <v>1044.12</v>
      </c>
      <c r="N408" s="1" t="s">
        <v>41</v>
      </c>
      <c r="P408" s="1" t="n">
        <v>7</v>
      </c>
      <c r="Q408" s="1" t="s">
        <v>155</v>
      </c>
      <c r="R408" s="1" t="s">
        <v>43</v>
      </c>
      <c r="S408" s="6" t="n">
        <v>46128</v>
      </c>
    </row>
    <row r="409" customFormat="false" ht="14.25" hidden="false" customHeight="true" outlineLevel="0" collapsed="false">
      <c r="A409" s="1" t="s">
        <v>1601</v>
      </c>
      <c r="B409" s="1" t="s">
        <v>1273</v>
      </c>
      <c r="C409" s="1" t="s">
        <v>47</v>
      </c>
      <c r="D409" s="1" t="s">
        <v>635</v>
      </c>
      <c r="E409" s="6" t="n">
        <v>46168</v>
      </c>
      <c r="F409" s="6" t="n">
        <v>46167</v>
      </c>
      <c r="G409" s="1" t="s">
        <v>70</v>
      </c>
      <c r="H409" s="1" t="s">
        <v>1602</v>
      </c>
      <c r="I409" s="1" t="s">
        <v>1603</v>
      </c>
      <c r="J409" s="1" t="n">
        <v>22096.75</v>
      </c>
      <c r="K409" s="1" t="n">
        <v>16055</v>
      </c>
      <c r="L409" s="1" t="n">
        <v>15706.15</v>
      </c>
      <c r="M409" s="1" t="n">
        <v>348.85</v>
      </c>
      <c r="N409" s="1" t="s">
        <v>41</v>
      </c>
      <c r="P409" s="1" t="n">
        <v>6</v>
      </c>
      <c r="Q409" s="1" t="s">
        <v>42</v>
      </c>
      <c r="R409" s="1" t="s">
        <v>43</v>
      </c>
      <c r="S409" s="6" t="n">
        <v>46174</v>
      </c>
    </row>
    <row r="410" customFormat="false" ht="14.25" hidden="false" customHeight="true" outlineLevel="0" collapsed="false">
      <c r="A410" s="1" t="s">
        <v>1604</v>
      </c>
      <c r="B410" s="1" t="s">
        <v>1368</v>
      </c>
      <c r="C410" s="1" t="s">
        <v>85</v>
      </c>
      <c r="D410" s="1" t="s">
        <v>86</v>
      </c>
      <c r="E410" s="6" t="n">
        <v>46136</v>
      </c>
      <c r="F410" s="6" t="n">
        <v>46131</v>
      </c>
      <c r="G410" s="1" t="s">
        <v>49</v>
      </c>
      <c r="H410" s="1" t="s">
        <v>1605</v>
      </c>
      <c r="I410" s="1" t="s">
        <v>1606</v>
      </c>
      <c r="J410" s="1" t="n">
        <v>24147.42</v>
      </c>
      <c r="K410" s="1" t="n">
        <v>22371.15</v>
      </c>
      <c r="L410" s="1" t="n">
        <v>18799.68</v>
      </c>
      <c r="M410" s="1" t="n">
        <v>3571.47</v>
      </c>
      <c r="N410" s="1" t="s">
        <v>41</v>
      </c>
      <c r="P410" s="1" t="n">
        <v>1</v>
      </c>
      <c r="Q410" s="1" t="s">
        <v>63</v>
      </c>
      <c r="R410" s="1" t="s">
        <v>140</v>
      </c>
      <c r="S410" s="6" t="n">
        <v>46137</v>
      </c>
    </row>
    <row r="411" customFormat="false" ht="14.25" hidden="false" customHeight="true" outlineLevel="0" collapsed="false">
      <c r="A411" s="1" t="s">
        <v>1607</v>
      </c>
      <c r="B411" s="1" t="s">
        <v>150</v>
      </c>
      <c r="C411" s="1" t="s">
        <v>106</v>
      </c>
      <c r="D411" s="1" t="s">
        <v>59</v>
      </c>
      <c r="E411" s="6" t="n">
        <v>46181</v>
      </c>
      <c r="F411" s="6" t="n">
        <v>46177</v>
      </c>
      <c r="G411" s="1" t="s">
        <v>108</v>
      </c>
      <c r="H411" s="1" t="s">
        <v>1608</v>
      </c>
      <c r="I411" s="1" t="s">
        <v>1609</v>
      </c>
      <c r="J411" s="1" t="n">
        <v>42155.04</v>
      </c>
      <c r="K411" s="1" t="n">
        <v>27556.8</v>
      </c>
      <c r="L411" s="1" t="n">
        <v>0</v>
      </c>
      <c r="M411" s="1" t="n">
        <v>27556.8</v>
      </c>
      <c r="N411" s="1" t="s">
        <v>260</v>
      </c>
      <c r="P411" s="1" t="n">
        <v>2</v>
      </c>
      <c r="Q411" s="1" t="s">
        <v>63</v>
      </c>
      <c r="R411" s="1" t="s">
        <v>140</v>
      </c>
    </row>
    <row r="412" customFormat="false" ht="14.25" hidden="false" customHeight="true" outlineLevel="0" collapsed="false">
      <c r="A412" s="1" t="s">
        <v>1610</v>
      </c>
      <c r="B412" s="1" t="s">
        <v>1553</v>
      </c>
      <c r="C412" s="1" t="s">
        <v>623</v>
      </c>
      <c r="D412" s="1" t="s">
        <v>740</v>
      </c>
      <c r="E412" s="6" t="n">
        <v>46134</v>
      </c>
      <c r="F412" s="6" t="n">
        <v>46132</v>
      </c>
      <c r="G412" s="1" t="s">
        <v>108</v>
      </c>
      <c r="H412" s="1" t="s">
        <v>1611</v>
      </c>
      <c r="I412" s="1" t="s">
        <v>1612</v>
      </c>
      <c r="J412" s="1" t="n">
        <v>25282.02</v>
      </c>
      <c r="K412" s="1" t="n">
        <v>20477.43</v>
      </c>
      <c r="L412" s="1" t="n">
        <v>0</v>
      </c>
      <c r="M412" s="1" t="n">
        <v>20477.43</v>
      </c>
      <c r="N412" s="1" t="s">
        <v>111</v>
      </c>
      <c r="P412" s="1" t="n">
        <v>10</v>
      </c>
      <c r="Q412" s="1" t="s">
        <v>155</v>
      </c>
      <c r="R412" s="1" t="s">
        <v>102</v>
      </c>
    </row>
    <row r="413" customFormat="false" ht="14.25" hidden="false" customHeight="true" outlineLevel="0" collapsed="false">
      <c r="A413" s="1" t="s">
        <v>1613</v>
      </c>
      <c r="B413" s="1" t="s">
        <v>659</v>
      </c>
      <c r="C413" s="1" t="s">
        <v>92</v>
      </c>
      <c r="D413" s="1" t="s">
        <v>727</v>
      </c>
      <c r="E413" s="6" t="n">
        <v>46215</v>
      </c>
      <c r="F413" s="6" t="n">
        <v>46214</v>
      </c>
      <c r="G413" s="1" t="s">
        <v>49</v>
      </c>
      <c r="H413" s="1" t="s">
        <v>1614</v>
      </c>
      <c r="I413" s="1" t="s">
        <v>1615</v>
      </c>
      <c r="J413" s="1" t="n">
        <v>20199.53</v>
      </c>
      <c r="K413" s="1" t="n">
        <v>14996.74</v>
      </c>
      <c r="L413" s="1" t="n">
        <v>0</v>
      </c>
      <c r="M413" s="1" t="n">
        <v>14996.74</v>
      </c>
      <c r="N413" s="1" t="s">
        <v>52</v>
      </c>
      <c r="O413" s="1" t="s">
        <v>62</v>
      </c>
      <c r="P413" s="1" t="n">
        <v>3</v>
      </c>
      <c r="Q413" s="1" t="s">
        <v>42</v>
      </c>
      <c r="R413" s="1" t="s">
        <v>102</v>
      </c>
    </row>
    <row r="414" customFormat="false" ht="14.25" hidden="false" customHeight="true" outlineLevel="0" collapsed="false">
      <c r="A414" s="1" t="s">
        <v>1616</v>
      </c>
      <c r="B414" s="1" t="s">
        <v>1617</v>
      </c>
      <c r="C414" s="1" t="s">
        <v>367</v>
      </c>
      <c r="D414" s="1" t="s">
        <v>757</v>
      </c>
      <c r="E414" s="6" t="n">
        <v>46213</v>
      </c>
      <c r="F414" s="6" t="n">
        <v>46210</v>
      </c>
      <c r="G414" s="1" t="s">
        <v>38</v>
      </c>
      <c r="H414" s="1" t="s">
        <v>1618</v>
      </c>
      <c r="I414" s="1" t="s">
        <v>1619</v>
      </c>
      <c r="J414" s="1" t="n">
        <v>19045.24</v>
      </c>
      <c r="K414" s="1" t="n">
        <v>16402.03</v>
      </c>
      <c r="L414" s="1" t="n">
        <v>13113.51</v>
      </c>
      <c r="M414" s="1" t="n">
        <v>3288.52</v>
      </c>
      <c r="N414" s="1" t="s">
        <v>41</v>
      </c>
      <c r="P414" s="1" t="n">
        <v>3</v>
      </c>
      <c r="Q414" s="1" t="s">
        <v>155</v>
      </c>
      <c r="R414" s="1" t="s">
        <v>74</v>
      </c>
      <c r="S414" s="6" t="n">
        <v>46216</v>
      </c>
    </row>
    <row r="415" customFormat="false" ht="14.25" hidden="false" customHeight="true" outlineLevel="0" collapsed="false">
      <c r="A415" s="1" t="s">
        <v>1620</v>
      </c>
      <c r="B415" s="1" t="s">
        <v>1621</v>
      </c>
      <c r="C415" s="1" t="s">
        <v>436</v>
      </c>
      <c r="D415" s="1" t="s">
        <v>1084</v>
      </c>
      <c r="E415" s="6" t="n">
        <v>46070</v>
      </c>
      <c r="F415" s="6" t="n">
        <v>46069</v>
      </c>
      <c r="G415" s="1" t="s">
        <v>108</v>
      </c>
      <c r="H415" s="1" t="s">
        <v>1622</v>
      </c>
      <c r="I415" s="1" t="s">
        <v>1623</v>
      </c>
      <c r="J415" s="1" t="n">
        <v>45162.53</v>
      </c>
      <c r="K415" s="1" t="n">
        <v>34894.27</v>
      </c>
      <c r="L415" s="1" t="n">
        <v>31638.96</v>
      </c>
      <c r="M415" s="1" t="n">
        <v>3255.31</v>
      </c>
      <c r="N415" s="1" t="s">
        <v>41</v>
      </c>
      <c r="P415" s="1" t="n">
        <v>2</v>
      </c>
      <c r="Q415" s="1" t="s">
        <v>63</v>
      </c>
      <c r="R415" s="1" t="s">
        <v>54</v>
      </c>
      <c r="S415" s="6" t="n">
        <v>46072</v>
      </c>
    </row>
    <row r="416" customFormat="false" ht="14.25" hidden="false" customHeight="true" outlineLevel="0" collapsed="false">
      <c r="A416" s="1" t="s">
        <v>1624</v>
      </c>
      <c r="B416" s="1" t="s">
        <v>1311</v>
      </c>
      <c r="C416" s="1" t="s">
        <v>182</v>
      </c>
      <c r="D416" s="1" t="s">
        <v>595</v>
      </c>
      <c r="E416" s="6" t="n">
        <v>46110</v>
      </c>
      <c r="F416" s="6" t="n">
        <v>46110</v>
      </c>
      <c r="G416" s="1" t="s">
        <v>108</v>
      </c>
      <c r="H416" s="1" t="s">
        <v>1625</v>
      </c>
      <c r="I416" s="1" t="s">
        <v>1626</v>
      </c>
      <c r="J416" s="1" t="n">
        <v>24155.91</v>
      </c>
      <c r="K416" s="1" t="n">
        <v>20577</v>
      </c>
      <c r="L416" s="1" t="n">
        <v>0</v>
      </c>
      <c r="M416" s="1" t="n">
        <v>20577</v>
      </c>
      <c r="N416" s="1" t="s">
        <v>111</v>
      </c>
      <c r="P416" s="1" t="n">
        <v>5</v>
      </c>
      <c r="Q416" s="1" t="s">
        <v>155</v>
      </c>
      <c r="R416" s="1" t="s">
        <v>140</v>
      </c>
    </row>
    <row r="417" customFormat="false" ht="14.25" hidden="false" customHeight="true" outlineLevel="0" collapsed="false">
      <c r="A417" s="1" t="s">
        <v>1627</v>
      </c>
      <c r="B417" s="1" t="s">
        <v>913</v>
      </c>
      <c r="C417" s="1" t="s">
        <v>273</v>
      </c>
      <c r="D417" s="1" t="s">
        <v>1628</v>
      </c>
      <c r="E417" s="6" t="n">
        <v>46156</v>
      </c>
      <c r="F417" s="6" t="n">
        <v>46156</v>
      </c>
      <c r="G417" s="1" t="s">
        <v>49</v>
      </c>
      <c r="H417" s="1" t="s">
        <v>1629</v>
      </c>
      <c r="I417" s="1" t="s">
        <v>1630</v>
      </c>
      <c r="J417" s="1" t="n">
        <v>26243.67</v>
      </c>
      <c r="K417" s="1" t="n">
        <v>24632.76</v>
      </c>
      <c r="L417" s="1" t="n">
        <v>20111.64</v>
      </c>
      <c r="M417" s="1" t="n">
        <v>4521.12</v>
      </c>
      <c r="N417" s="1" t="s">
        <v>41</v>
      </c>
      <c r="P417" s="1" t="n">
        <v>8</v>
      </c>
      <c r="Q417" s="1" t="s">
        <v>42</v>
      </c>
      <c r="R417" s="1" t="s">
        <v>102</v>
      </c>
      <c r="S417" s="6" t="n">
        <v>46164</v>
      </c>
    </row>
    <row r="418" customFormat="false" ht="14.25" hidden="false" customHeight="true" outlineLevel="0" collapsed="false">
      <c r="A418" s="1" t="s">
        <v>1631</v>
      </c>
      <c r="B418" s="1" t="s">
        <v>197</v>
      </c>
      <c r="C418" s="1" t="s">
        <v>92</v>
      </c>
      <c r="D418" s="1" t="s">
        <v>93</v>
      </c>
      <c r="E418" s="6" t="n">
        <v>46104</v>
      </c>
      <c r="F418" s="6" t="n">
        <v>46103</v>
      </c>
      <c r="G418" s="1" t="s">
        <v>49</v>
      </c>
      <c r="H418" s="1" t="s">
        <v>1632</v>
      </c>
      <c r="I418" s="1" t="s">
        <v>1633</v>
      </c>
      <c r="J418" s="1" t="n">
        <v>33421.38</v>
      </c>
      <c r="K418" s="1" t="n">
        <v>25518.25</v>
      </c>
      <c r="L418" s="1" t="n">
        <v>0</v>
      </c>
      <c r="M418" s="1" t="n">
        <v>25518.25</v>
      </c>
      <c r="N418" s="1" t="s">
        <v>52</v>
      </c>
      <c r="O418" s="1" t="s">
        <v>230</v>
      </c>
      <c r="P418" s="1" t="n">
        <v>1</v>
      </c>
      <c r="Q418" s="1" t="s">
        <v>42</v>
      </c>
      <c r="R418" s="1" t="s">
        <v>125</v>
      </c>
    </row>
    <row r="419" customFormat="false" ht="14.25" hidden="false" customHeight="true" outlineLevel="0" collapsed="false">
      <c r="A419" s="1" t="s">
        <v>1634</v>
      </c>
      <c r="B419" s="1" t="s">
        <v>515</v>
      </c>
      <c r="C419" s="1" t="s">
        <v>58</v>
      </c>
      <c r="D419" s="1" t="s">
        <v>757</v>
      </c>
      <c r="E419" s="6" t="n">
        <v>46058</v>
      </c>
      <c r="F419" s="6" t="n">
        <v>46058</v>
      </c>
      <c r="G419" s="1" t="s">
        <v>49</v>
      </c>
      <c r="H419" s="1" t="s">
        <v>1635</v>
      </c>
      <c r="I419" s="1" t="s">
        <v>1636</v>
      </c>
      <c r="J419" s="1" t="n">
        <v>43515.76</v>
      </c>
      <c r="K419" s="1" t="n">
        <v>31933.62</v>
      </c>
      <c r="L419" s="1" t="n">
        <v>0</v>
      </c>
      <c r="M419" s="1" t="n">
        <v>31933.62</v>
      </c>
      <c r="N419" s="1" t="s">
        <v>111</v>
      </c>
      <c r="P419" s="1" t="n">
        <v>15</v>
      </c>
      <c r="Q419" s="1" t="s">
        <v>42</v>
      </c>
      <c r="R419" s="1" t="s">
        <v>140</v>
      </c>
    </row>
    <row r="420" customFormat="false" ht="14.25" hidden="false" customHeight="true" outlineLevel="0" collapsed="false">
      <c r="A420" s="1" t="s">
        <v>1637</v>
      </c>
      <c r="B420" s="1" t="s">
        <v>1298</v>
      </c>
      <c r="C420" s="1" t="s">
        <v>361</v>
      </c>
      <c r="D420" s="1" t="s">
        <v>550</v>
      </c>
      <c r="E420" s="6" t="n">
        <v>46028</v>
      </c>
      <c r="F420" s="6" t="n">
        <v>46023</v>
      </c>
      <c r="G420" s="1" t="s">
        <v>49</v>
      </c>
      <c r="H420" s="1" t="s">
        <v>1638</v>
      </c>
      <c r="I420" s="1" t="s">
        <v>1639</v>
      </c>
      <c r="J420" s="1" t="n">
        <v>40724.64</v>
      </c>
      <c r="K420" s="1" t="n">
        <v>26674.19</v>
      </c>
      <c r="L420" s="1" t="n">
        <v>0</v>
      </c>
      <c r="M420" s="1" t="n">
        <v>26674.19</v>
      </c>
      <c r="N420" s="1" t="s">
        <v>260</v>
      </c>
      <c r="P420" s="1" t="n">
        <v>6</v>
      </c>
      <c r="Q420" s="1" t="s">
        <v>63</v>
      </c>
      <c r="R420" s="1" t="s">
        <v>74</v>
      </c>
    </row>
    <row r="421" customFormat="false" ht="14.25" hidden="false" customHeight="true" outlineLevel="0" collapsed="false">
      <c r="A421" s="1" t="s">
        <v>1640</v>
      </c>
      <c r="B421" s="1" t="s">
        <v>1641</v>
      </c>
      <c r="C421" s="1" t="s">
        <v>376</v>
      </c>
      <c r="D421" s="1" t="s">
        <v>86</v>
      </c>
      <c r="E421" s="6" t="n">
        <v>46179</v>
      </c>
      <c r="F421" s="6" t="n">
        <v>46179</v>
      </c>
      <c r="G421" s="1" t="s">
        <v>38</v>
      </c>
      <c r="H421" s="1" t="s">
        <v>87</v>
      </c>
      <c r="I421" s="1" t="s">
        <v>1642</v>
      </c>
      <c r="J421" s="1" t="n">
        <v>46984.7</v>
      </c>
      <c r="K421" s="1" t="n">
        <v>43810.57</v>
      </c>
      <c r="L421" s="1" t="n">
        <v>38072.72</v>
      </c>
      <c r="M421" s="1" t="n">
        <v>5737.85</v>
      </c>
      <c r="N421" s="1" t="s">
        <v>41</v>
      </c>
      <c r="P421" s="1" t="n">
        <v>2</v>
      </c>
      <c r="Q421" s="1" t="s">
        <v>42</v>
      </c>
      <c r="R421" s="1" t="s">
        <v>64</v>
      </c>
      <c r="S421" s="6" t="n">
        <v>46181</v>
      </c>
    </row>
    <row r="422" customFormat="false" ht="14.25" hidden="false" customHeight="true" outlineLevel="0" collapsed="false">
      <c r="A422" s="1" t="s">
        <v>1643</v>
      </c>
      <c r="B422" s="1" t="s">
        <v>690</v>
      </c>
      <c r="C422" s="1" t="s">
        <v>300</v>
      </c>
      <c r="D422" s="1" t="s">
        <v>501</v>
      </c>
      <c r="E422" s="6" t="n">
        <v>46228</v>
      </c>
      <c r="F422" s="6" t="n">
        <v>46223</v>
      </c>
      <c r="G422" s="1" t="s">
        <v>49</v>
      </c>
      <c r="H422" s="1" t="s">
        <v>405</v>
      </c>
      <c r="I422" s="1" t="s">
        <v>1644</v>
      </c>
      <c r="J422" s="1" t="n">
        <v>6829.14</v>
      </c>
      <c r="K422" s="1" t="n">
        <v>6071.42</v>
      </c>
      <c r="L422" s="1" t="n">
        <v>5010.97</v>
      </c>
      <c r="M422" s="1" t="n">
        <v>1060.45</v>
      </c>
      <c r="N422" s="1" t="s">
        <v>41</v>
      </c>
      <c r="P422" s="1" t="n">
        <v>8</v>
      </c>
      <c r="Q422" s="1" t="s">
        <v>155</v>
      </c>
      <c r="R422" s="1" t="s">
        <v>140</v>
      </c>
      <c r="S422" s="6" t="n">
        <v>46236</v>
      </c>
    </row>
    <row r="423" customFormat="false" ht="14.25" hidden="false" customHeight="true" outlineLevel="0" collapsed="false">
      <c r="A423" s="1" t="s">
        <v>1645</v>
      </c>
      <c r="B423" s="1" t="s">
        <v>372</v>
      </c>
      <c r="C423" s="1" t="s">
        <v>386</v>
      </c>
      <c r="D423" s="1" t="s">
        <v>107</v>
      </c>
      <c r="E423" s="6" t="n">
        <v>46078</v>
      </c>
      <c r="F423" s="6" t="n">
        <v>46077</v>
      </c>
      <c r="G423" s="1" t="s">
        <v>70</v>
      </c>
      <c r="H423" s="1" t="s">
        <v>1646</v>
      </c>
      <c r="I423" s="1" t="s">
        <v>1647</v>
      </c>
      <c r="J423" s="1" t="n">
        <v>33157.38</v>
      </c>
      <c r="K423" s="1" t="n">
        <v>22441.89</v>
      </c>
      <c r="L423" s="1" t="n">
        <v>0</v>
      </c>
      <c r="M423" s="1" t="n">
        <v>22441.89</v>
      </c>
      <c r="N423" s="1" t="s">
        <v>52</v>
      </c>
      <c r="O423" s="1" t="s">
        <v>53</v>
      </c>
      <c r="P423" s="1" t="n">
        <v>7</v>
      </c>
      <c r="Q423" s="1" t="s">
        <v>42</v>
      </c>
      <c r="R423" s="1" t="s">
        <v>43</v>
      </c>
    </row>
    <row r="424" customFormat="false" ht="14.25" hidden="false" customHeight="true" outlineLevel="0" collapsed="false">
      <c r="A424" s="1" t="s">
        <v>1648</v>
      </c>
      <c r="B424" s="1" t="s">
        <v>404</v>
      </c>
      <c r="C424" s="1" t="s">
        <v>221</v>
      </c>
      <c r="D424" s="1" t="s">
        <v>799</v>
      </c>
      <c r="E424" s="6" t="n">
        <v>46194</v>
      </c>
      <c r="F424" s="6" t="n">
        <v>46194</v>
      </c>
      <c r="G424" s="1" t="s">
        <v>38</v>
      </c>
      <c r="H424" s="1" t="s">
        <v>1233</v>
      </c>
      <c r="I424" s="1" t="s">
        <v>1649</v>
      </c>
      <c r="J424" s="1" t="n">
        <v>46175.44</v>
      </c>
      <c r="K424" s="1" t="n">
        <v>38790.35</v>
      </c>
      <c r="L424" s="1" t="n">
        <v>0</v>
      </c>
      <c r="M424" s="1" t="n">
        <v>38790.35</v>
      </c>
      <c r="N424" s="1" t="s">
        <v>111</v>
      </c>
      <c r="P424" s="1" t="n">
        <v>11</v>
      </c>
      <c r="Q424" s="1" t="s">
        <v>42</v>
      </c>
      <c r="R424" s="1" t="s">
        <v>102</v>
      </c>
    </row>
    <row r="425" customFormat="false" ht="14.25" hidden="false" customHeight="true" outlineLevel="0" collapsed="false">
      <c r="A425" s="1" t="s">
        <v>1650</v>
      </c>
      <c r="B425" s="1" t="s">
        <v>1396</v>
      </c>
      <c r="C425" s="1" t="s">
        <v>244</v>
      </c>
      <c r="D425" s="1" t="s">
        <v>79</v>
      </c>
      <c r="E425" s="6" t="n">
        <v>46124</v>
      </c>
      <c r="F425" s="6" t="n">
        <v>46119</v>
      </c>
      <c r="G425" s="1" t="s">
        <v>70</v>
      </c>
      <c r="H425" s="1" t="s">
        <v>1651</v>
      </c>
      <c r="I425" s="1" t="s">
        <v>1652</v>
      </c>
      <c r="J425" s="1" t="n">
        <v>36388.89</v>
      </c>
      <c r="K425" s="1" t="n">
        <v>30791.4</v>
      </c>
      <c r="L425" s="1" t="n">
        <v>0</v>
      </c>
      <c r="M425" s="1" t="n">
        <v>30791.4</v>
      </c>
      <c r="N425" s="1" t="s">
        <v>111</v>
      </c>
      <c r="P425" s="1" t="n">
        <v>12</v>
      </c>
      <c r="Q425" s="1" t="s">
        <v>155</v>
      </c>
      <c r="R425" s="1" t="s">
        <v>54</v>
      </c>
    </row>
    <row r="426" customFormat="false" ht="14.25" hidden="false" customHeight="true" outlineLevel="0" collapsed="false">
      <c r="A426" s="1" t="s">
        <v>1653</v>
      </c>
      <c r="B426" s="1" t="s">
        <v>429</v>
      </c>
      <c r="C426" s="1" t="s">
        <v>58</v>
      </c>
      <c r="D426" s="1" t="s">
        <v>984</v>
      </c>
      <c r="E426" s="6" t="n">
        <v>46047</v>
      </c>
      <c r="F426" s="6" t="n">
        <v>46045</v>
      </c>
      <c r="G426" s="1" t="s">
        <v>70</v>
      </c>
      <c r="H426" s="1" t="s">
        <v>1593</v>
      </c>
      <c r="I426" s="1" t="s">
        <v>1654</v>
      </c>
      <c r="J426" s="1" t="n">
        <v>46891.93</v>
      </c>
      <c r="K426" s="1" t="n">
        <v>40954.72</v>
      </c>
      <c r="L426" s="1" t="n">
        <v>0</v>
      </c>
      <c r="M426" s="1" t="n">
        <v>40954.72</v>
      </c>
      <c r="N426" s="1" t="s">
        <v>111</v>
      </c>
      <c r="P426" s="1" t="n">
        <v>5</v>
      </c>
      <c r="Q426" s="1" t="s">
        <v>63</v>
      </c>
      <c r="R426" s="1" t="s">
        <v>54</v>
      </c>
    </row>
    <row r="427" customFormat="false" ht="14.25" hidden="false" customHeight="true" outlineLevel="0" collapsed="false">
      <c r="A427" s="1" t="s">
        <v>1655</v>
      </c>
      <c r="B427" s="1" t="s">
        <v>480</v>
      </c>
      <c r="C427" s="1" t="s">
        <v>188</v>
      </c>
      <c r="D427" s="1" t="s">
        <v>86</v>
      </c>
      <c r="E427" s="6" t="n">
        <v>46178</v>
      </c>
      <c r="F427" s="6" t="n">
        <v>46174</v>
      </c>
      <c r="G427" s="1" t="s">
        <v>38</v>
      </c>
      <c r="H427" s="1" t="s">
        <v>269</v>
      </c>
      <c r="I427" s="1" t="s">
        <v>1656</v>
      </c>
      <c r="J427" s="1" t="n">
        <v>19713.2</v>
      </c>
      <c r="K427" s="1" t="n">
        <v>15319.32</v>
      </c>
      <c r="L427" s="1" t="n">
        <v>14443.36</v>
      </c>
      <c r="M427" s="1" t="n">
        <v>875.96</v>
      </c>
      <c r="N427" s="1" t="s">
        <v>41</v>
      </c>
      <c r="P427" s="1" t="n">
        <v>3</v>
      </c>
      <c r="Q427" s="1" t="s">
        <v>155</v>
      </c>
      <c r="R427" s="1" t="s">
        <v>64</v>
      </c>
      <c r="S427" s="6" t="n">
        <v>46181</v>
      </c>
    </row>
    <row r="428" customFormat="false" ht="14.25" hidden="false" customHeight="true" outlineLevel="0" collapsed="false">
      <c r="A428" s="1" t="s">
        <v>1657</v>
      </c>
      <c r="B428" s="1" t="s">
        <v>1368</v>
      </c>
      <c r="C428" s="1" t="s">
        <v>446</v>
      </c>
      <c r="D428" s="1" t="s">
        <v>1077</v>
      </c>
      <c r="E428" s="6" t="n">
        <v>46142</v>
      </c>
      <c r="F428" s="6" t="n">
        <v>46140</v>
      </c>
      <c r="G428" s="1" t="s">
        <v>38</v>
      </c>
      <c r="H428" s="1" t="s">
        <v>649</v>
      </c>
      <c r="I428" s="1" t="s">
        <v>1658</v>
      </c>
      <c r="J428" s="1" t="n">
        <v>47173.05</v>
      </c>
      <c r="K428" s="1" t="n">
        <v>42510.7</v>
      </c>
      <c r="L428" s="1" t="n">
        <v>37195.08</v>
      </c>
      <c r="M428" s="1" t="n">
        <v>5315.62</v>
      </c>
      <c r="N428" s="1" t="s">
        <v>41</v>
      </c>
      <c r="P428" s="1" t="n">
        <v>8</v>
      </c>
      <c r="Q428" s="1" t="s">
        <v>42</v>
      </c>
      <c r="R428" s="1" t="s">
        <v>102</v>
      </c>
      <c r="S428" s="6" t="n">
        <v>46150</v>
      </c>
    </row>
    <row r="429" customFormat="false" ht="14.25" hidden="false" customHeight="true" outlineLevel="0" collapsed="false">
      <c r="A429" s="1" t="s">
        <v>1659</v>
      </c>
      <c r="B429" s="1" t="s">
        <v>818</v>
      </c>
      <c r="C429" s="1" t="s">
        <v>900</v>
      </c>
      <c r="D429" s="1" t="s">
        <v>1084</v>
      </c>
      <c r="E429" s="6" t="n">
        <v>46106</v>
      </c>
      <c r="F429" s="6" t="n">
        <v>46102</v>
      </c>
      <c r="G429" s="1" t="s">
        <v>49</v>
      </c>
      <c r="H429" s="1" t="s">
        <v>1660</v>
      </c>
      <c r="I429" s="1" t="s">
        <v>1661</v>
      </c>
      <c r="J429" s="1" t="n">
        <v>6611.47</v>
      </c>
      <c r="K429" s="1" t="n">
        <v>6274.65</v>
      </c>
      <c r="L429" s="1" t="n">
        <v>0</v>
      </c>
      <c r="M429" s="1" t="n">
        <v>6274.65</v>
      </c>
      <c r="N429" s="1" t="s">
        <v>260</v>
      </c>
      <c r="P429" s="1" t="n">
        <v>8</v>
      </c>
      <c r="Q429" s="1" t="s">
        <v>155</v>
      </c>
      <c r="R429" s="1" t="s">
        <v>125</v>
      </c>
    </row>
    <row r="430" customFormat="false" ht="14.25" hidden="false" customHeight="true" outlineLevel="0" collapsed="false">
      <c r="A430" s="1" t="s">
        <v>1662</v>
      </c>
      <c r="B430" s="1" t="s">
        <v>542</v>
      </c>
      <c r="C430" s="1" t="s">
        <v>623</v>
      </c>
      <c r="D430" s="1" t="s">
        <v>362</v>
      </c>
      <c r="E430" s="6" t="n">
        <v>46207</v>
      </c>
      <c r="F430" s="6" t="n">
        <v>46206</v>
      </c>
      <c r="G430" s="1" t="s">
        <v>70</v>
      </c>
      <c r="H430" s="1" t="s">
        <v>1663</v>
      </c>
      <c r="I430" s="1" t="s">
        <v>1664</v>
      </c>
      <c r="J430" s="1" t="n">
        <v>46754.43</v>
      </c>
      <c r="K430" s="1" t="n">
        <v>33547.31</v>
      </c>
      <c r="L430" s="1" t="n">
        <v>0</v>
      </c>
      <c r="M430" s="1" t="n">
        <v>33547.31</v>
      </c>
      <c r="N430" s="1" t="s">
        <v>52</v>
      </c>
      <c r="O430" s="1" t="s">
        <v>265</v>
      </c>
      <c r="P430" s="1" t="n">
        <v>1</v>
      </c>
      <c r="Q430" s="1" t="s">
        <v>155</v>
      </c>
      <c r="R430" s="1" t="s">
        <v>64</v>
      </c>
    </row>
    <row r="431" customFormat="false" ht="14.25" hidden="false" customHeight="true" outlineLevel="0" collapsed="false">
      <c r="A431" s="1" t="s">
        <v>1665</v>
      </c>
      <c r="B431" s="1" t="s">
        <v>1121</v>
      </c>
      <c r="C431" s="1" t="s">
        <v>623</v>
      </c>
      <c r="D431" s="1" t="s">
        <v>1077</v>
      </c>
      <c r="E431" s="6" t="n">
        <v>46125</v>
      </c>
      <c r="F431" s="6" t="n">
        <v>46123</v>
      </c>
      <c r="G431" s="1" t="s">
        <v>70</v>
      </c>
      <c r="H431" s="1" t="s">
        <v>1602</v>
      </c>
      <c r="I431" s="1" t="s">
        <v>1666</v>
      </c>
      <c r="J431" s="1" t="n">
        <v>23934.37</v>
      </c>
      <c r="K431" s="1" t="n">
        <v>18058.29</v>
      </c>
      <c r="L431" s="1" t="n">
        <v>15310.55</v>
      </c>
      <c r="M431" s="1" t="n">
        <v>2747.74</v>
      </c>
      <c r="N431" s="1" t="s">
        <v>41</v>
      </c>
      <c r="P431" s="1" t="n">
        <v>2</v>
      </c>
      <c r="Q431" s="1" t="s">
        <v>42</v>
      </c>
      <c r="R431" s="1" t="s">
        <v>125</v>
      </c>
      <c r="S431" s="6" t="n">
        <v>46127</v>
      </c>
    </row>
    <row r="432" customFormat="false" ht="14.25" hidden="false" customHeight="true" outlineLevel="0" collapsed="false">
      <c r="A432" s="1" t="s">
        <v>1667</v>
      </c>
      <c r="B432" s="1" t="s">
        <v>1052</v>
      </c>
      <c r="C432" s="1" t="s">
        <v>413</v>
      </c>
      <c r="D432" s="1" t="s">
        <v>331</v>
      </c>
      <c r="E432" s="6" t="n">
        <v>46166</v>
      </c>
      <c r="F432" s="6" t="n">
        <v>46163</v>
      </c>
      <c r="G432" s="1" t="s">
        <v>38</v>
      </c>
      <c r="H432" s="1" t="s">
        <v>1668</v>
      </c>
      <c r="I432" s="1" t="s">
        <v>1669</v>
      </c>
      <c r="J432" s="1" t="n">
        <v>16509.22</v>
      </c>
      <c r="K432" s="1" t="n">
        <v>14650.01</v>
      </c>
      <c r="L432" s="1" t="n">
        <v>14158.71</v>
      </c>
      <c r="M432" s="1" t="n">
        <v>491.3</v>
      </c>
      <c r="N432" s="1" t="s">
        <v>41</v>
      </c>
      <c r="P432" s="1" t="n">
        <v>1</v>
      </c>
      <c r="Q432" s="1" t="s">
        <v>63</v>
      </c>
      <c r="R432" s="1" t="s">
        <v>74</v>
      </c>
      <c r="S432" s="6" t="n">
        <v>46167</v>
      </c>
    </row>
    <row r="433" customFormat="false" ht="14.25" hidden="false" customHeight="true" outlineLevel="0" collapsed="false">
      <c r="A433" s="1" t="s">
        <v>1670</v>
      </c>
      <c r="B433" s="1" t="s">
        <v>1671</v>
      </c>
      <c r="C433" s="1" t="s">
        <v>623</v>
      </c>
      <c r="D433" s="1" t="s">
        <v>511</v>
      </c>
      <c r="E433" s="6" t="n">
        <v>46148</v>
      </c>
      <c r="F433" s="6" t="n">
        <v>46146</v>
      </c>
      <c r="G433" s="1" t="s">
        <v>108</v>
      </c>
      <c r="H433" s="1" t="s">
        <v>1400</v>
      </c>
      <c r="I433" s="1" t="s">
        <v>1672</v>
      </c>
      <c r="J433" s="1" t="n">
        <v>10883.43</v>
      </c>
      <c r="K433" s="1" t="n">
        <v>9700.48</v>
      </c>
      <c r="L433" s="1" t="n">
        <v>0</v>
      </c>
      <c r="M433" s="1" t="n">
        <v>9700.48</v>
      </c>
      <c r="N433" s="1" t="s">
        <v>52</v>
      </c>
      <c r="O433" s="1" t="s">
        <v>53</v>
      </c>
      <c r="P433" s="1" t="n">
        <v>4</v>
      </c>
      <c r="Q433" s="1" t="s">
        <v>63</v>
      </c>
      <c r="R433" s="1" t="s">
        <v>43</v>
      </c>
    </row>
    <row r="434" customFormat="false" ht="14.25" hidden="false" customHeight="true" outlineLevel="0" collapsed="false">
      <c r="A434" s="1" t="s">
        <v>1673</v>
      </c>
      <c r="B434" s="1" t="s">
        <v>128</v>
      </c>
      <c r="C434" s="1" t="s">
        <v>115</v>
      </c>
      <c r="D434" s="1" t="s">
        <v>331</v>
      </c>
      <c r="E434" s="6" t="n">
        <v>46197</v>
      </c>
      <c r="F434" s="6" t="n">
        <v>46196</v>
      </c>
      <c r="G434" s="1" t="s">
        <v>70</v>
      </c>
      <c r="H434" s="1" t="s">
        <v>1674</v>
      </c>
      <c r="I434" s="1" t="s">
        <v>1675</v>
      </c>
      <c r="J434" s="1" t="n">
        <v>5254.36</v>
      </c>
      <c r="K434" s="1" t="n">
        <v>4950.91</v>
      </c>
      <c r="L434" s="1" t="n">
        <v>0</v>
      </c>
      <c r="M434" s="1" t="n">
        <v>4950.91</v>
      </c>
      <c r="N434" s="1" t="s">
        <v>52</v>
      </c>
      <c r="O434" s="1" t="s">
        <v>53</v>
      </c>
      <c r="P434" s="1" t="n">
        <v>3</v>
      </c>
      <c r="Q434" s="1" t="s">
        <v>155</v>
      </c>
      <c r="R434" s="1" t="s">
        <v>74</v>
      </c>
    </row>
    <row r="435" customFormat="false" ht="14.25" hidden="false" customHeight="true" outlineLevel="0" collapsed="false">
      <c r="A435" s="1" t="s">
        <v>1676</v>
      </c>
      <c r="B435" s="1" t="s">
        <v>979</v>
      </c>
      <c r="C435" s="1" t="s">
        <v>310</v>
      </c>
      <c r="D435" s="1" t="s">
        <v>183</v>
      </c>
      <c r="E435" s="6" t="n">
        <v>46210</v>
      </c>
      <c r="F435" s="6" t="n">
        <v>46207</v>
      </c>
      <c r="G435" s="1" t="s">
        <v>108</v>
      </c>
      <c r="H435" s="1" t="s">
        <v>194</v>
      </c>
      <c r="I435" s="1" t="s">
        <v>1594</v>
      </c>
      <c r="J435" s="1" t="n">
        <v>6380.73</v>
      </c>
      <c r="K435" s="1" t="n">
        <v>4906.74</v>
      </c>
      <c r="L435" s="1" t="n">
        <v>4051.36</v>
      </c>
      <c r="M435" s="1" t="n">
        <v>855.38</v>
      </c>
      <c r="N435" s="1" t="s">
        <v>41</v>
      </c>
      <c r="P435" s="1" t="n">
        <v>3</v>
      </c>
      <c r="Q435" s="1" t="s">
        <v>42</v>
      </c>
      <c r="R435" s="1" t="s">
        <v>43</v>
      </c>
      <c r="S435" s="6" t="n">
        <v>46213</v>
      </c>
    </row>
    <row r="436" customFormat="false" ht="14.25" hidden="false" customHeight="true" outlineLevel="0" collapsed="false">
      <c r="A436" s="1" t="s">
        <v>1677</v>
      </c>
      <c r="B436" s="1" t="s">
        <v>928</v>
      </c>
      <c r="C436" s="1" t="s">
        <v>900</v>
      </c>
      <c r="D436" s="1" t="s">
        <v>239</v>
      </c>
      <c r="E436" s="6" t="n">
        <v>46098</v>
      </c>
      <c r="F436" s="6" t="n">
        <v>46093</v>
      </c>
      <c r="G436" s="1" t="s">
        <v>38</v>
      </c>
      <c r="H436" s="1" t="s">
        <v>1678</v>
      </c>
      <c r="I436" s="1" t="s">
        <v>1679</v>
      </c>
      <c r="J436" s="1" t="n">
        <v>18682.49</v>
      </c>
      <c r="K436" s="1" t="n">
        <v>12816.19</v>
      </c>
      <c r="L436" s="1" t="n">
        <v>0</v>
      </c>
      <c r="M436" s="1" t="n">
        <v>12816.19</v>
      </c>
      <c r="N436" s="1" t="s">
        <v>111</v>
      </c>
      <c r="P436" s="1" t="n">
        <v>5</v>
      </c>
      <c r="Q436" s="1" t="s">
        <v>63</v>
      </c>
      <c r="R436" s="1" t="s">
        <v>74</v>
      </c>
    </row>
    <row r="437" customFormat="false" ht="14.25" hidden="false" customHeight="true" outlineLevel="0" collapsed="false">
      <c r="A437" s="1" t="s">
        <v>1680</v>
      </c>
      <c r="B437" s="1" t="s">
        <v>748</v>
      </c>
      <c r="C437" s="1" t="s">
        <v>158</v>
      </c>
      <c r="D437" s="1" t="s">
        <v>189</v>
      </c>
      <c r="E437" s="6" t="n">
        <v>46213</v>
      </c>
      <c r="F437" s="6" t="n">
        <v>46213</v>
      </c>
      <c r="G437" s="1" t="s">
        <v>70</v>
      </c>
      <c r="H437" s="1" t="s">
        <v>1532</v>
      </c>
      <c r="I437" s="1" t="s">
        <v>1681</v>
      </c>
      <c r="J437" s="1" t="n">
        <v>9464.28</v>
      </c>
      <c r="K437" s="1" t="n">
        <v>7526.54</v>
      </c>
      <c r="L437" s="1" t="n">
        <v>0</v>
      </c>
      <c r="M437" s="1" t="n">
        <v>7526.54</v>
      </c>
      <c r="N437" s="1" t="s">
        <v>52</v>
      </c>
      <c r="O437" s="1" t="s">
        <v>230</v>
      </c>
      <c r="P437" s="1" t="n">
        <v>7</v>
      </c>
      <c r="Q437" s="1" t="s">
        <v>155</v>
      </c>
      <c r="R437" s="1" t="s">
        <v>43</v>
      </c>
    </row>
    <row r="438" customFormat="false" ht="14.25" hidden="false" customHeight="true" outlineLevel="0" collapsed="false">
      <c r="A438" s="1" t="s">
        <v>1682</v>
      </c>
      <c r="B438" s="1" t="s">
        <v>972</v>
      </c>
      <c r="C438" s="1" t="s">
        <v>233</v>
      </c>
      <c r="D438" s="1" t="s">
        <v>280</v>
      </c>
      <c r="E438" s="6" t="n">
        <v>46236</v>
      </c>
      <c r="F438" s="6" t="n">
        <v>46231</v>
      </c>
      <c r="G438" s="1" t="s">
        <v>108</v>
      </c>
      <c r="H438" s="1" t="s">
        <v>1683</v>
      </c>
      <c r="I438" s="1" t="s">
        <v>1684</v>
      </c>
      <c r="J438" s="1" t="n">
        <v>28024.98</v>
      </c>
      <c r="K438" s="1" t="n">
        <v>22726.16</v>
      </c>
      <c r="L438" s="1" t="n">
        <v>21659.15</v>
      </c>
      <c r="M438" s="1" t="n">
        <v>1067.01</v>
      </c>
      <c r="N438" s="1" t="s">
        <v>41</v>
      </c>
      <c r="P438" s="1" t="n">
        <v>8</v>
      </c>
      <c r="Q438" s="1" t="s">
        <v>42</v>
      </c>
      <c r="R438" s="1" t="s">
        <v>54</v>
      </c>
      <c r="S438" s="6" t="n">
        <v>46244</v>
      </c>
    </row>
    <row r="439" customFormat="false" ht="14.25" hidden="false" customHeight="true" outlineLevel="0" collapsed="false">
      <c r="A439" s="1" t="s">
        <v>1685</v>
      </c>
      <c r="B439" s="1" t="s">
        <v>928</v>
      </c>
      <c r="C439" s="1" t="s">
        <v>671</v>
      </c>
      <c r="D439" s="1" t="s">
        <v>984</v>
      </c>
      <c r="E439" s="6" t="n">
        <v>46073</v>
      </c>
      <c r="F439" s="6" t="n">
        <v>46069</v>
      </c>
      <c r="G439" s="1" t="s">
        <v>38</v>
      </c>
      <c r="H439" s="1" t="s">
        <v>1686</v>
      </c>
      <c r="I439" s="1" t="s">
        <v>1687</v>
      </c>
      <c r="J439" s="1" t="n">
        <v>763.54</v>
      </c>
      <c r="K439" s="1" t="n">
        <v>598.75</v>
      </c>
      <c r="L439" s="1" t="n">
        <v>0</v>
      </c>
      <c r="M439" s="1" t="n">
        <v>598.75</v>
      </c>
      <c r="N439" s="1" t="s">
        <v>111</v>
      </c>
      <c r="P439" s="1" t="n">
        <v>9</v>
      </c>
      <c r="Q439" s="1" t="s">
        <v>155</v>
      </c>
      <c r="R439" s="1" t="s">
        <v>64</v>
      </c>
    </row>
    <row r="440" customFormat="false" ht="14.25" hidden="false" customHeight="true" outlineLevel="0" collapsed="false">
      <c r="A440" s="1" t="s">
        <v>1688</v>
      </c>
      <c r="B440" s="1" t="s">
        <v>1197</v>
      </c>
      <c r="C440" s="1" t="s">
        <v>188</v>
      </c>
      <c r="D440" s="1" t="s">
        <v>93</v>
      </c>
      <c r="E440" s="6" t="n">
        <v>46088</v>
      </c>
      <c r="F440" s="6" t="n">
        <v>46088</v>
      </c>
      <c r="G440" s="1" t="s">
        <v>38</v>
      </c>
      <c r="H440" s="1" t="s">
        <v>1689</v>
      </c>
      <c r="I440" s="1" t="s">
        <v>1690</v>
      </c>
      <c r="J440" s="1" t="n">
        <v>6673.5</v>
      </c>
      <c r="K440" s="1" t="n">
        <v>4935.54</v>
      </c>
      <c r="L440" s="1" t="n">
        <v>4893.93</v>
      </c>
      <c r="M440" s="1" t="n">
        <v>41.61</v>
      </c>
      <c r="N440" s="1" t="s">
        <v>41</v>
      </c>
      <c r="P440" s="1" t="n">
        <v>3</v>
      </c>
      <c r="Q440" s="1" t="s">
        <v>42</v>
      </c>
      <c r="R440" s="1" t="s">
        <v>125</v>
      </c>
      <c r="S440" s="6" t="n">
        <v>46091</v>
      </c>
    </row>
    <row r="441" customFormat="false" ht="14.25" hidden="false" customHeight="true" outlineLevel="0" collapsed="false">
      <c r="A441" s="1" t="s">
        <v>1691</v>
      </c>
      <c r="B441" s="1" t="s">
        <v>395</v>
      </c>
      <c r="C441" s="1" t="s">
        <v>115</v>
      </c>
      <c r="D441" s="1" t="s">
        <v>145</v>
      </c>
      <c r="E441" s="6" t="n">
        <v>46103</v>
      </c>
      <c r="F441" s="6" t="n">
        <v>46098</v>
      </c>
      <c r="G441" s="1" t="s">
        <v>108</v>
      </c>
      <c r="H441" s="1" t="s">
        <v>405</v>
      </c>
      <c r="I441" s="1" t="s">
        <v>1692</v>
      </c>
      <c r="J441" s="1" t="n">
        <v>7422.82</v>
      </c>
      <c r="K441" s="1" t="n">
        <v>5916.97</v>
      </c>
      <c r="L441" s="1" t="n">
        <v>4900.64</v>
      </c>
      <c r="M441" s="1" t="n">
        <v>1016.33</v>
      </c>
      <c r="N441" s="1" t="s">
        <v>41</v>
      </c>
      <c r="P441" s="1" t="n">
        <v>6</v>
      </c>
      <c r="Q441" s="1" t="s">
        <v>155</v>
      </c>
      <c r="R441" s="1" t="s">
        <v>54</v>
      </c>
      <c r="S441" s="6" t="n">
        <v>46109</v>
      </c>
    </row>
    <row r="442" customFormat="false" ht="14.25" hidden="false" customHeight="true" outlineLevel="0" collapsed="false">
      <c r="A442" s="1" t="s">
        <v>1693</v>
      </c>
      <c r="B442" s="1" t="s">
        <v>114</v>
      </c>
      <c r="C442" s="1" t="s">
        <v>144</v>
      </c>
      <c r="D442" s="1" t="s">
        <v>984</v>
      </c>
      <c r="E442" s="6" t="n">
        <v>46072</v>
      </c>
      <c r="F442" s="6" t="n">
        <v>46071</v>
      </c>
      <c r="G442" s="1" t="s">
        <v>49</v>
      </c>
      <c r="H442" s="1" t="s">
        <v>1694</v>
      </c>
      <c r="I442" s="1" t="s">
        <v>1695</v>
      </c>
      <c r="J442" s="1" t="n">
        <v>41715.08</v>
      </c>
      <c r="K442" s="1" t="n">
        <v>39096.49</v>
      </c>
      <c r="L442" s="1" t="n">
        <v>35207.8</v>
      </c>
      <c r="M442" s="1" t="n">
        <v>3888.69</v>
      </c>
      <c r="N442" s="1" t="s">
        <v>41</v>
      </c>
      <c r="P442" s="1" t="n">
        <v>4</v>
      </c>
      <c r="Q442" s="1" t="s">
        <v>63</v>
      </c>
      <c r="R442" s="1" t="s">
        <v>43</v>
      </c>
      <c r="S442" s="6" t="n">
        <v>46076</v>
      </c>
    </row>
    <row r="443" customFormat="false" ht="14.25" hidden="false" customHeight="true" outlineLevel="0" collapsed="false">
      <c r="A443" s="1" t="s">
        <v>1696</v>
      </c>
      <c r="B443" s="1" t="s">
        <v>810</v>
      </c>
      <c r="C443" s="1" t="s">
        <v>510</v>
      </c>
      <c r="D443" s="1" t="s">
        <v>876</v>
      </c>
      <c r="E443" s="6" t="n">
        <v>46190</v>
      </c>
      <c r="F443" s="6" t="n">
        <v>46189</v>
      </c>
      <c r="G443" s="1" t="s">
        <v>70</v>
      </c>
      <c r="H443" s="1" t="s">
        <v>275</v>
      </c>
      <c r="I443" s="1" t="s">
        <v>1697</v>
      </c>
      <c r="J443" s="1" t="n">
        <v>4621.08</v>
      </c>
      <c r="K443" s="1" t="n">
        <v>3356.08</v>
      </c>
      <c r="L443" s="1" t="n">
        <v>2873.93</v>
      </c>
      <c r="M443" s="1" t="n">
        <v>482.15</v>
      </c>
      <c r="N443" s="1" t="s">
        <v>41</v>
      </c>
      <c r="P443" s="1" t="n">
        <v>3</v>
      </c>
      <c r="Q443" s="1" t="s">
        <v>42</v>
      </c>
      <c r="R443" s="1" t="s">
        <v>102</v>
      </c>
      <c r="S443" s="6" t="n">
        <v>46193</v>
      </c>
    </row>
    <row r="444" customFormat="false" ht="14.25" hidden="false" customHeight="true" outlineLevel="0" collapsed="false">
      <c r="A444" s="1" t="s">
        <v>1698</v>
      </c>
      <c r="B444" s="1" t="s">
        <v>1699</v>
      </c>
      <c r="C444" s="1" t="s">
        <v>279</v>
      </c>
      <c r="D444" s="1" t="s">
        <v>717</v>
      </c>
      <c r="E444" s="6" t="n">
        <v>46172</v>
      </c>
      <c r="F444" s="6" t="n">
        <v>46167</v>
      </c>
      <c r="G444" s="1" t="s">
        <v>108</v>
      </c>
      <c r="H444" s="1" t="s">
        <v>1700</v>
      </c>
      <c r="I444" s="1" t="s">
        <v>1701</v>
      </c>
      <c r="J444" s="1" t="n">
        <v>25815.66</v>
      </c>
      <c r="K444" s="1" t="n">
        <v>18050.64</v>
      </c>
      <c r="L444" s="1" t="n">
        <v>0</v>
      </c>
      <c r="M444" s="1" t="n">
        <v>18050.64</v>
      </c>
      <c r="N444" s="1" t="s">
        <v>111</v>
      </c>
      <c r="P444" s="1" t="n">
        <v>6</v>
      </c>
      <c r="Q444" s="1" t="s">
        <v>155</v>
      </c>
      <c r="R444" s="1" t="s">
        <v>102</v>
      </c>
    </row>
    <row r="445" customFormat="false" ht="14.25" hidden="false" customHeight="true" outlineLevel="0" collapsed="false">
      <c r="A445" s="1" t="s">
        <v>1702</v>
      </c>
      <c r="B445" s="1" t="s">
        <v>1703</v>
      </c>
      <c r="C445" s="1" t="s">
        <v>310</v>
      </c>
      <c r="D445" s="1" t="s">
        <v>595</v>
      </c>
      <c r="E445" s="6" t="n">
        <v>46058</v>
      </c>
      <c r="F445" s="6" t="n">
        <v>46054</v>
      </c>
      <c r="G445" s="1" t="s">
        <v>38</v>
      </c>
      <c r="H445" s="1" t="s">
        <v>693</v>
      </c>
      <c r="I445" s="1" t="s">
        <v>1704</v>
      </c>
      <c r="J445" s="1" t="n">
        <v>27644.25</v>
      </c>
      <c r="K445" s="1" t="n">
        <v>18515.78</v>
      </c>
      <c r="L445" s="1" t="n">
        <v>16850.18</v>
      </c>
      <c r="M445" s="1" t="n">
        <v>1665.6</v>
      </c>
      <c r="N445" s="1" t="s">
        <v>41</v>
      </c>
      <c r="P445" s="1" t="n">
        <v>6</v>
      </c>
      <c r="Q445" s="1" t="s">
        <v>63</v>
      </c>
      <c r="R445" s="1" t="s">
        <v>54</v>
      </c>
      <c r="S445" s="6" t="n">
        <v>46064</v>
      </c>
    </row>
    <row r="446" customFormat="false" ht="14.25" hidden="false" customHeight="true" outlineLevel="0" collapsed="false">
      <c r="A446" s="1" t="s">
        <v>1705</v>
      </c>
      <c r="B446" s="1" t="s">
        <v>1327</v>
      </c>
      <c r="C446" s="1" t="s">
        <v>233</v>
      </c>
      <c r="D446" s="1" t="s">
        <v>227</v>
      </c>
      <c r="E446" s="6" t="n">
        <v>46051</v>
      </c>
      <c r="F446" s="6" t="n">
        <v>46048</v>
      </c>
      <c r="G446" s="1" t="s">
        <v>70</v>
      </c>
      <c r="H446" s="1" t="s">
        <v>1706</v>
      </c>
      <c r="I446" s="1" t="s">
        <v>1707</v>
      </c>
      <c r="J446" s="1" t="n">
        <v>11500.17</v>
      </c>
      <c r="K446" s="1" t="n">
        <v>10758.81</v>
      </c>
      <c r="L446" s="1" t="n">
        <v>0</v>
      </c>
      <c r="M446" s="1" t="n">
        <v>10758.81</v>
      </c>
      <c r="N446" s="1" t="s">
        <v>260</v>
      </c>
      <c r="P446" s="1" t="n">
        <v>2</v>
      </c>
      <c r="Q446" s="1" t="s">
        <v>155</v>
      </c>
      <c r="R446" s="1" t="s">
        <v>64</v>
      </c>
    </row>
    <row r="447" customFormat="false" ht="14.25" hidden="false" customHeight="true" outlineLevel="0" collapsed="false">
      <c r="A447" s="1" t="s">
        <v>1708</v>
      </c>
      <c r="B447" s="1" t="s">
        <v>834</v>
      </c>
      <c r="C447" s="1" t="s">
        <v>386</v>
      </c>
      <c r="D447" s="1" t="s">
        <v>1029</v>
      </c>
      <c r="E447" s="6" t="n">
        <v>46117</v>
      </c>
      <c r="F447" s="6" t="n">
        <v>46112</v>
      </c>
      <c r="G447" s="1" t="s">
        <v>49</v>
      </c>
      <c r="H447" s="1" t="s">
        <v>1125</v>
      </c>
      <c r="I447" s="1" t="s">
        <v>1709</v>
      </c>
      <c r="J447" s="1" t="n">
        <v>14458.84</v>
      </c>
      <c r="K447" s="1" t="n">
        <v>10573.98</v>
      </c>
      <c r="L447" s="1" t="n">
        <v>8192.37</v>
      </c>
      <c r="M447" s="1" t="n">
        <v>2381.61</v>
      </c>
      <c r="N447" s="1" t="s">
        <v>41</v>
      </c>
      <c r="P447" s="1" t="n">
        <v>1</v>
      </c>
      <c r="Q447" s="1" t="s">
        <v>42</v>
      </c>
      <c r="R447" s="1" t="s">
        <v>74</v>
      </c>
      <c r="S447" s="6" t="n">
        <v>46118</v>
      </c>
    </row>
    <row r="448" customFormat="false" ht="14.25" hidden="false" customHeight="true" outlineLevel="0" collapsed="false">
      <c r="A448" s="1" t="s">
        <v>1710</v>
      </c>
      <c r="B448" s="1" t="s">
        <v>1311</v>
      </c>
      <c r="C448" s="1" t="s">
        <v>164</v>
      </c>
      <c r="D448" s="1" t="s">
        <v>881</v>
      </c>
      <c r="E448" s="6" t="n">
        <v>46228</v>
      </c>
      <c r="F448" s="6" t="n">
        <v>46224</v>
      </c>
      <c r="G448" s="1" t="s">
        <v>38</v>
      </c>
      <c r="H448" s="1" t="s">
        <v>653</v>
      </c>
      <c r="I448" s="1" t="s">
        <v>1711</v>
      </c>
      <c r="J448" s="1" t="n">
        <v>44160.05</v>
      </c>
      <c r="K448" s="1" t="n">
        <v>34038.36</v>
      </c>
      <c r="L448" s="1" t="n">
        <v>30569.09</v>
      </c>
      <c r="M448" s="1" t="n">
        <v>3469.27</v>
      </c>
      <c r="N448" s="1" t="s">
        <v>41</v>
      </c>
      <c r="P448" s="1" t="n">
        <v>5</v>
      </c>
      <c r="Q448" s="1" t="s">
        <v>155</v>
      </c>
      <c r="R448" s="1" t="s">
        <v>43</v>
      </c>
      <c r="S448" s="6" t="n">
        <v>46233</v>
      </c>
    </row>
    <row r="449" customFormat="false" ht="14.25" hidden="false" customHeight="true" outlineLevel="0" collapsed="false">
      <c r="A449" s="1" t="s">
        <v>1712</v>
      </c>
      <c r="B449" s="1" t="s">
        <v>105</v>
      </c>
      <c r="C449" s="1" t="s">
        <v>47</v>
      </c>
      <c r="D449" s="1" t="s">
        <v>347</v>
      </c>
      <c r="E449" s="6" t="n">
        <v>46173</v>
      </c>
      <c r="F449" s="6" t="n">
        <v>46168</v>
      </c>
      <c r="G449" s="1" t="s">
        <v>38</v>
      </c>
      <c r="H449" s="1" t="s">
        <v>1713</v>
      </c>
      <c r="I449" s="1" t="s">
        <v>1714</v>
      </c>
      <c r="J449" s="1" t="n">
        <v>45962.86</v>
      </c>
      <c r="K449" s="1" t="n">
        <v>38689.61</v>
      </c>
      <c r="L449" s="1" t="n">
        <v>32597.45</v>
      </c>
      <c r="M449" s="1" t="n">
        <v>6092.16</v>
      </c>
      <c r="N449" s="1" t="s">
        <v>41</v>
      </c>
      <c r="P449" s="1" t="n">
        <v>4</v>
      </c>
      <c r="Q449" s="1" t="s">
        <v>63</v>
      </c>
      <c r="R449" s="1" t="s">
        <v>64</v>
      </c>
      <c r="S449" s="6" t="n">
        <v>46177</v>
      </c>
    </row>
    <row r="450" customFormat="false" ht="14.25" hidden="false" customHeight="true" outlineLevel="0" collapsed="false">
      <c r="A450" s="1" t="s">
        <v>1715</v>
      </c>
      <c r="B450" s="1" t="s">
        <v>1514</v>
      </c>
      <c r="C450" s="1" t="s">
        <v>286</v>
      </c>
      <c r="D450" s="1" t="s">
        <v>122</v>
      </c>
      <c r="E450" s="6" t="n">
        <v>46098</v>
      </c>
      <c r="F450" s="6" t="n">
        <v>46096</v>
      </c>
      <c r="G450" s="1" t="s">
        <v>70</v>
      </c>
      <c r="H450" s="1" t="s">
        <v>1716</v>
      </c>
      <c r="I450" s="1" t="s">
        <v>1717</v>
      </c>
      <c r="J450" s="1" t="n">
        <v>26269.44</v>
      </c>
      <c r="K450" s="1" t="n">
        <v>22737.25</v>
      </c>
      <c r="L450" s="1" t="n">
        <v>0</v>
      </c>
      <c r="M450" s="1" t="n">
        <v>22737.25</v>
      </c>
      <c r="N450" s="1" t="s">
        <v>260</v>
      </c>
      <c r="P450" s="1" t="n">
        <v>4</v>
      </c>
      <c r="Q450" s="1" t="s">
        <v>155</v>
      </c>
      <c r="R450" s="1" t="s">
        <v>74</v>
      </c>
    </row>
    <row r="451" customFormat="false" ht="14.25" hidden="false" customHeight="true" outlineLevel="0" collapsed="false">
      <c r="A451" s="1" t="s">
        <v>1718</v>
      </c>
      <c r="B451" s="1" t="s">
        <v>1719</v>
      </c>
      <c r="C451" s="1" t="s">
        <v>361</v>
      </c>
      <c r="D451" s="1" t="s">
        <v>1077</v>
      </c>
      <c r="E451" s="6" t="n">
        <v>46043</v>
      </c>
      <c r="F451" s="6" t="n">
        <v>46043</v>
      </c>
      <c r="G451" s="1" t="s">
        <v>49</v>
      </c>
      <c r="H451" s="1" t="s">
        <v>903</v>
      </c>
      <c r="I451" s="1" t="s">
        <v>1720</v>
      </c>
      <c r="J451" s="1" t="n">
        <v>47270.91</v>
      </c>
      <c r="K451" s="1" t="n">
        <v>33067.61</v>
      </c>
      <c r="L451" s="1" t="n">
        <v>0</v>
      </c>
      <c r="M451" s="1" t="n">
        <v>33067.61</v>
      </c>
      <c r="N451" s="1" t="s">
        <v>111</v>
      </c>
      <c r="P451" s="1" t="n">
        <v>4</v>
      </c>
      <c r="Q451" s="1" t="s">
        <v>63</v>
      </c>
      <c r="R451" s="1" t="s">
        <v>74</v>
      </c>
    </row>
    <row r="452" customFormat="false" ht="14.25" hidden="false" customHeight="true" outlineLevel="0" collapsed="false">
      <c r="A452" s="1" t="s">
        <v>1721</v>
      </c>
      <c r="B452" s="1" t="s">
        <v>872</v>
      </c>
      <c r="C452" s="1" t="s">
        <v>151</v>
      </c>
      <c r="D452" s="1" t="s">
        <v>529</v>
      </c>
      <c r="E452" s="6" t="n">
        <v>46158</v>
      </c>
      <c r="F452" s="6" t="n">
        <v>46153</v>
      </c>
      <c r="G452" s="1" t="s">
        <v>38</v>
      </c>
      <c r="H452" s="1" t="s">
        <v>1722</v>
      </c>
      <c r="I452" s="1" t="s">
        <v>1723</v>
      </c>
      <c r="J452" s="1" t="n">
        <v>25141.36</v>
      </c>
      <c r="K452" s="1" t="n">
        <v>21509.35</v>
      </c>
      <c r="L452" s="1" t="n">
        <v>19771.26</v>
      </c>
      <c r="M452" s="1" t="n">
        <v>1738.09</v>
      </c>
      <c r="N452" s="1" t="s">
        <v>41</v>
      </c>
      <c r="P452" s="1" t="n">
        <v>2</v>
      </c>
      <c r="Q452" s="1" t="s">
        <v>42</v>
      </c>
      <c r="R452" s="1" t="s">
        <v>43</v>
      </c>
      <c r="S452" s="6" t="n">
        <v>46160</v>
      </c>
    </row>
    <row r="453" customFormat="false" ht="14.25" hidden="false" customHeight="true" outlineLevel="0" collapsed="false">
      <c r="A453" s="1" t="s">
        <v>1724</v>
      </c>
      <c r="B453" s="1" t="s">
        <v>1725</v>
      </c>
      <c r="C453" s="1" t="s">
        <v>446</v>
      </c>
      <c r="D453" s="1" t="s">
        <v>757</v>
      </c>
      <c r="E453" s="6" t="n">
        <v>46206</v>
      </c>
      <c r="F453" s="6" t="n">
        <v>46202</v>
      </c>
      <c r="G453" s="1" t="s">
        <v>38</v>
      </c>
      <c r="H453" s="1" t="s">
        <v>1726</v>
      </c>
      <c r="I453" s="1" t="s">
        <v>1727</v>
      </c>
      <c r="J453" s="1" t="n">
        <v>12589.2</v>
      </c>
      <c r="K453" s="1" t="n">
        <v>10973.94</v>
      </c>
      <c r="L453" s="1" t="n">
        <v>0</v>
      </c>
      <c r="M453" s="1" t="n">
        <v>10973.94</v>
      </c>
      <c r="N453" s="1" t="s">
        <v>111</v>
      </c>
      <c r="P453" s="1" t="n">
        <v>12</v>
      </c>
      <c r="Q453" s="1" t="s">
        <v>155</v>
      </c>
      <c r="R453" s="1" t="s">
        <v>140</v>
      </c>
    </row>
    <row r="454" customFormat="false" ht="14.25" hidden="false" customHeight="true" outlineLevel="0" collapsed="false">
      <c r="A454" s="1" t="s">
        <v>1728</v>
      </c>
      <c r="B454" s="1" t="s">
        <v>1729</v>
      </c>
      <c r="C454" s="1" t="s">
        <v>176</v>
      </c>
      <c r="D454" s="1" t="s">
        <v>1211</v>
      </c>
      <c r="E454" s="6" t="n">
        <v>46044</v>
      </c>
      <c r="F454" s="6" t="n">
        <v>46042</v>
      </c>
      <c r="G454" s="1" t="s">
        <v>108</v>
      </c>
      <c r="H454" s="1" t="s">
        <v>1730</v>
      </c>
      <c r="I454" s="1" t="s">
        <v>1731</v>
      </c>
      <c r="J454" s="1" t="n">
        <v>25927.38</v>
      </c>
      <c r="K454" s="1" t="n">
        <v>24261.42</v>
      </c>
      <c r="L454" s="1" t="n">
        <v>0</v>
      </c>
      <c r="M454" s="1" t="n">
        <v>24261.42</v>
      </c>
      <c r="N454" s="1" t="s">
        <v>52</v>
      </c>
      <c r="O454" s="1" t="s">
        <v>62</v>
      </c>
      <c r="P454" s="1" t="n">
        <v>7</v>
      </c>
      <c r="Q454" s="1" t="s">
        <v>42</v>
      </c>
      <c r="R454" s="1" t="s">
        <v>125</v>
      </c>
    </row>
    <row r="455" customFormat="false" ht="14.25" hidden="false" customHeight="true" outlineLevel="0" collapsed="false">
      <c r="A455" s="1" t="s">
        <v>1732</v>
      </c>
      <c r="B455" s="1" t="s">
        <v>1733</v>
      </c>
      <c r="C455" s="1" t="s">
        <v>543</v>
      </c>
      <c r="D455" s="1" t="s">
        <v>239</v>
      </c>
      <c r="E455" s="6" t="n">
        <v>46219</v>
      </c>
      <c r="F455" s="6" t="n">
        <v>46219</v>
      </c>
      <c r="G455" s="1" t="s">
        <v>108</v>
      </c>
      <c r="H455" s="1" t="s">
        <v>1734</v>
      </c>
      <c r="I455" s="1" t="s">
        <v>1735</v>
      </c>
      <c r="J455" s="1" t="n">
        <v>24414.67</v>
      </c>
      <c r="K455" s="1" t="n">
        <v>17808.68</v>
      </c>
      <c r="L455" s="1" t="n">
        <v>13366.46</v>
      </c>
      <c r="M455" s="1" t="n">
        <v>4442.22</v>
      </c>
      <c r="N455" s="1" t="s">
        <v>41</v>
      </c>
      <c r="P455" s="1" t="n">
        <v>7</v>
      </c>
      <c r="Q455" s="1" t="s">
        <v>155</v>
      </c>
      <c r="R455" s="1" t="s">
        <v>102</v>
      </c>
      <c r="S455" s="6" t="n">
        <v>46226</v>
      </c>
    </row>
    <row r="456" customFormat="false" ht="14.25" hidden="false" customHeight="true" outlineLevel="0" collapsed="false">
      <c r="A456" s="1" t="s">
        <v>1736</v>
      </c>
      <c r="B456" s="1" t="s">
        <v>1066</v>
      </c>
      <c r="C456" s="1" t="s">
        <v>356</v>
      </c>
      <c r="D456" s="1" t="s">
        <v>305</v>
      </c>
      <c r="E456" s="6" t="n">
        <v>46028</v>
      </c>
      <c r="F456" s="6" t="n">
        <v>46024</v>
      </c>
      <c r="G456" s="1" t="s">
        <v>108</v>
      </c>
      <c r="H456" s="1" t="s">
        <v>1737</v>
      </c>
      <c r="I456" s="1" t="s">
        <v>1738</v>
      </c>
      <c r="J456" s="1" t="n">
        <v>15268.36</v>
      </c>
      <c r="K456" s="1" t="n">
        <v>10415.3</v>
      </c>
      <c r="L456" s="1" t="n">
        <v>8722.09</v>
      </c>
      <c r="M456" s="1" t="n">
        <v>1693.21</v>
      </c>
      <c r="N456" s="1" t="s">
        <v>41</v>
      </c>
      <c r="P456" s="1" t="n">
        <v>3</v>
      </c>
      <c r="Q456" s="1" t="s">
        <v>155</v>
      </c>
      <c r="R456" s="1" t="s">
        <v>54</v>
      </c>
      <c r="S456" s="6" t="n">
        <v>46031</v>
      </c>
    </row>
    <row r="457" customFormat="false" ht="14.25" hidden="false" customHeight="true" outlineLevel="0" collapsed="false">
      <c r="A457" s="1" t="s">
        <v>1739</v>
      </c>
      <c r="B457" s="1" t="s">
        <v>1452</v>
      </c>
      <c r="C457" s="1" t="s">
        <v>244</v>
      </c>
      <c r="D457" s="1" t="s">
        <v>69</v>
      </c>
      <c r="E457" s="6" t="n">
        <v>46162</v>
      </c>
      <c r="F457" s="6" t="n">
        <v>46158</v>
      </c>
      <c r="G457" s="1" t="s">
        <v>49</v>
      </c>
      <c r="H457" s="1" t="s">
        <v>1740</v>
      </c>
      <c r="I457" s="1" t="s">
        <v>1741</v>
      </c>
      <c r="J457" s="1" t="n">
        <v>20830.59</v>
      </c>
      <c r="K457" s="1" t="n">
        <v>19246.06</v>
      </c>
      <c r="L457" s="1" t="n">
        <v>0</v>
      </c>
      <c r="M457" s="1" t="n">
        <v>19246.06</v>
      </c>
      <c r="N457" s="1" t="s">
        <v>52</v>
      </c>
      <c r="O457" s="1" t="s">
        <v>265</v>
      </c>
      <c r="P457" s="1" t="n">
        <v>1</v>
      </c>
      <c r="Q457" s="1" t="s">
        <v>63</v>
      </c>
      <c r="R457" s="1" t="s">
        <v>43</v>
      </c>
    </row>
    <row r="458" customFormat="false" ht="14.25" hidden="false" customHeight="true" outlineLevel="0" collapsed="false">
      <c r="A458" s="1" t="s">
        <v>1742</v>
      </c>
      <c r="B458" s="1" t="s">
        <v>267</v>
      </c>
      <c r="C458" s="1" t="s">
        <v>356</v>
      </c>
      <c r="D458" s="1" t="s">
        <v>268</v>
      </c>
      <c r="E458" s="6" t="n">
        <v>46073</v>
      </c>
      <c r="F458" s="6" t="n">
        <v>46069</v>
      </c>
      <c r="G458" s="1" t="s">
        <v>49</v>
      </c>
      <c r="H458" s="1" t="s">
        <v>1743</v>
      </c>
      <c r="I458" s="1" t="s">
        <v>167</v>
      </c>
      <c r="J458" s="1" t="n">
        <v>5880.4</v>
      </c>
      <c r="K458" s="1" t="n">
        <v>4595.95</v>
      </c>
      <c r="L458" s="1" t="n">
        <v>0</v>
      </c>
      <c r="M458" s="1" t="n">
        <v>4595.95</v>
      </c>
      <c r="N458" s="1" t="s">
        <v>52</v>
      </c>
      <c r="O458" s="1" t="s">
        <v>265</v>
      </c>
      <c r="P458" s="1" t="n">
        <v>8</v>
      </c>
      <c r="Q458" s="1" t="s">
        <v>42</v>
      </c>
      <c r="R458" s="1" t="s">
        <v>140</v>
      </c>
    </row>
    <row r="459" customFormat="false" ht="14.25" hidden="false" customHeight="true" outlineLevel="0" collapsed="false">
      <c r="A459" s="1" t="s">
        <v>1744</v>
      </c>
      <c r="B459" s="1" t="s">
        <v>372</v>
      </c>
      <c r="C459" s="1" t="s">
        <v>188</v>
      </c>
      <c r="D459" s="1" t="s">
        <v>953</v>
      </c>
      <c r="E459" s="6" t="n">
        <v>46052</v>
      </c>
      <c r="F459" s="6" t="n">
        <v>46051</v>
      </c>
      <c r="G459" s="1" t="s">
        <v>49</v>
      </c>
      <c r="H459" s="1" t="s">
        <v>1625</v>
      </c>
      <c r="I459" s="1" t="s">
        <v>1745</v>
      </c>
      <c r="J459" s="1" t="n">
        <v>7117.18</v>
      </c>
      <c r="K459" s="1" t="n">
        <v>5525.19</v>
      </c>
      <c r="L459" s="1" t="n">
        <v>4601.4</v>
      </c>
      <c r="M459" s="1" t="n">
        <v>923.79</v>
      </c>
      <c r="N459" s="1" t="s">
        <v>41</v>
      </c>
      <c r="P459" s="1" t="n">
        <v>1</v>
      </c>
      <c r="Q459" s="1" t="s">
        <v>155</v>
      </c>
      <c r="R459" s="1" t="s">
        <v>43</v>
      </c>
      <c r="S459" s="6" t="n">
        <v>46053</v>
      </c>
    </row>
    <row r="460" customFormat="false" ht="14.25" hidden="false" customHeight="true" outlineLevel="0" collapsed="false">
      <c r="A460" s="1" t="s">
        <v>1746</v>
      </c>
      <c r="B460" s="1" t="s">
        <v>422</v>
      </c>
      <c r="C460" s="1" t="s">
        <v>623</v>
      </c>
      <c r="D460" s="1" t="s">
        <v>964</v>
      </c>
      <c r="E460" s="6" t="n">
        <v>46152</v>
      </c>
      <c r="F460" s="6" t="n">
        <v>46148</v>
      </c>
      <c r="G460" s="1" t="s">
        <v>49</v>
      </c>
      <c r="H460" s="1" t="s">
        <v>733</v>
      </c>
      <c r="I460" s="1" t="s">
        <v>1747</v>
      </c>
      <c r="J460" s="1" t="n">
        <v>34245.96</v>
      </c>
      <c r="K460" s="1" t="n">
        <v>23569.1</v>
      </c>
      <c r="L460" s="1" t="n">
        <v>22102.45</v>
      </c>
      <c r="M460" s="1" t="n">
        <v>1466.65</v>
      </c>
      <c r="N460" s="1" t="s">
        <v>41</v>
      </c>
      <c r="P460" s="1" t="n">
        <v>7</v>
      </c>
      <c r="Q460" s="1" t="s">
        <v>155</v>
      </c>
      <c r="R460" s="1" t="s">
        <v>125</v>
      </c>
      <c r="S460" s="6" t="n">
        <v>46159</v>
      </c>
    </row>
    <row r="461" customFormat="false" ht="14.25" hidden="false" customHeight="true" outlineLevel="0" collapsed="false">
      <c r="A461" s="1" t="s">
        <v>1748</v>
      </c>
      <c r="B461" s="1" t="s">
        <v>314</v>
      </c>
      <c r="C461" s="1" t="s">
        <v>446</v>
      </c>
      <c r="D461" s="1" t="s">
        <v>964</v>
      </c>
      <c r="E461" s="6" t="n">
        <v>46029</v>
      </c>
      <c r="F461" s="6" t="n">
        <v>46028</v>
      </c>
      <c r="G461" s="1" t="s">
        <v>108</v>
      </c>
      <c r="H461" s="1" t="s">
        <v>1347</v>
      </c>
      <c r="I461" s="1" t="s">
        <v>1749</v>
      </c>
      <c r="J461" s="1" t="n">
        <v>25250.05</v>
      </c>
      <c r="K461" s="1" t="n">
        <v>22225.49</v>
      </c>
      <c r="L461" s="1" t="n">
        <v>17983.23</v>
      </c>
      <c r="M461" s="1" t="n">
        <v>4242.26</v>
      </c>
      <c r="N461" s="1" t="s">
        <v>41</v>
      </c>
      <c r="P461" s="1" t="n">
        <v>6</v>
      </c>
      <c r="Q461" s="1" t="s">
        <v>63</v>
      </c>
      <c r="R461" s="1" t="s">
        <v>102</v>
      </c>
      <c r="S461" s="6" t="n">
        <v>46035</v>
      </c>
    </row>
    <row r="462" customFormat="false" ht="14.25" hidden="false" customHeight="true" outlineLevel="0" collapsed="false">
      <c r="A462" s="1" t="s">
        <v>1750</v>
      </c>
      <c r="B462" s="1" t="s">
        <v>1751</v>
      </c>
      <c r="C462" s="1" t="s">
        <v>310</v>
      </c>
      <c r="D462" s="1" t="s">
        <v>501</v>
      </c>
      <c r="E462" s="6" t="n">
        <v>46147</v>
      </c>
      <c r="F462" s="6" t="n">
        <v>46147</v>
      </c>
      <c r="G462" s="1" t="s">
        <v>70</v>
      </c>
      <c r="H462" s="1" t="s">
        <v>1752</v>
      </c>
      <c r="I462" s="1" t="s">
        <v>1753</v>
      </c>
      <c r="J462" s="1" t="n">
        <v>12763.49</v>
      </c>
      <c r="K462" s="1" t="n">
        <v>8880.18</v>
      </c>
      <c r="L462" s="1" t="n">
        <v>0</v>
      </c>
      <c r="M462" s="1" t="n">
        <v>8880.18</v>
      </c>
      <c r="N462" s="1" t="s">
        <v>52</v>
      </c>
      <c r="O462" s="1" t="s">
        <v>265</v>
      </c>
      <c r="P462" s="1" t="n">
        <v>3</v>
      </c>
      <c r="Q462" s="1" t="s">
        <v>42</v>
      </c>
      <c r="R462" s="1" t="s">
        <v>125</v>
      </c>
    </row>
    <row r="463" customFormat="false" ht="14.25" hidden="false" customHeight="true" outlineLevel="0" collapsed="false">
      <c r="A463" s="1" t="s">
        <v>1754</v>
      </c>
      <c r="B463" s="1" t="s">
        <v>1248</v>
      </c>
      <c r="C463" s="1" t="s">
        <v>430</v>
      </c>
      <c r="D463" s="1" t="s">
        <v>320</v>
      </c>
      <c r="E463" s="6" t="n">
        <v>46133</v>
      </c>
      <c r="F463" s="6" t="n">
        <v>46132</v>
      </c>
      <c r="G463" s="1" t="s">
        <v>38</v>
      </c>
      <c r="H463" s="1" t="s">
        <v>1755</v>
      </c>
      <c r="I463" s="1" t="s">
        <v>1756</v>
      </c>
      <c r="J463" s="1" t="n">
        <v>39244.49</v>
      </c>
      <c r="K463" s="1" t="n">
        <v>26722.34</v>
      </c>
      <c r="L463" s="1" t="n">
        <v>24921.63</v>
      </c>
      <c r="M463" s="1" t="n">
        <v>1800.71</v>
      </c>
      <c r="N463" s="1" t="s">
        <v>41</v>
      </c>
      <c r="P463" s="1" t="n">
        <v>3</v>
      </c>
      <c r="Q463" s="1" t="s">
        <v>155</v>
      </c>
      <c r="R463" s="1" t="s">
        <v>43</v>
      </c>
      <c r="S463" s="6" t="n">
        <v>46136</v>
      </c>
    </row>
    <row r="464" customFormat="false" ht="14.25" hidden="false" customHeight="true" outlineLevel="0" collapsed="false">
      <c r="A464" s="1" t="s">
        <v>1757</v>
      </c>
      <c r="B464" s="1" t="s">
        <v>404</v>
      </c>
      <c r="C464" s="1" t="s">
        <v>182</v>
      </c>
      <c r="D464" s="1" t="s">
        <v>717</v>
      </c>
      <c r="E464" s="6" t="n">
        <v>46034</v>
      </c>
      <c r="F464" s="6" t="n">
        <v>46032</v>
      </c>
      <c r="G464" s="1" t="s">
        <v>49</v>
      </c>
      <c r="H464" s="1" t="s">
        <v>1614</v>
      </c>
      <c r="I464" s="1" t="s">
        <v>1758</v>
      </c>
      <c r="J464" s="1" t="n">
        <v>46490.37</v>
      </c>
      <c r="K464" s="1" t="n">
        <v>36164.44</v>
      </c>
      <c r="L464" s="1" t="n">
        <v>0</v>
      </c>
      <c r="M464" s="1" t="n">
        <v>36164.44</v>
      </c>
      <c r="N464" s="1" t="s">
        <v>260</v>
      </c>
      <c r="P464" s="1" t="n">
        <v>4</v>
      </c>
      <c r="Q464" s="1" t="s">
        <v>42</v>
      </c>
      <c r="R464" s="1" t="s">
        <v>74</v>
      </c>
    </row>
    <row r="465" customFormat="false" ht="14.25" hidden="false" customHeight="true" outlineLevel="0" collapsed="false">
      <c r="A465" s="1" t="s">
        <v>1759</v>
      </c>
      <c r="B465" s="1" t="s">
        <v>1760</v>
      </c>
      <c r="C465" s="1" t="s">
        <v>144</v>
      </c>
      <c r="D465" s="1" t="s">
        <v>257</v>
      </c>
      <c r="E465" s="6" t="n">
        <v>46083</v>
      </c>
      <c r="F465" s="6" t="n">
        <v>46082</v>
      </c>
      <c r="G465" s="1" t="s">
        <v>70</v>
      </c>
      <c r="H465" s="1" t="s">
        <v>925</v>
      </c>
      <c r="I465" s="1" t="s">
        <v>1761</v>
      </c>
      <c r="J465" s="1" t="n">
        <v>24220.16</v>
      </c>
      <c r="K465" s="1" t="n">
        <v>19447.8</v>
      </c>
      <c r="L465" s="1" t="n">
        <v>17716.33</v>
      </c>
      <c r="M465" s="1" t="n">
        <v>1731.47</v>
      </c>
      <c r="N465" s="1" t="s">
        <v>41</v>
      </c>
      <c r="P465" s="1" t="n">
        <v>5</v>
      </c>
      <c r="Q465" s="1" t="s">
        <v>155</v>
      </c>
      <c r="R465" s="1" t="s">
        <v>102</v>
      </c>
      <c r="S465" s="6" t="n">
        <v>46088</v>
      </c>
    </row>
    <row r="466" customFormat="false" ht="14.25" hidden="false" customHeight="true" outlineLevel="0" collapsed="false">
      <c r="A466" s="1" t="s">
        <v>1762</v>
      </c>
      <c r="B466" s="1" t="s">
        <v>1751</v>
      </c>
      <c r="C466" s="1" t="s">
        <v>446</v>
      </c>
      <c r="D466" s="1" t="s">
        <v>189</v>
      </c>
      <c r="E466" s="6" t="n">
        <v>46036</v>
      </c>
      <c r="F466" s="6" t="n">
        <v>46035</v>
      </c>
      <c r="G466" s="1" t="s">
        <v>49</v>
      </c>
      <c r="H466" s="1" t="s">
        <v>1763</v>
      </c>
      <c r="I466" s="1" t="s">
        <v>1764</v>
      </c>
      <c r="J466" s="1" t="n">
        <v>3080.47</v>
      </c>
      <c r="K466" s="1" t="n">
        <v>2690.56</v>
      </c>
      <c r="L466" s="1" t="n">
        <v>2160.5</v>
      </c>
      <c r="M466" s="1" t="n">
        <v>530.06</v>
      </c>
      <c r="N466" s="1" t="s">
        <v>41</v>
      </c>
      <c r="P466" s="1" t="n">
        <v>8</v>
      </c>
      <c r="Q466" s="1" t="s">
        <v>63</v>
      </c>
      <c r="R466" s="1" t="s">
        <v>102</v>
      </c>
      <c r="S466" s="6" t="n">
        <v>46044</v>
      </c>
    </row>
    <row r="467" customFormat="false" ht="14.25" hidden="false" customHeight="true" outlineLevel="0" collapsed="false">
      <c r="A467" s="1" t="s">
        <v>1765</v>
      </c>
      <c r="B467" s="1" t="s">
        <v>197</v>
      </c>
      <c r="C467" s="1" t="s">
        <v>58</v>
      </c>
      <c r="D467" s="1" t="s">
        <v>964</v>
      </c>
      <c r="E467" s="6" t="n">
        <v>46110</v>
      </c>
      <c r="F467" s="6" t="n">
        <v>46108</v>
      </c>
      <c r="G467" s="1" t="s">
        <v>70</v>
      </c>
      <c r="H467" s="1" t="s">
        <v>301</v>
      </c>
      <c r="I467" s="1" t="s">
        <v>1766</v>
      </c>
      <c r="J467" s="1" t="n">
        <v>33612.9</v>
      </c>
      <c r="K467" s="1" t="n">
        <v>28735.28</v>
      </c>
      <c r="L467" s="1" t="n">
        <v>27086.33</v>
      </c>
      <c r="M467" s="1" t="n">
        <v>1648.95</v>
      </c>
      <c r="N467" s="1" t="s">
        <v>41</v>
      </c>
      <c r="P467" s="1" t="n">
        <v>3</v>
      </c>
      <c r="Q467" s="1" t="s">
        <v>42</v>
      </c>
      <c r="R467" s="1" t="s">
        <v>102</v>
      </c>
      <c r="S467" s="6" t="n">
        <v>46113</v>
      </c>
    </row>
    <row r="468" customFormat="false" ht="14.25" hidden="false" customHeight="true" outlineLevel="0" collapsed="false">
      <c r="A468" s="1" t="s">
        <v>1767</v>
      </c>
      <c r="B468" s="1" t="s">
        <v>1725</v>
      </c>
      <c r="C468" s="1" t="s">
        <v>430</v>
      </c>
      <c r="D468" s="1" t="s">
        <v>331</v>
      </c>
      <c r="E468" s="6" t="n">
        <v>46088</v>
      </c>
      <c r="F468" s="6" t="n">
        <v>46083</v>
      </c>
      <c r="G468" s="1" t="s">
        <v>38</v>
      </c>
      <c r="H468" s="1" t="s">
        <v>1390</v>
      </c>
      <c r="I468" s="1" t="s">
        <v>1768</v>
      </c>
      <c r="J468" s="1" t="n">
        <v>29424.2</v>
      </c>
      <c r="K468" s="1" t="n">
        <v>19895.74</v>
      </c>
      <c r="L468" s="1" t="n">
        <v>15450.86</v>
      </c>
      <c r="M468" s="1" t="n">
        <v>4444.88</v>
      </c>
      <c r="N468" s="1" t="s">
        <v>41</v>
      </c>
      <c r="P468" s="1" t="n">
        <v>2</v>
      </c>
      <c r="Q468" s="1" t="s">
        <v>155</v>
      </c>
      <c r="R468" s="1" t="s">
        <v>54</v>
      </c>
      <c r="S468" s="6" t="n">
        <v>46090</v>
      </c>
    </row>
    <row r="469" customFormat="false" ht="14.25" hidden="false" customHeight="true" outlineLevel="0" collapsed="false">
      <c r="A469" s="1" t="s">
        <v>1769</v>
      </c>
      <c r="B469" s="1" t="s">
        <v>1770</v>
      </c>
      <c r="C469" s="1" t="s">
        <v>158</v>
      </c>
      <c r="D469" s="1" t="s">
        <v>732</v>
      </c>
      <c r="E469" s="6" t="n">
        <v>46166</v>
      </c>
      <c r="F469" s="6" t="n">
        <v>46162</v>
      </c>
      <c r="G469" s="1" t="s">
        <v>49</v>
      </c>
      <c r="H469" s="1" t="s">
        <v>1771</v>
      </c>
      <c r="I469" s="1" t="s">
        <v>1772</v>
      </c>
      <c r="J469" s="1" t="n">
        <v>36404.86</v>
      </c>
      <c r="K469" s="1" t="n">
        <v>34471.52</v>
      </c>
      <c r="L469" s="1" t="n">
        <v>27594.44</v>
      </c>
      <c r="M469" s="1" t="n">
        <v>6877.08</v>
      </c>
      <c r="N469" s="1" t="s">
        <v>41</v>
      </c>
      <c r="P469" s="1" t="n">
        <v>3</v>
      </c>
      <c r="Q469" s="1" t="s">
        <v>42</v>
      </c>
      <c r="R469" s="1" t="s">
        <v>102</v>
      </c>
      <c r="S469" s="6" t="n">
        <v>46169</v>
      </c>
    </row>
    <row r="470" customFormat="false" ht="14.25" hidden="false" customHeight="true" outlineLevel="0" collapsed="false">
      <c r="A470" s="1" t="s">
        <v>1773</v>
      </c>
      <c r="B470" s="1" t="s">
        <v>105</v>
      </c>
      <c r="C470" s="1" t="s">
        <v>233</v>
      </c>
      <c r="D470" s="1" t="s">
        <v>48</v>
      </c>
      <c r="E470" s="6" t="n">
        <v>46119</v>
      </c>
      <c r="F470" s="6" t="n">
        <v>46116</v>
      </c>
      <c r="G470" s="1" t="s">
        <v>108</v>
      </c>
      <c r="H470" s="1" t="s">
        <v>1774</v>
      </c>
      <c r="I470" s="1" t="s">
        <v>1775</v>
      </c>
      <c r="J470" s="1" t="n">
        <v>6312.73</v>
      </c>
      <c r="K470" s="1" t="n">
        <v>4929.22</v>
      </c>
      <c r="L470" s="1" t="n">
        <v>0</v>
      </c>
      <c r="M470" s="1" t="n">
        <v>4929.22</v>
      </c>
      <c r="N470" s="1" t="s">
        <v>111</v>
      </c>
      <c r="P470" s="1" t="n">
        <v>11</v>
      </c>
      <c r="Q470" s="1" t="s">
        <v>42</v>
      </c>
      <c r="R470" s="1" t="s">
        <v>140</v>
      </c>
    </row>
    <row r="471" customFormat="false" ht="14.25" hidden="false" customHeight="true" outlineLevel="0" collapsed="false">
      <c r="A471" s="1" t="s">
        <v>1776</v>
      </c>
      <c r="B471" s="1" t="s">
        <v>1073</v>
      </c>
      <c r="C471" s="1" t="s">
        <v>900</v>
      </c>
      <c r="D471" s="1" t="s">
        <v>722</v>
      </c>
      <c r="E471" s="6" t="n">
        <v>46097</v>
      </c>
      <c r="F471" s="6" t="n">
        <v>46097</v>
      </c>
      <c r="G471" s="1" t="s">
        <v>108</v>
      </c>
      <c r="H471" s="1" t="s">
        <v>1777</v>
      </c>
      <c r="I471" s="1" t="s">
        <v>1778</v>
      </c>
      <c r="J471" s="1" t="n">
        <v>3509.27</v>
      </c>
      <c r="K471" s="1" t="n">
        <v>3304.83</v>
      </c>
      <c r="L471" s="1" t="n">
        <v>0</v>
      </c>
      <c r="M471" s="1" t="n">
        <v>3304.83</v>
      </c>
      <c r="N471" s="1" t="s">
        <v>260</v>
      </c>
      <c r="P471" s="1" t="n">
        <v>4</v>
      </c>
      <c r="Q471" s="1" t="s">
        <v>42</v>
      </c>
      <c r="R471" s="1" t="s">
        <v>43</v>
      </c>
    </row>
    <row r="472" customFormat="false" ht="14.25" hidden="false" customHeight="true" outlineLevel="0" collapsed="false">
      <c r="A472" s="1" t="s">
        <v>1779</v>
      </c>
      <c r="B472" s="1" t="s">
        <v>1311</v>
      </c>
      <c r="C472" s="1" t="s">
        <v>115</v>
      </c>
      <c r="D472" s="1" t="s">
        <v>347</v>
      </c>
      <c r="E472" s="6" t="n">
        <v>46169</v>
      </c>
      <c r="F472" s="6" t="n">
        <v>46166</v>
      </c>
      <c r="G472" s="1" t="s">
        <v>70</v>
      </c>
      <c r="H472" s="1" t="s">
        <v>1780</v>
      </c>
      <c r="I472" s="1" t="s">
        <v>1781</v>
      </c>
      <c r="J472" s="1" t="n">
        <v>13938.96</v>
      </c>
      <c r="K472" s="1" t="n">
        <v>9830.03</v>
      </c>
      <c r="L472" s="1" t="n">
        <v>7765.73</v>
      </c>
      <c r="M472" s="1" t="n">
        <v>2064.3</v>
      </c>
      <c r="N472" s="1" t="s">
        <v>41</v>
      </c>
      <c r="P472" s="1" t="n">
        <v>4</v>
      </c>
      <c r="Q472" s="1" t="s">
        <v>63</v>
      </c>
      <c r="R472" s="1" t="s">
        <v>74</v>
      </c>
      <c r="S472" s="6" t="n">
        <v>46173</v>
      </c>
    </row>
    <row r="473" customFormat="false" ht="14.25" hidden="false" customHeight="true" outlineLevel="0" collapsed="false">
      <c r="A473" s="1" t="s">
        <v>1782</v>
      </c>
      <c r="B473" s="1" t="s">
        <v>1562</v>
      </c>
      <c r="C473" s="1" t="s">
        <v>158</v>
      </c>
      <c r="D473" s="1" t="s">
        <v>595</v>
      </c>
      <c r="E473" s="6" t="n">
        <v>46095</v>
      </c>
      <c r="F473" s="6" t="n">
        <v>46091</v>
      </c>
      <c r="G473" s="1" t="s">
        <v>108</v>
      </c>
      <c r="H473" s="1" t="s">
        <v>1783</v>
      </c>
      <c r="I473" s="1" t="s">
        <v>1784</v>
      </c>
      <c r="J473" s="1" t="n">
        <v>11584.51</v>
      </c>
      <c r="K473" s="1" t="n">
        <v>9384.26</v>
      </c>
      <c r="L473" s="1" t="n">
        <v>7722.88</v>
      </c>
      <c r="M473" s="1" t="n">
        <v>1661.38</v>
      </c>
      <c r="N473" s="1" t="s">
        <v>41</v>
      </c>
      <c r="P473" s="1" t="n">
        <v>3</v>
      </c>
      <c r="Q473" s="1" t="s">
        <v>155</v>
      </c>
      <c r="R473" s="1" t="s">
        <v>64</v>
      </c>
      <c r="S473" s="6" t="n">
        <v>46098</v>
      </c>
    </row>
    <row r="474" customFormat="false" ht="14.25" hidden="false" customHeight="true" outlineLevel="0" collapsed="false">
      <c r="A474" s="1" t="s">
        <v>1785</v>
      </c>
      <c r="B474" s="1" t="s">
        <v>1786</v>
      </c>
      <c r="C474" s="1" t="s">
        <v>47</v>
      </c>
      <c r="D474" s="1" t="s">
        <v>245</v>
      </c>
      <c r="E474" s="6" t="n">
        <v>46052</v>
      </c>
      <c r="F474" s="6" t="n">
        <v>46052</v>
      </c>
      <c r="G474" s="1" t="s">
        <v>70</v>
      </c>
      <c r="H474" s="1" t="s">
        <v>758</v>
      </c>
      <c r="I474" s="1" t="s">
        <v>1787</v>
      </c>
      <c r="J474" s="1" t="n">
        <v>31817.8</v>
      </c>
      <c r="K474" s="1" t="n">
        <v>29961.73</v>
      </c>
      <c r="L474" s="1" t="n">
        <v>0</v>
      </c>
      <c r="M474" s="1" t="n">
        <v>29961.73</v>
      </c>
      <c r="N474" s="1" t="s">
        <v>111</v>
      </c>
      <c r="P474" s="1" t="n">
        <v>9</v>
      </c>
      <c r="Q474" s="1" t="s">
        <v>63</v>
      </c>
      <c r="R474" s="1" t="s">
        <v>64</v>
      </c>
    </row>
    <row r="475" customFormat="false" ht="14.25" hidden="false" customHeight="true" outlineLevel="0" collapsed="false">
      <c r="A475" s="1" t="s">
        <v>1788</v>
      </c>
      <c r="B475" s="1" t="s">
        <v>1789</v>
      </c>
      <c r="C475" s="1" t="s">
        <v>623</v>
      </c>
      <c r="D475" s="1" t="s">
        <v>712</v>
      </c>
      <c r="E475" s="6" t="n">
        <v>46100</v>
      </c>
      <c r="F475" s="6" t="n">
        <v>46098</v>
      </c>
      <c r="G475" s="1" t="s">
        <v>38</v>
      </c>
      <c r="H475" s="1" t="s">
        <v>1790</v>
      </c>
      <c r="I475" s="1" t="s">
        <v>1791</v>
      </c>
      <c r="J475" s="1" t="n">
        <v>31484.79</v>
      </c>
      <c r="K475" s="1" t="n">
        <v>20563.42</v>
      </c>
      <c r="L475" s="1" t="n">
        <v>0</v>
      </c>
      <c r="M475" s="1" t="n">
        <v>20563.42</v>
      </c>
      <c r="N475" s="1" t="s">
        <v>260</v>
      </c>
      <c r="P475" s="1" t="n">
        <v>6</v>
      </c>
      <c r="Q475" s="1" t="s">
        <v>42</v>
      </c>
      <c r="R475" s="1" t="s">
        <v>74</v>
      </c>
    </row>
    <row r="476" customFormat="false" ht="14.25" hidden="false" customHeight="true" outlineLevel="0" collapsed="false">
      <c r="A476" s="1" t="s">
        <v>1792</v>
      </c>
      <c r="B476" s="1" t="s">
        <v>1108</v>
      </c>
      <c r="C476" s="1" t="s">
        <v>244</v>
      </c>
      <c r="D476" s="1" t="s">
        <v>550</v>
      </c>
      <c r="E476" s="6" t="n">
        <v>46226</v>
      </c>
      <c r="F476" s="6" t="n">
        <v>46222</v>
      </c>
      <c r="G476" s="1" t="s">
        <v>70</v>
      </c>
      <c r="H476" s="1" t="s">
        <v>1793</v>
      </c>
      <c r="I476" s="1" t="s">
        <v>1794</v>
      </c>
      <c r="J476" s="1" t="n">
        <v>37415.6</v>
      </c>
      <c r="K476" s="1" t="n">
        <v>28607.75</v>
      </c>
      <c r="L476" s="1" t="n">
        <v>26131.93</v>
      </c>
      <c r="M476" s="1" t="n">
        <v>2475.82</v>
      </c>
      <c r="N476" s="1" t="s">
        <v>41</v>
      </c>
      <c r="P476" s="1" t="n">
        <v>4</v>
      </c>
      <c r="Q476" s="1" t="s">
        <v>155</v>
      </c>
      <c r="R476" s="1" t="s">
        <v>43</v>
      </c>
      <c r="S476" s="6" t="n">
        <v>46230</v>
      </c>
    </row>
    <row r="477" customFormat="false" ht="14.25" hidden="false" customHeight="true" outlineLevel="0" collapsed="false">
      <c r="A477" s="1" t="s">
        <v>1795</v>
      </c>
      <c r="B477" s="1" t="s">
        <v>1244</v>
      </c>
      <c r="C477" s="1" t="s">
        <v>68</v>
      </c>
      <c r="D477" s="1" t="s">
        <v>347</v>
      </c>
      <c r="E477" s="6" t="n">
        <v>46087</v>
      </c>
      <c r="F477" s="6" t="n">
        <v>46082</v>
      </c>
      <c r="G477" s="1" t="s">
        <v>38</v>
      </c>
      <c r="H477" s="1" t="s">
        <v>1796</v>
      </c>
      <c r="I477" s="1" t="s">
        <v>1797</v>
      </c>
      <c r="J477" s="1" t="n">
        <v>18747.68</v>
      </c>
      <c r="K477" s="1" t="n">
        <v>17260.06</v>
      </c>
      <c r="L477" s="1" t="n">
        <v>0</v>
      </c>
      <c r="M477" s="1" t="n">
        <v>17260.06</v>
      </c>
      <c r="N477" s="1" t="s">
        <v>111</v>
      </c>
      <c r="P477" s="1" t="n">
        <v>5</v>
      </c>
      <c r="Q477" s="1" t="s">
        <v>155</v>
      </c>
      <c r="R477" s="1" t="s">
        <v>64</v>
      </c>
    </row>
    <row r="478" customFormat="false" ht="14.25" hidden="false" customHeight="true" outlineLevel="0" collapsed="false">
      <c r="A478" s="1" t="s">
        <v>1798</v>
      </c>
      <c r="B478" s="1" t="s">
        <v>1248</v>
      </c>
      <c r="C478" s="1" t="s">
        <v>686</v>
      </c>
      <c r="D478" s="1" t="s">
        <v>476</v>
      </c>
      <c r="E478" s="6" t="n">
        <v>46153</v>
      </c>
      <c r="F478" s="6" t="n">
        <v>46148</v>
      </c>
      <c r="G478" s="1" t="s">
        <v>108</v>
      </c>
      <c r="H478" s="1" t="s">
        <v>1799</v>
      </c>
      <c r="I478" s="1" t="s">
        <v>1800</v>
      </c>
      <c r="J478" s="1" t="n">
        <v>14461.19</v>
      </c>
      <c r="K478" s="1" t="n">
        <v>10745.36</v>
      </c>
      <c r="L478" s="1" t="n">
        <v>10437.11</v>
      </c>
      <c r="M478" s="1" t="n">
        <v>308.25</v>
      </c>
      <c r="N478" s="1" t="s">
        <v>41</v>
      </c>
      <c r="P478" s="1" t="n">
        <v>7</v>
      </c>
      <c r="Q478" s="1" t="s">
        <v>63</v>
      </c>
      <c r="R478" s="1" t="s">
        <v>74</v>
      </c>
      <c r="S478" s="6" t="n">
        <v>46160</v>
      </c>
    </row>
    <row r="479" customFormat="false" ht="14.25" hidden="false" customHeight="true" outlineLevel="0" collapsed="false">
      <c r="A479" s="1" t="s">
        <v>1801</v>
      </c>
      <c r="B479" s="1" t="s">
        <v>381</v>
      </c>
      <c r="C479" s="1" t="s">
        <v>335</v>
      </c>
      <c r="D479" s="1" t="s">
        <v>107</v>
      </c>
      <c r="E479" s="6" t="n">
        <v>46126</v>
      </c>
      <c r="F479" s="6" t="n">
        <v>46126</v>
      </c>
      <c r="G479" s="1" t="s">
        <v>108</v>
      </c>
      <c r="H479" s="1" t="s">
        <v>1802</v>
      </c>
      <c r="I479" s="1" t="s">
        <v>1803</v>
      </c>
      <c r="J479" s="1" t="n">
        <v>7295.92</v>
      </c>
      <c r="K479" s="1" t="n">
        <v>6384.9</v>
      </c>
      <c r="L479" s="1" t="n">
        <v>0</v>
      </c>
      <c r="M479" s="1" t="n">
        <v>6384.9</v>
      </c>
      <c r="N479" s="1" t="s">
        <v>111</v>
      </c>
      <c r="P479" s="1" t="n">
        <v>4</v>
      </c>
      <c r="Q479" s="1" t="s">
        <v>42</v>
      </c>
      <c r="R479" s="1" t="s">
        <v>54</v>
      </c>
    </row>
    <row r="480" customFormat="false" ht="14.25" hidden="false" customHeight="true" outlineLevel="0" collapsed="false">
      <c r="A480" s="1" t="s">
        <v>1804</v>
      </c>
      <c r="B480" s="1" t="s">
        <v>1805</v>
      </c>
      <c r="C480" s="1" t="s">
        <v>325</v>
      </c>
      <c r="D480" s="1" t="s">
        <v>964</v>
      </c>
      <c r="E480" s="6" t="n">
        <v>46057</v>
      </c>
      <c r="F480" s="6" t="n">
        <v>46056</v>
      </c>
      <c r="G480" s="1" t="s">
        <v>70</v>
      </c>
      <c r="H480" s="1" t="s">
        <v>1806</v>
      </c>
      <c r="I480" s="1" t="s">
        <v>1807</v>
      </c>
      <c r="J480" s="1" t="n">
        <v>13749</v>
      </c>
      <c r="K480" s="1" t="n">
        <v>12808.29</v>
      </c>
      <c r="L480" s="1" t="n">
        <v>0</v>
      </c>
      <c r="M480" s="1" t="n">
        <v>12808.29</v>
      </c>
      <c r="N480" s="1" t="s">
        <v>52</v>
      </c>
      <c r="O480" s="1" t="s">
        <v>53</v>
      </c>
      <c r="P480" s="1" t="n">
        <v>1</v>
      </c>
      <c r="Q480" s="1" t="s">
        <v>155</v>
      </c>
      <c r="R480" s="1" t="s">
        <v>140</v>
      </c>
    </row>
    <row r="481" customFormat="false" ht="14.25" hidden="false" customHeight="true" outlineLevel="0" collapsed="false">
      <c r="A481" s="1" t="s">
        <v>1808</v>
      </c>
      <c r="B481" s="1" t="s">
        <v>685</v>
      </c>
      <c r="C481" s="1" t="s">
        <v>182</v>
      </c>
      <c r="D481" s="1" t="s">
        <v>400</v>
      </c>
      <c r="E481" s="6" t="n">
        <v>46149</v>
      </c>
      <c r="F481" s="6" t="n">
        <v>46145</v>
      </c>
      <c r="G481" s="1" t="s">
        <v>70</v>
      </c>
      <c r="H481" s="1" t="s">
        <v>1809</v>
      </c>
      <c r="I481" s="1" t="s">
        <v>1810</v>
      </c>
      <c r="J481" s="1" t="n">
        <v>40865.51</v>
      </c>
      <c r="K481" s="1" t="n">
        <v>30331.01</v>
      </c>
      <c r="L481" s="1" t="n">
        <v>0</v>
      </c>
      <c r="M481" s="1" t="n">
        <v>30331.01</v>
      </c>
      <c r="N481" s="1" t="s">
        <v>52</v>
      </c>
      <c r="O481" s="1" t="s">
        <v>265</v>
      </c>
      <c r="P481" s="1" t="n">
        <v>8</v>
      </c>
      <c r="Q481" s="1" t="s">
        <v>155</v>
      </c>
      <c r="R481" s="1" t="s">
        <v>54</v>
      </c>
    </row>
    <row r="482" customFormat="false" ht="14.25" hidden="false" customHeight="true" outlineLevel="0" collapsed="false">
      <c r="A482" s="1" t="s">
        <v>1811</v>
      </c>
      <c r="B482" s="1" t="s">
        <v>84</v>
      </c>
      <c r="C482" s="1" t="s">
        <v>346</v>
      </c>
      <c r="D482" s="1" t="s">
        <v>203</v>
      </c>
      <c r="E482" s="6" t="n">
        <v>46034</v>
      </c>
      <c r="F482" s="6" t="n">
        <v>46034</v>
      </c>
      <c r="G482" s="1" t="s">
        <v>49</v>
      </c>
      <c r="H482" s="1" t="s">
        <v>603</v>
      </c>
      <c r="I482" s="1" t="s">
        <v>1606</v>
      </c>
      <c r="J482" s="1" t="n">
        <v>5577.02</v>
      </c>
      <c r="K482" s="1" t="n">
        <v>5108.2</v>
      </c>
      <c r="L482" s="1" t="n">
        <v>4361.49</v>
      </c>
      <c r="M482" s="1" t="n">
        <v>746.71</v>
      </c>
      <c r="N482" s="1" t="s">
        <v>41</v>
      </c>
      <c r="P482" s="1" t="n">
        <v>1</v>
      </c>
      <c r="Q482" s="1" t="s">
        <v>63</v>
      </c>
      <c r="R482" s="1" t="s">
        <v>74</v>
      </c>
      <c r="S482" s="6" t="n">
        <v>46035</v>
      </c>
    </row>
    <row r="483" customFormat="false" ht="14.25" hidden="false" customHeight="true" outlineLevel="0" collapsed="false">
      <c r="A483" s="1" t="s">
        <v>1812</v>
      </c>
      <c r="B483" s="1" t="s">
        <v>690</v>
      </c>
      <c r="C483" s="1" t="s">
        <v>367</v>
      </c>
      <c r="D483" s="1" t="s">
        <v>79</v>
      </c>
      <c r="E483" s="6" t="n">
        <v>46097</v>
      </c>
      <c r="F483" s="6" t="n">
        <v>46096</v>
      </c>
      <c r="G483" s="1" t="s">
        <v>108</v>
      </c>
      <c r="H483" s="1" t="s">
        <v>1122</v>
      </c>
      <c r="I483" s="1" t="s">
        <v>1813</v>
      </c>
      <c r="J483" s="1" t="n">
        <v>34378.66</v>
      </c>
      <c r="K483" s="1" t="n">
        <v>29429.16</v>
      </c>
      <c r="L483" s="1" t="n">
        <v>0</v>
      </c>
      <c r="M483" s="1" t="n">
        <v>29429.16</v>
      </c>
      <c r="N483" s="1" t="s">
        <v>52</v>
      </c>
      <c r="O483" s="1" t="s">
        <v>62</v>
      </c>
      <c r="P483" s="1" t="n">
        <v>2</v>
      </c>
      <c r="Q483" s="1" t="s">
        <v>155</v>
      </c>
      <c r="R483" s="1" t="s">
        <v>64</v>
      </c>
    </row>
    <row r="484" customFormat="false" ht="14.25" hidden="false" customHeight="true" outlineLevel="0" collapsed="false">
      <c r="A484" s="1" t="s">
        <v>1814</v>
      </c>
      <c r="B484" s="1" t="s">
        <v>941</v>
      </c>
      <c r="C484" s="1" t="s">
        <v>279</v>
      </c>
      <c r="D484" s="1" t="s">
        <v>574</v>
      </c>
      <c r="E484" s="6" t="n">
        <v>46108</v>
      </c>
      <c r="F484" s="6" t="n">
        <v>46108</v>
      </c>
      <c r="G484" s="1" t="s">
        <v>70</v>
      </c>
      <c r="H484" s="1" t="s">
        <v>477</v>
      </c>
      <c r="I484" s="1" t="s">
        <v>1815</v>
      </c>
      <c r="J484" s="1" t="n">
        <v>46272.76</v>
      </c>
      <c r="K484" s="1" t="n">
        <v>31254.53</v>
      </c>
      <c r="L484" s="1" t="n">
        <v>23779.59</v>
      </c>
      <c r="M484" s="1" t="n">
        <v>7474.94</v>
      </c>
      <c r="N484" s="1" t="s">
        <v>41</v>
      </c>
      <c r="P484" s="1" t="n">
        <v>3</v>
      </c>
      <c r="Q484" s="1" t="s">
        <v>42</v>
      </c>
      <c r="R484" s="1" t="s">
        <v>43</v>
      </c>
      <c r="S484" s="6" t="n">
        <v>46111</v>
      </c>
    </row>
    <row r="485" customFormat="false" ht="14.25" hidden="false" customHeight="true" outlineLevel="0" collapsed="false">
      <c r="A485" s="1" t="s">
        <v>1816</v>
      </c>
      <c r="B485" s="1" t="s">
        <v>557</v>
      </c>
      <c r="C485" s="1" t="s">
        <v>900</v>
      </c>
      <c r="D485" s="1" t="s">
        <v>933</v>
      </c>
      <c r="E485" s="6" t="n">
        <v>46066</v>
      </c>
      <c r="F485" s="6" t="n">
        <v>46061</v>
      </c>
      <c r="G485" s="1" t="s">
        <v>70</v>
      </c>
      <c r="H485" s="1" t="s">
        <v>1817</v>
      </c>
      <c r="I485" s="1" t="s">
        <v>1818</v>
      </c>
      <c r="J485" s="1" t="n">
        <v>31425.53</v>
      </c>
      <c r="K485" s="1" t="n">
        <v>23132.38</v>
      </c>
      <c r="L485" s="1" t="n">
        <v>0</v>
      </c>
      <c r="M485" s="1" t="n">
        <v>23132.38</v>
      </c>
      <c r="N485" s="1" t="s">
        <v>111</v>
      </c>
      <c r="P485" s="1" t="n">
        <v>5</v>
      </c>
      <c r="Q485" s="1" t="s">
        <v>155</v>
      </c>
      <c r="R485" s="1" t="s">
        <v>125</v>
      </c>
    </row>
    <row r="486" customFormat="false" ht="14.25" hidden="false" customHeight="true" outlineLevel="0" collapsed="false">
      <c r="A486" s="1" t="s">
        <v>1819</v>
      </c>
      <c r="B486" s="1" t="s">
        <v>1090</v>
      </c>
      <c r="C486" s="1" t="s">
        <v>367</v>
      </c>
      <c r="D486" s="1" t="s">
        <v>511</v>
      </c>
      <c r="E486" s="6" t="n">
        <v>46066</v>
      </c>
      <c r="F486" s="6" t="n">
        <v>46061</v>
      </c>
      <c r="G486" s="1" t="s">
        <v>49</v>
      </c>
      <c r="H486" s="1" t="s">
        <v>397</v>
      </c>
      <c r="I486" s="1" t="s">
        <v>1820</v>
      </c>
      <c r="J486" s="1" t="n">
        <v>7815.12</v>
      </c>
      <c r="K486" s="1" t="n">
        <v>6127.12</v>
      </c>
      <c r="L486" s="1" t="n">
        <v>5815.94</v>
      </c>
      <c r="M486" s="1" t="n">
        <v>311.18</v>
      </c>
      <c r="N486" s="1" t="s">
        <v>41</v>
      </c>
      <c r="P486" s="1" t="n">
        <v>8</v>
      </c>
      <c r="Q486" s="1" t="s">
        <v>155</v>
      </c>
      <c r="R486" s="1" t="s">
        <v>54</v>
      </c>
      <c r="S486" s="6" t="n">
        <v>46074</v>
      </c>
    </row>
    <row r="487" customFormat="false" ht="14.25" hidden="false" customHeight="true" outlineLevel="0" collapsed="false">
      <c r="A487" s="1" t="s">
        <v>1821</v>
      </c>
      <c r="B487" s="1" t="s">
        <v>1703</v>
      </c>
      <c r="C487" s="1" t="s">
        <v>158</v>
      </c>
      <c r="D487" s="1" t="s">
        <v>331</v>
      </c>
      <c r="E487" s="6" t="n">
        <v>46106</v>
      </c>
      <c r="F487" s="6" t="n">
        <v>46105</v>
      </c>
      <c r="G487" s="1" t="s">
        <v>38</v>
      </c>
      <c r="H487" s="1" t="s">
        <v>1822</v>
      </c>
      <c r="I487" s="1" t="s">
        <v>1823</v>
      </c>
      <c r="J487" s="1" t="n">
        <v>19558.36</v>
      </c>
      <c r="K487" s="1" t="n">
        <v>14586.52</v>
      </c>
      <c r="L487" s="1" t="n">
        <v>12485.45</v>
      </c>
      <c r="M487" s="1" t="n">
        <v>2101.07</v>
      </c>
      <c r="N487" s="1" t="s">
        <v>41</v>
      </c>
      <c r="P487" s="1" t="n">
        <v>7</v>
      </c>
      <c r="Q487" s="1" t="s">
        <v>42</v>
      </c>
      <c r="R487" s="1" t="s">
        <v>43</v>
      </c>
      <c r="S487" s="6" t="n">
        <v>46113</v>
      </c>
    </row>
    <row r="488" customFormat="false" ht="14.25" hidden="false" customHeight="true" outlineLevel="0" collapsed="false">
      <c r="A488" s="1" t="s">
        <v>1824</v>
      </c>
      <c r="B488" s="1" t="s">
        <v>700</v>
      </c>
      <c r="C488" s="1" t="s">
        <v>459</v>
      </c>
      <c r="D488" s="1" t="s">
        <v>558</v>
      </c>
      <c r="E488" s="6" t="n">
        <v>46164</v>
      </c>
      <c r="F488" s="6" t="n">
        <v>46160</v>
      </c>
      <c r="G488" s="1" t="s">
        <v>38</v>
      </c>
      <c r="H488" s="1" t="s">
        <v>1825</v>
      </c>
      <c r="I488" s="1" t="s">
        <v>1826</v>
      </c>
      <c r="J488" s="1" t="n">
        <v>27042.52</v>
      </c>
      <c r="K488" s="1" t="n">
        <v>19444.5</v>
      </c>
      <c r="L488" s="1" t="n">
        <v>14989.85</v>
      </c>
      <c r="M488" s="1" t="n">
        <v>4454.65</v>
      </c>
      <c r="N488" s="1" t="s">
        <v>41</v>
      </c>
      <c r="P488" s="1" t="n">
        <v>7</v>
      </c>
      <c r="Q488" s="1" t="s">
        <v>155</v>
      </c>
      <c r="R488" s="1" t="s">
        <v>102</v>
      </c>
      <c r="S488" s="6" t="n">
        <v>46171</v>
      </c>
    </row>
    <row r="489" customFormat="false" ht="14.25" hidden="false" customHeight="true" outlineLevel="0" collapsed="false">
      <c r="A489" s="1" t="s">
        <v>1827</v>
      </c>
      <c r="B489" s="1" t="s">
        <v>1760</v>
      </c>
      <c r="C489" s="1" t="s">
        <v>182</v>
      </c>
      <c r="D489" s="1" t="s">
        <v>1170</v>
      </c>
      <c r="E489" s="6" t="n">
        <v>46024</v>
      </c>
      <c r="F489" s="6" t="n">
        <v>46023</v>
      </c>
      <c r="G489" s="1" t="s">
        <v>70</v>
      </c>
      <c r="H489" s="1" t="s">
        <v>554</v>
      </c>
      <c r="I489" s="1" t="s">
        <v>1828</v>
      </c>
      <c r="J489" s="1" t="n">
        <v>1349.16</v>
      </c>
      <c r="K489" s="1" t="n">
        <v>1102.95</v>
      </c>
      <c r="L489" s="1" t="n">
        <v>0</v>
      </c>
      <c r="M489" s="1" t="n">
        <v>1102.95</v>
      </c>
      <c r="N489" s="1" t="s">
        <v>260</v>
      </c>
      <c r="P489" s="1" t="n">
        <v>3</v>
      </c>
      <c r="Q489" s="1" t="s">
        <v>63</v>
      </c>
      <c r="R489" s="1" t="s">
        <v>43</v>
      </c>
    </row>
    <row r="490" customFormat="false" ht="14.25" hidden="false" customHeight="true" outlineLevel="0" collapsed="false">
      <c r="A490" s="1" t="s">
        <v>1829</v>
      </c>
      <c r="B490" s="1" t="s">
        <v>1830</v>
      </c>
      <c r="C490" s="1" t="s">
        <v>361</v>
      </c>
      <c r="D490" s="1" t="s">
        <v>165</v>
      </c>
      <c r="E490" s="6" t="n">
        <v>46063</v>
      </c>
      <c r="F490" s="6" t="n">
        <v>46059</v>
      </c>
      <c r="G490" s="1" t="s">
        <v>108</v>
      </c>
      <c r="H490" s="1" t="s">
        <v>1831</v>
      </c>
      <c r="I490" s="1" t="s">
        <v>1832</v>
      </c>
      <c r="J490" s="1" t="n">
        <v>45691.22</v>
      </c>
      <c r="K490" s="1" t="n">
        <v>33023.29</v>
      </c>
      <c r="L490" s="1" t="n">
        <v>0</v>
      </c>
      <c r="M490" s="1" t="n">
        <v>33023.29</v>
      </c>
      <c r="N490" s="1" t="s">
        <v>260</v>
      </c>
      <c r="P490" s="1" t="n">
        <v>4</v>
      </c>
      <c r="Q490" s="1" t="s">
        <v>63</v>
      </c>
      <c r="R490" s="1" t="s">
        <v>74</v>
      </c>
    </row>
    <row r="491" customFormat="false" ht="14.25" hidden="false" customHeight="true" outlineLevel="0" collapsed="false">
      <c r="A491" s="1" t="s">
        <v>1833</v>
      </c>
      <c r="B491" s="1" t="s">
        <v>524</v>
      </c>
      <c r="C491" s="1" t="s">
        <v>446</v>
      </c>
      <c r="D491" s="1" t="s">
        <v>431</v>
      </c>
      <c r="E491" s="6" t="n">
        <v>46034</v>
      </c>
      <c r="F491" s="6" t="n">
        <v>46029</v>
      </c>
      <c r="G491" s="1" t="s">
        <v>108</v>
      </c>
      <c r="H491" s="1" t="s">
        <v>1834</v>
      </c>
      <c r="I491" s="1" t="s">
        <v>1835</v>
      </c>
      <c r="J491" s="1" t="n">
        <v>18898.37</v>
      </c>
      <c r="K491" s="1" t="n">
        <v>16260.55</v>
      </c>
      <c r="L491" s="1" t="n">
        <v>0</v>
      </c>
      <c r="M491" s="1" t="n">
        <v>16260.55</v>
      </c>
      <c r="N491" s="1" t="s">
        <v>260</v>
      </c>
      <c r="P491" s="1" t="n">
        <v>2</v>
      </c>
      <c r="Q491" s="1" t="s">
        <v>155</v>
      </c>
      <c r="R491" s="1" t="s">
        <v>54</v>
      </c>
    </row>
    <row r="492" customFormat="false" ht="14.25" hidden="false" customHeight="true" outlineLevel="0" collapsed="false">
      <c r="A492" s="1" t="s">
        <v>1836</v>
      </c>
      <c r="B492" s="1" t="s">
        <v>267</v>
      </c>
      <c r="C492" s="1" t="s">
        <v>361</v>
      </c>
      <c r="D492" s="1" t="s">
        <v>574</v>
      </c>
      <c r="E492" s="6" t="n">
        <v>46085</v>
      </c>
      <c r="F492" s="6" t="n">
        <v>46085</v>
      </c>
      <c r="G492" s="1" t="s">
        <v>70</v>
      </c>
      <c r="H492" s="1" t="s">
        <v>1837</v>
      </c>
      <c r="I492" s="1" t="s">
        <v>1838</v>
      </c>
      <c r="J492" s="1" t="n">
        <v>41637.87</v>
      </c>
      <c r="K492" s="1" t="n">
        <v>32267.2</v>
      </c>
      <c r="L492" s="1" t="n">
        <v>30374.87</v>
      </c>
      <c r="M492" s="1" t="n">
        <v>1892.33</v>
      </c>
      <c r="N492" s="1" t="s">
        <v>41</v>
      </c>
      <c r="P492" s="1" t="n">
        <v>8</v>
      </c>
      <c r="Q492" s="1" t="s">
        <v>42</v>
      </c>
      <c r="R492" s="1" t="s">
        <v>102</v>
      </c>
      <c r="S492" s="6" t="n">
        <v>46093</v>
      </c>
    </row>
    <row r="493" customFormat="false" ht="14.25" hidden="false" customHeight="true" outlineLevel="0" collapsed="false">
      <c r="A493" s="1" t="s">
        <v>1839</v>
      </c>
      <c r="B493" s="1" t="s">
        <v>1155</v>
      </c>
      <c r="C493" s="1" t="s">
        <v>446</v>
      </c>
      <c r="D493" s="1" t="s">
        <v>1029</v>
      </c>
      <c r="E493" s="6" t="n">
        <v>46141</v>
      </c>
      <c r="F493" s="6" t="n">
        <v>46136</v>
      </c>
      <c r="G493" s="1" t="s">
        <v>38</v>
      </c>
      <c r="H493" s="1" t="s">
        <v>160</v>
      </c>
      <c r="I493" s="1" t="s">
        <v>625</v>
      </c>
      <c r="J493" s="1" t="n">
        <v>14695.07</v>
      </c>
      <c r="K493" s="1" t="n">
        <v>10239.03</v>
      </c>
      <c r="L493" s="1" t="n">
        <v>0</v>
      </c>
      <c r="M493" s="1" t="n">
        <v>10239.03</v>
      </c>
      <c r="N493" s="1" t="s">
        <v>111</v>
      </c>
      <c r="P493" s="1" t="n">
        <v>14</v>
      </c>
      <c r="Q493" s="1" t="s">
        <v>155</v>
      </c>
      <c r="R493" s="1" t="s">
        <v>43</v>
      </c>
    </row>
    <row r="494" customFormat="false" ht="14.25" hidden="false" customHeight="true" outlineLevel="0" collapsed="false">
      <c r="A494" s="1" t="s">
        <v>1840</v>
      </c>
      <c r="B494" s="1" t="s">
        <v>422</v>
      </c>
      <c r="C494" s="1" t="s">
        <v>543</v>
      </c>
      <c r="D494" s="1" t="s">
        <v>59</v>
      </c>
      <c r="E494" s="6" t="n">
        <v>46136</v>
      </c>
      <c r="F494" s="6" t="n">
        <v>46131</v>
      </c>
      <c r="G494" s="1" t="s">
        <v>38</v>
      </c>
      <c r="H494" s="1" t="s">
        <v>1208</v>
      </c>
      <c r="I494" s="1" t="s">
        <v>1377</v>
      </c>
      <c r="J494" s="1" t="n">
        <v>22987.68</v>
      </c>
      <c r="K494" s="1" t="n">
        <v>19848.07</v>
      </c>
      <c r="L494" s="1" t="n">
        <v>0</v>
      </c>
      <c r="M494" s="1" t="n">
        <v>19848.07</v>
      </c>
      <c r="N494" s="1" t="s">
        <v>52</v>
      </c>
      <c r="O494" s="1" t="s">
        <v>73</v>
      </c>
      <c r="P494" s="1" t="n">
        <v>5</v>
      </c>
      <c r="Q494" s="1" t="s">
        <v>63</v>
      </c>
      <c r="R494" s="1" t="s">
        <v>54</v>
      </c>
    </row>
    <row r="495" customFormat="false" ht="14.25" hidden="false" customHeight="true" outlineLevel="0" collapsed="false">
      <c r="A495" s="1" t="s">
        <v>1841</v>
      </c>
      <c r="B495" s="1" t="s">
        <v>1789</v>
      </c>
      <c r="C495" s="1" t="s">
        <v>106</v>
      </c>
      <c r="D495" s="1" t="s">
        <v>216</v>
      </c>
      <c r="E495" s="6" t="n">
        <v>46159</v>
      </c>
      <c r="F495" s="6" t="n">
        <v>46156</v>
      </c>
      <c r="G495" s="1" t="s">
        <v>108</v>
      </c>
      <c r="H495" s="1" t="s">
        <v>258</v>
      </c>
      <c r="I495" s="1" t="s">
        <v>1842</v>
      </c>
      <c r="J495" s="1" t="n">
        <v>6694.1</v>
      </c>
      <c r="K495" s="1" t="n">
        <v>4776.64</v>
      </c>
      <c r="L495" s="1" t="n">
        <v>0</v>
      </c>
      <c r="M495" s="1" t="n">
        <v>4776.64</v>
      </c>
      <c r="N495" s="1" t="s">
        <v>260</v>
      </c>
      <c r="P495" s="1" t="n">
        <v>1</v>
      </c>
      <c r="Q495" s="1" t="s">
        <v>63</v>
      </c>
      <c r="R495" s="1" t="s">
        <v>102</v>
      </c>
    </row>
    <row r="496" customFormat="false" ht="14.25" hidden="false" customHeight="true" outlineLevel="0" collapsed="false">
      <c r="A496" s="1" t="s">
        <v>1843</v>
      </c>
      <c r="B496" s="1" t="s">
        <v>1466</v>
      </c>
      <c r="C496" s="1" t="s">
        <v>144</v>
      </c>
      <c r="D496" s="1" t="s">
        <v>159</v>
      </c>
      <c r="E496" s="6" t="n">
        <v>46195</v>
      </c>
      <c r="F496" s="6" t="n">
        <v>46190</v>
      </c>
      <c r="G496" s="1" t="s">
        <v>108</v>
      </c>
      <c r="H496" s="1" t="s">
        <v>1844</v>
      </c>
      <c r="I496" s="1" t="s">
        <v>1845</v>
      </c>
      <c r="J496" s="1" t="n">
        <v>19333.27</v>
      </c>
      <c r="K496" s="1" t="n">
        <v>12883.72</v>
      </c>
      <c r="L496" s="1" t="n">
        <v>10859.3</v>
      </c>
      <c r="M496" s="1" t="n">
        <v>2024.42</v>
      </c>
      <c r="N496" s="1" t="s">
        <v>41</v>
      </c>
      <c r="P496" s="1" t="n">
        <v>7</v>
      </c>
      <c r="Q496" s="1" t="s">
        <v>42</v>
      </c>
      <c r="R496" s="1" t="s">
        <v>125</v>
      </c>
      <c r="S496" s="6" t="n">
        <v>46202</v>
      </c>
    </row>
    <row r="497" customFormat="false" ht="14.25" hidden="false" customHeight="true" outlineLevel="0" collapsed="false">
      <c r="A497" s="1" t="s">
        <v>1846</v>
      </c>
      <c r="B497" s="1" t="s">
        <v>770</v>
      </c>
      <c r="C497" s="1" t="s">
        <v>36</v>
      </c>
      <c r="D497" s="1" t="s">
        <v>245</v>
      </c>
      <c r="E497" s="6" t="n">
        <v>46108</v>
      </c>
      <c r="F497" s="6" t="n">
        <v>46108</v>
      </c>
      <c r="G497" s="1" t="s">
        <v>38</v>
      </c>
      <c r="H497" s="1" t="s">
        <v>1497</v>
      </c>
      <c r="I497" s="1" t="s">
        <v>1847</v>
      </c>
      <c r="J497" s="1" t="n">
        <v>8556.64</v>
      </c>
      <c r="K497" s="1" t="n">
        <v>5835.11</v>
      </c>
      <c r="L497" s="1" t="n">
        <v>4685.46</v>
      </c>
      <c r="M497" s="1" t="n">
        <v>1149.65</v>
      </c>
      <c r="N497" s="1" t="s">
        <v>41</v>
      </c>
      <c r="P497" s="1" t="n">
        <v>1</v>
      </c>
      <c r="Q497" s="1" t="s">
        <v>155</v>
      </c>
      <c r="R497" s="1" t="s">
        <v>102</v>
      </c>
      <c r="S497" s="6" t="n">
        <v>46109</v>
      </c>
    </row>
    <row r="498" customFormat="false" ht="14.25" hidden="false" customHeight="true" outlineLevel="0" collapsed="false">
      <c r="A498" s="1" t="s">
        <v>1848</v>
      </c>
      <c r="B498" s="1" t="s">
        <v>666</v>
      </c>
      <c r="C498" s="1" t="s">
        <v>543</v>
      </c>
      <c r="D498" s="1" t="s">
        <v>305</v>
      </c>
      <c r="E498" s="6" t="n">
        <v>46048</v>
      </c>
      <c r="F498" s="6" t="n">
        <v>46044</v>
      </c>
      <c r="G498" s="1" t="s">
        <v>70</v>
      </c>
      <c r="H498" s="1" t="s">
        <v>1849</v>
      </c>
      <c r="I498" s="1" t="s">
        <v>1850</v>
      </c>
      <c r="J498" s="1" t="n">
        <v>28405.1</v>
      </c>
      <c r="K498" s="1" t="n">
        <v>25197.25</v>
      </c>
      <c r="L498" s="1" t="n">
        <v>19185.69</v>
      </c>
      <c r="M498" s="1" t="n">
        <v>6011.56</v>
      </c>
      <c r="N498" s="1" t="s">
        <v>41</v>
      </c>
      <c r="P498" s="1" t="n">
        <v>6</v>
      </c>
      <c r="Q498" s="1" t="s">
        <v>63</v>
      </c>
      <c r="R498" s="1" t="s">
        <v>64</v>
      </c>
      <c r="S498" s="6" t="n">
        <v>46054</v>
      </c>
    </row>
    <row r="499" customFormat="false" ht="14.25" hidden="false" customHeight="true" outlineLevel="0" collapsed="false">
      <c r="A499" s="1" t="s">
        <v>1851</v>
      </c>
      <c r="B499" s="1" t="s">
        <v>1852</v>
      </c>
      <c r="C499" s="1" t="s">
        <v>361</v>
      </c>
      <c r="D499" s="1" t="s">
        <v>48</v>
      </c>
      <c r="E499" s="6" t="n">
        <v>46074</v>
      </c>
      <c r="F499" s="6" t="n">
        <v>46072</v>
      </c>
      <c r="G499" s="1" t="s">
        <v>108</v>
      </c>
      <c r="H499" s="1" t="s">
        <v>1853</v>
      </c>
      <c r="I499" s="1" t="s">
        <v>1854</v>
      </c>
      <c r="J499" s="1" t="n">
        <v>36421.56</v>
      </c>
      <c r="K499" s="1" t="n">
        <v>34314.76</v>
      </c>
      <c r="L499" s="1" t="n">
        <v>0</v>
      </c>
      <c r="M499" s="1" t="n">
        <v>34314.76</v>
      </c>
      <c r="N499" s="1" t="s">
        <v>52</v>
      </c>
      <c r="O499" s="1" t="s">
        <v>230</v>
      </c>
      <c r="P499" s="1" t="n">
        <v>2</v>
      </c>
      <c r="Q499" s="1" t="s">
        <v>155</v>
      </c>
      <c r="R499" s="1" t="s">
        <v>64</v>
      </c>
    </row>
    <row r="500" customFormat="false" ht="14.25" hidden="false" customHeight="true" outlineLevel="0" collapsed="false">
      <c r="A500" s="1" t="s">
        <v>1855</v>
      </c>
      <c r="B500" s="1" t="s">
        <v>586</v>
      </c>
      <c r="C500" s="1" t="s">
        <v>286</v>
      </c>
      <c r="D500" s="1" t="s">
        <v>122</v>
      </c>
      <c r="E500" s="6" t="n">
        <v>46229</v>
      </c>
      <c r="F500" s="6" t="n">
        <v>46226</v>
      </c>
      <c r="G500" s="1" t="s">
        <v>38</v>
      </c>
      <c r="H500" s="1" t="s">
        <v>1856</v>
      </c>
      <c r="I500" s="1" t="s">
        <v>1857</v>
      </c>
      <c r="J500" s="1" t="n">
        <v>43506.21</v>
      </c>
      <c r="K500" s="1" t="n">
        <v>28767.28</v>
      </c>
      <c r="L500" s="1" t="n">
        <v>22734.95</v>
      </c>
      <c r="M500" s="1" t="n">
        <v>6032.33</v>
      </c>
      <c r="N500" s="1" t="s">
        <v>41</v>
      </c>
      <c r="P500" s="1" t="n">
        <v>8</v>
      </c>
      <c r="Q500" s="1" t="s">
        <v>42</v>
      </c>
      <c r="R500" s="1" t="s">
        <v>140</v>
      </c>
      <c r="S500" s="6" t="n">
        <v>46237</v>
      </c>
    </row>
    <row r="501" customFormat="false" ht="14.25" hidden="false" customHeight="true" outlineLevel="0" collapsed="false">
      <c r="A501" s="1" t="s">
        <v>1858</v>
      </c>
      <c r="B501" s="1" t="s">
        <v>1318</v>
      </c>
      <c r="C501" s="1" t="s">
        <v>158</v>
      </c>
      <c r="D501" s="1" t="s">
        <v>1628</v>
      </c>
      <c r="E501" s="6" t="n">
        <v>46155</v>
      </c>
      <c r="F501" s="6" t="n">
        <v>46151</v>
      </c>
      <c r="G501" s="1" t="s">
        <v>70</v>
      </c>
      <c r="H501" s="1" t="s">
        <v>1859</v>
      </c>
      <c r="I501" s="1" t="s">
        <v>1860</v>
      </c>
      <c r="J501" s="1" t="n">
        <v>30632.58</v>
      </c>
      <c r="K501" s="1" t="n">
        <v>24720.07</v>
      </c>
      <c r="L501" s="1" t="n">
        <v>0</v>
      </c>
      <c r="M501" s="1" t="n">
        <v>24720.07</v>
      </c>
      <c r="N501" s="1" t="s">
        <v>260</v>
      </c>
      <c r="P501" s="1" t="n">
        <v>6</v>
      </c>
      <c r="Q501" s="1" t="s">
        <v>155</v>
      </c>
      <c r="R501" s="1" t="s">
        <v>74</v>
      </c>
    </row>
    <row r="502" customFormat="false" ht="14.25" hidden="false" customHeight="true" outlineLevel="0" collapsed="false">
      <c r="A502" s="1" t="s">
        <v>1861</v>
      </c>
      <c r="B502" s="1" t="s">
        <v>842</v>
      </c>
      <c r="C502" s="1" t="s">
        <v>286</v>
      </c>
      <c r="D502" s="1" t="s">
        <v>1128</v>
      </c>
      <c r="E502" s="6" t="n">
        <v>46226</v>
      </c>
      <c r="F502" s="6" t="n">
        <v>46221</v>
      </c>
      <c r="G502" s="1" t="s">
        <v>108</v>
      </c>
      <c r="H502" s="1" t="s">
        <v>1862</v>
      </c>
      <c r="I502" s="1" t="s">
        <v>1863</v>
      </c>
      <c r="J502" s="1" t="n">
        <v>10836.62</v>
      </c>
      <c r="K502" s="1" t="n">
        <v>9028.16</v>
      </c>
      <c r="L502" s="1" t="n">
        <v>6940.39</v>
      </c>
      <c r="M502" s="1" t="n">
        <v>2087.77</v>
      </c>
      <c r="N502" s="1" t="s">
        <v>41</v>
      </c>
      <c r="P502" s="1" t="n">
        <v>3</v>
      </c>
      <c r="Q502" s="1" t="s">
        <v>155</v>
      </c>
      <c r="R502" s="1" t="s">
        <v>125</v>
      </c>
      <c r="S502" s="6" t="n">
        <v>46229</v>
      </c>
    </row>
    <row r="503" customFormat="false" ht="14.25" hidden="false" customHeight="true" outlineLevel="0" collapsed="false">
      <c r="A503" s="1" t="s">
        <v>1864</v>
      </c>
      <c r="B503" s="1" t="s">
        <v>1462</v>
      </c>
      <c r="C503" s="1" t="s">
        <v>386</v>
      </c>
      <c r="D503" s="1" t="s">
        <v>441</v>
      </c>
      <c r="E503" s="6" t="n">
        <v>46106</v>
      </c>
      <c r="F503" s="6" t="n">
        <v>46102</v>
      </c>
      <c r="G503" s="1" t="s">
        <v>70</v>
      </c>
      <c r="H503" s="1" t="s">
        <v>1319</v>
      </c>
      <c r="I503" s="1" t="s">
        <v>1865</v>
      </c>
      <c r="J503" s="1" t="n">
        <v>39970.46</v>
      </c>
      <c r="K503" s="1" t="n">
        <v>36714.48</v>
      </c>
      <c r="L503" s="1" t="n">
        <v>0</v>
      </c>
      <c r="M503" s="1" t="n">
        <v>36714.48</v>
      </c>
      <c r="N503" s="1" t="s">
        <v>52</v>
      </c>
      <c r="O503" s="1" t="s">
        <v>53</v>
      </c>
      <c r="P503" s="1" t="n">
        <v>8</v>
      </c>
      <c r="Q503" s="1" t="s">
        <v>63</v>
      </c>
      <c r="R503" s="1" t="s">
        <v>64</v>
      </c>
    </row>
    <row r="504" customFormat="false" ht="14.25" hidden="false" customHeight="true" outlineLevel="0" collapsed="false">
      <c r="A504" s="1" t="s">
        <v>1866</v>
      </c>
      <c r="B504" s="1" t="s">
        <v>202</v>
      </c>
      <c r="C504" s="1" t="s">
        <v>273</v>
      </c>
      <c r="D504" s="1" t="s">
        <v>37</v>
      </c>
      <c r="E504" s="6" t="n">
        <v>46118</v>
      </c>
      <c r="F504" s="6" t="n">
        <v>46116</v>
      </c>
      <c r="G504" s="1" t="s">
        <v>38</v>
      </c>
      <c r="H504" s="1" t="s">
        <v>1867</v>
      </c>
      <c r="I504" s="1" t="s">
        <v>1735</v>
      </c>
      <c r="J504" s="1" t="n">
        <v>9369.72</v>
      </c>
      <c r="K504" s="1" t="n">
        <v>8260.18</v>
      </c>
      <c r="L504" s="1" t="n">
        <v>6727.8</v>
      </c>
      <c r="M504" s="1" t="n">
        <v>1532.38</v>
      </c>
      <c r="N504" s="1" t="s">
        <v>41</v>
      </c>
      <c r="P504" s="1" t="n">
        <v>8</v>
      </c>
      <c r="Q504" s="1" t="s">
        <v>155</v>
      </c>
      <c r="R504" s="1" t="s">
        <v>102</v>
      </c>
      <c r="S504" s="6" t="n">
        <v>46126</v>
      </c>
    </row>
    <row r="505" customFormat="false" ht="14.25" hidden="false" customHeight="true" outlineLevel="0" collapsed="false">
      <c r="A505" s="1" t="s">
        <v>1868</v>
      </c>
      <c r="B505" s="1" t="s">
        <v>1869</v>
      </c>
      <c r="C505" s="1" t="s">
        <v>436</v>
      </c>
      <c r="D505" s="1" t="s">
        <v>722</v>
      </c>
      <c r="E505" s="6" t="n">
        <v>46099</v>
      </c>
      <c r="F505" s="6" t="n">
        <v>46096</v>
      </c>
      <c r="G505" s="1" t="s">
        <v>49</v>
      </c>
      <c r="H505" s="1" t="s">
        <v>1162</v>
      </c>
      <c r="I505" s="1" t="s">
        <v>1870</v>
      </c>
      <c r="J505" s="1" t="n">
        <v>31174.33</v>
      </c>
      <c r="K505" s="1" t="n">
        <v>26628.35</v>
      </c>
      <c r="L505" s="1" t="n">
        <v>22905.89</v>
      </c>
      <c r="M505" s="1" t="n">
        <v>3722.46</v>
      </c>
      <c r="N505" s="1" t="s">
        <v>41</v>
      </c>
      <c r="P505" s="1" t="n">
        <v>6</v>
      </c>
      <c r="Q505" s="1" t="s">
        <v>63</v>
      </c>
      <c r="R505" s="1" t="s">
        <v>74</v>
      </c>
      <c r="S505" s="6" t="n">
        <v>46105</v>
      </c>
    </row>
    <row r="506" customFormat="false" ht="14.25" hidden="false" customHeight="true" outlineLevel="0" collapsed="false">
      <c r="A506" s="1" t="s">
        <v>1871</v>
      </c>
      <c r="B506" s="1" t="s">
        <v>565</v>
      </c>
      <c r="C506" s="1" t="s">
        <v>92</v>
      </c>
      <c r="D506" s="1" t="s">
        <v>1084</v>
      </c>
      <c r="E506" s="6" t="n">
        <v>46037</v>
      </c>
      <c r="F506" s="6" t="n">
        <v>46033</v>
      </c>
      <c r="G506" s="1" t="s">
        <v>49</v>
      </c>
      <c r="H506" s="1" t="s">
        <v>608</v>
      </c>
      <c r="I506" s="1" t="s">
        <v>1533</v>
      </c>
      <c r="J506" s="1" t="n">
        <v>3324.4</v>
      </c>
      <c r="K506" s="1" t="n">
        <v>2949.33</v>
      </c>
      <c r="L506" s="1" t="n">
        <v>0</v>
      </c>
      <c r="M506" s="1" t="n">
        <v>2949.33</v>
      </c>
      <c r="N506" s="1" t="s">
        <v>260</v>
      </c>
      <c r="P506" s="1" t="n">
        <v>1</v>
      </c>
      <c r="Q506" s="1" t="s">
        <v>155</v>
      </c>
      <c r="R506" s="1" t="s">
        <v>140</v>
      </c>
    </row>
    <row r="507" customFormat="false" ht="14.25" hidden="false" customHeight="true" outlineLevel="0" collapsed="false">
      <c r="A507" s="1" t="s">
        <v>1872</v>
      </c>
      <c r="B507" s="1" t="s">
        <v>889</v>
      </c>
      <c r="C507" s="1" t="s">
        <v>92</v>
      </c>
      <c r="D507" s="1" t="s">
        <v>890</v>
      </c>
      <c r="E507" s="6" t="n">
        <v>46125</v>
      </c>
      <c r="F507" s="6" t="n">
        <v>46122</v>
      </c>
      <c r="G507" s="1" t="s">
        <v>38</v>
      </c>
      <c r="H507" s="1" t="s">
        <v>1359</v>
      </c>
      <c r="I507" s="1" t="s">
        <v>1873</v>
      </c>
      <c r="J507" s="1" t="n">
        <v>17772.43</v>
      </c>
      <c r="K507" s="1" t="n">
        <v>14049.93</v>
      </c>
      <c r="L507" s="1" t="n">
        <v>0</v>
      </c>
      <c r="M507" s="1" t="n">
        <v>14049.93</v>
      </c>
      <c r="N507" s="1" t="s">
        <v>111</v>
      </c>
      <c r="P507" s="1" t="n">
        <v>12</v>
      </c>
      <c r="Q507" s="1" t="s">
        <v>63</v>
      </c>
      <c r="R507" s="1" t="s">
        <v>125</v>
      </c>
    </row>
    <row r="508" customFormat="false" ht="14.25" hidden="false" customHeight="true" outlineLevel="0" collapsed="false">
      <c r="A508" s="1" t="s">
        <v>1874</v>
      </c>
      <c r="B508" s="1" t="s">
        <v>983</v>
      </c>
      <c r="C508" s="1" t="s">
        <v>367</v>
      </c>
      <c r="D508" s="1" t="s">
        <v>712</v>
      </c>
      <c r="E508" s="6" t="n">
        <v>46134</v>
      </c>
      <c r="F508" s="6" t="n">
        <v>46133</v>
      </c>
      <c r="G508" s="1" t="s">
        <v>49</v>
      </c>
      <c r="H508" s="1" t="s">
        <v>1875</v>
      </c>
      <c r="I508" s="1" t="s">
        <v>1876</v>
      </c>
      <c r="J508" s="1" t="n">
        <v>3691.34</v>
      </c>
      <c r="K508" s="1" t="n">
        <v>2778.57</v>
      </c>
      <c r="L508" s="1" t="n">
        <v>2503.75</v>
      </c>
      <c r="M508" s="1" t="n">
        <v>274.82</v>
      </c>
      <c r="N508" s="1" t="s">
        <v>41</v>
      </c>
      <c r="P508" s="1" t="n">
        <v>4</v>
      </c>
      <c r="Q508" s="1" t="s">
        <v>155</v>
      </c>
      <c r="R508" s="1" t="s">
        <v>43</v>
      </c>
      <c r="S508" s="6" t="n">
        <v>46138</v>
      </c>
    </row>
    <row r="509" customFormat="false" ht="14.25" hidden="false" customHeight="true" outlineLevel="0" collapsed="false">
      <c r="A509" s="1" t="s">
        <v>1877</v>
      </c>
      <c r="B509" s="1" t="s">
        <v>1671</v>
      </c>
      <c r="C509" s="1" t="s">
        <v>279</v>
      </c>
      <c r="D509" s="1" t="s">
        <v>69</v>
      </c>
      <c r="E509" s="6" t="n">
        <v>46065</v>
      </c>
      <c r="F509" s="6" t="n">
        <v>46060</v>
      </c>
      <c r="G509" s="1" t="s">
        <v>38</v>
      </c>
      <c r="H509" s="1" t="s">
        <v>1878</v>
      </c>
      <c r="I509" s="1" t="s">
        <v>1879</v>
      </c>
      <c r="J509" s="1" t="n">
        <v>28626.23</v>
      </c>
      <c r="K509" s="1" t="n">
        <v>27090.24</v>
      </c>
      <c r="L509" s="1" t="n">
        <v>25561.03</v>
      </c>
      <c r="M509" s="1" t="n">
        <v>1529.21</v>
      </c>
      <c r="N509" s="1" t="s">
        <v>41</v>
      </c>
      <c r="P509" s="1" t="n">
        <v>1</v>
      </c>
      <c r="Q509" s="1" t="s">
        <v>155</v>
      </c>
      <c r="R509" s="1" t="s">
        <v>125</v>
      </c>
      <c r="S509" s="6" t="n">
        <v>46066</v>
      </c>
    </row>
    <row r="510" customFormat="false" ht="14.25" hidden="false" customHeight="true" outlineLevel="0" collapsed="false">
      <c r="A510" s="1" t="s">
        <v>1880</v>
      </c>
      <c r="B510" s="1" t="s">
        <v>1225</v>
      </c>
      <c r="C510" s="1" t="s">
        <v>543</v>
      </c>
      <c r="D510" s="1" t="s">
        <v>481</v>
      </c>
      <c r="E510" s="6" t="n">
        <v>46201</v>
      </c>
      <c r="F510" s="6" t="n">
        <v>46198</v>
      </c>
      <c r="G510" s="1" t="s">
        <v>49</v>
      </c>
      <c r="H510" s="1" t="s">
        <v>1881</v>
      </c>
      <c r="I510" s="1" t="s">
        <v>1882</v>
      </c>
      <c r="J510" s="1" t="n">
        <v>31966.52</v>
      </c>
      <c r="K510" s="1" t="n">
        <v>21579.87</v>
      </c>
      <c r="L510" s="1" t="n">
        <v>16558.55</v>
      </c>
      <c r="M510" s="1" t="n">
        <v>5021.32</v>
      </c>
      <c r="N510" s="1" t="s">
        <v>41</v>
      </c>
      <c r="P510" s="1" t="n">
        <v>7</v>
      </c>
      <c r="Q510" s="1" t="s">
        <v>42</v>
      </c>
      <c r="R510" s="1" t="s">
        <v>140</v>
      </c>
      <c r="S510" s="6" t="n">
        <v>46208</v>
      </c>
    </row>
    <row r="511" customFormat="false" ht="14.25" hidden="false" customHeight="true" outlineLevel="0" collapsed="false">
      <c r="A511" s="1" t="s">
        <v>1883</v>
      </c>
      <c r="B511" s="1" t="s">
        <v>1884</v>
      </c>
      <c r="C511" s="1" t="s">
        <v>36</v>
      </c>
      <c r="D511" s="1" t="s">
        <v>1170</v>
      </c>
      <c r="E511" s="6" t="n">
        <v>46196</v>
      </c>
      <c r="F511" s="6" t="n">
        <v>46194</v>
      </c>
      <c r="G511" s="1" t="s">
        <v>49</v>
      </c>
      <c r="H511" s="1" t="s">
        <v>426</v>
      </c>
      <c r="I511" s="1" t="s">
        <v>1885</v>
      </c>
      <c r="J511" s="1" t="n">
        <v>3160.24</v>
      </c>
      <c r="K511" s="1" t="n">
        <v>2902.64</v>
      </c>
      <c r="L511" s="1" t="n">
        <v>2487.95</v>
      </c>
      <c r="M511" s="1" t="n">
        <v>414.69</v>
      </c>
      <c r="N511" s="1" t="s">
        <v>41</v>
      </c>
      <c r="P511" s="1" t="n">
        <v>5</v>
      </c>
      <c r="Q511" s="1" t="s">
        <v>42</v>
      </c>
      <c r="R511" s="1" t="s">
        <v>74</v>
      </c>
      <c r="S511" s="6" t="n">
        <v>46201</v>
      </c>
    </row>
    <row r="512" customFormat="false" ht="14.25" hidden="false" customHeight="true" outlineLevel="0" collapsed="false">
      <c r="A512" s="1" t="s">
        <v>1886</v>
      </c>
      <c r="B512" s="1" t="s">
        <v>1479</v>
      </c>
      <c r="C512" s="1" t="s">
        <v>468</v>
      </c>
      <c r="D512" s="1" t="s">
        <v>678</v>
      </c>
      <c r="E512" s="6" t="n">
        <v>46224</v>
      </c>
      <c r="F512" s="6" t="n">
        <v>46223</v>
      </c>
      <c r="G512" s="1" t="s">
        <v>38</v>
      </c>
      <c r="H512" s="1" t="s">
        <v>1844</v>
      </c>
      <c r="I512" s="1" t="s">
        <v>1887</v>
      </c>
      <c r="J512" s="1" t="n">
        <v>22120.81</v>
      </c>
      <c r="K512" s="1" t="n">
        <v>20434.75</v>
      </c>
      <c r="L512" s="1" t="n">
        <v>0</v>
      </c>
      <c r="M512" s="1" t="n">
        <v>20434.75</v>
      </c>
      <c r="N512" s="1" t="s">
        <v>260</v>
      </c>
      <c r="P512" s="1" t="n">
        <v>7</v>
      </c>
      <c r="Q512" s="1" t="s">
        <v>63</v>
      </c>
      <c r="R512" s="1" t="s">
        <v>74</v>
      </c>
    </row>
    <row r="513" customFormat="false" ht="14.25" hidden="false" customHeight="true" outlineLevel="0" collapsed="false">
      <c r="A513" s="1" t="s">
        <v>1888</v>
      </c>
      <c r="B513" s="1" t="s">
        <v>1251</v>
      </c>
      <c r="C513" s="1" t="s">
        <v>296</v>
      </c>
      <c r="D513" s="1" t="s">
        <v>1128</v>
      </c>
      <c r="E513" s="6" t="n">
        <v>46238</v>
      </c>
      <c r="F513" s="6" t="n">
        <v>46233</v>
      </c>
      <c r="G513" s="1" t="s">
        <v>70</v>
      </c>
      <c r="H513" s="1" t="s">
        <v>1889</v>
      </c>
      <c r="I513" s="1" t="s">
        <v>1890</v>
      </c>
      <c r="J513" s="1" t="n">
        <v>36967.6</v>
      </c>
      <c r="K513" s="1" t="n">
        <v>27539.18</v>
      </c>
      <c r="L513" s="1" t="n">
        <v>0</v>
      </c>
      <c r="M513" s="1" t="n">
        <v>27539.18</v>
      </c>
      <c r="N513" s="1" t="s">
        <v>111</v>
      </c>
      <c r="P513" s="1" t="n">
        <v>6</v>
      </c>
      <c r="Q513" s="1" t="s">
        <v>63</v>
      </c>
      <c r="R513" s="1" t="s">
        <v>64</v>
      </c>
    </row>
    <row r="514" customFormat="false" ht="14.25" hidden="false" customHeight="true" outlineLevel="0" collapsed="false">
      <c r="A514" s="1" t="s">
        <v>1891</v>
      </c>
      <c r="B514" s="1" t="s">
        <v>1183</v>
      </c>
      <c r="C514" s="1" t="s">
        <v>92</v>
      </c>
      <c r="D514" s="1" t="s">
        <v>152</v>
      </c>
      <c r="E514" s="6" t="n">
        <v>46207</v>
      </c>
      <c r="F514" s="6" t="n">
        <v>46207</v>
      </c>
      <c r="G514" s="1" t="s">
        <v>38</v>
      </c>
      <c r="H514" s="1" t="s">
        <v>1892</v>
      </c>
      <c r="I514" s="1" t="s">
        <v>1893</v>
      </c>
      <c r="J514" s="1" t="n">
        <v>47194.53</v>
      </c>
      <c r="K514" s="1" t="n">
        <v>42813.94</v>
      </c>
      <c r="L514" s="1" t="n">
        <v>0</v>
      </c>
      <c r="M514" s="1" t="n">
        <v>42813.94</v>
      </c>
      <c r="N514" s="1" t="s">
        <v>260</v>
      </c>
      <c r="P514" s="1" t="n">
        <v>8</v>
      </c>
      <c r="Q514" s="1" t="s">
        <v>63</v>
      </c>
      <c r="R514" s="1" t="s">
        <v>74</v>
      </c>
    </row>
    <row r="515" customFormat="false" ht="14.25" hidden="false" customHeight="true" outlineLevel="0" collapsed="false">
      <c r="A515" s="1" t="s">
        <v>1894</v>
      </c>
      <c r="B515" s="1" t="s">
        <v>1009</v>
      </c>
      <c r="C515" s="1" t="s">
        <v>151</v>
      </c>
      <c r="D515" s="1" t="s">
        <v>1211</v>
      </c>
      <c r="E515" s="6" t="n">
        <v>46163</v>
      </c>
      <c r="F515" s="6" t="n">
        <v>46162</v>
      </c>
      <c r="G515" s="1" t="s">
        <v>70</v>
      </c>
      <c r="H515" s="1" t="s">
        <v>1022</v>
      </c>
      <c r="I515" s="1" t="s">
        <v>1086</v>
      </c>
      <c r="J515" s="1" t="n">
        <v>11198.8</v>
      </c>
      <c r="K515" s="1" t="n">
        <v>7983.95</v>
      </c>
      <c r="L515" s="1" t="n">
        <v>0</v>
      </c>
      <c r="M515" s="1" t="n">
        <v>7983.95</v>
      </c>
      <c r="N515" s="1" t="s">
        <v>111</v>
      </c>
      <c r="P515" s="1" t="n">
        <v>7</v>
      </c>
      <c r="Q515" s="1" t="s">
        <v>63</v>
      </c>
      <c r="R515" s="1" t="s">
        <v>64</v>
      </c>
    </row>
    <row r="516" customFormat="false" ht="14.25" hidden="false" customHeight="true" outlineLevel="0" collapsed="false">
      <c r="A516" s="1" t="s">
        <v>1895</v>
      </c>
      <c r="B516" s="1" t="s">
        <v>1896</v>
      </c>
      <c r="C516" s="1" t="s">
        <v>356</v>
      </c>
      <c r="D516" s="1" t="s">
        <v>400</v>
      </c>
      <c r="E516" s="6" t="n">
        <v>46232</v>
      </c>
      <c r="F516" s="6" t="n">
        <v>46232</v>
      </c>
      <c r="G516" s="1" t="s">
        <v>49</v>
      </c>
      <c r="H516" s="1" t="s">
        <v>1438</v>
      </c>
      <c r="I516" s="1" t="s">
        <v>1897</v>
      </c>
      <c r="J516" s="1" t="n">
        <v>32621.13</v>
      </c>
      <c r="K516" s="1" t="n">
        <v>25666.28</v>
      </c>
      <c r="L516" s="1" t="n">
        <v>0</v>
      </c>
      <c r="M516" s="1" t="n">
        <v>25666.28</v>
      </c>
      <c r="N516" s="1" t="s">
        <v>111</v>
      </c>
      <c r="P516" s="1" t="n">
        <v>10</v>
      </c>
      <c r="Q516" s="1" t="s">
        <v>155</v>
      </c>
      <c r="R516" s="1" t="s">
        <v>140</v>
      </c>
    </row>
    <row r="517" customFormat="false" ht="14.25" hidden="false" customHeight="true" outlineLevel="0" collapsed="false">
      <c r="A517" s="1" t="s">
        <v>1898</v>
      </c>
      <c r="B517" s="1" t="s">
        <v>1396</v>
      </c>
      <c r="C517" s="1" t="s">
        <v>286</v>
      </c>
      <c r="D517" s="1" t="s">
        <v>1077</v>
      </c>
      <c r="E517" s="6" t="n">
        <v>46143</v>
      </c>
      <c r="F517" s="6" t="n">
        <v>46140</v>
      </c>
      <c r="G517" s="1" t="s">
        <v>108</v>
      </c>
      <c r="H517" s="1" t="s">
        <v>1899</v>
      </c>
      <c r="I517" s="1" t="s">
        <v>1900</v>
      </c>
      <c r="J517" s="1" t="n">
        <v>27861.3</v>
      </c>
      <c r="K517" s="1" t="n">
        <v>19469.4</v>
      </c>
      <c r="L517" s="1" t="n">
        <v>16723.61</v>
      </c>
      <c r="M517" s="1" t="n">
        <v>2745.79</v>
      </c>
      <c r="N517" s="1" t="s">
        <v>41</v>
      </c>
      <c r="P517" s="1" t="n">
        <v>5</v>
      </c>
      <c r="Q517" s="1" t="s">
        <v>155</v>
      </c>
      <c r="R517" s="1" t="s">
        <v>74</v>
      </c>
      <c r="S517" s="6" t="n">
        <v>46148</v>
      </c>
    </row>
    <row r="518" customFormat="false" ht="14.25" hidden="false" customHeight="true" outlineLevel="0" collapsed="false">
      <c r="A518" s="1" t="s">
        <v>1901</v>
      </c>
      <c r="B518" s="1" t="s">
        <v>1617</v>
      </c>
      <c r="C518" s="1" t="s">
        <v>430</v>
      </c>
      <c r="D518" s="1" t="s">
        <v>152</v>
      </c>
      <c r="E518" s="6" t="n">
        <v>46031</v>
      </c>
      <c r="F518" s="6" t="n">
        <v>46027</v>
      </c>
      <c r="G518" s="1" t="s">
        <v>70</v>
      </c>
      <c r="H518" s="1" t="s">
        <v>1902</v>
      </c>
      <c r="I518" s="1" t="s">
        <v>1903</v>
      </c>
      <c r="J518" s="1" t="n">
        <v>5631.93</v>
      </c>
      <c r="K518" s="1" t="n">
        <v>4927.84</v>
      </c>
      <c r="L518" s="1" t="n">
        <v>0</v>
      </c>
      <c r="M518" s="1" t="n">
        <v>4927.84</v>
      </c>
      <c r="N518" s="1" t="s">
        <v>52</v>
      </c>
      <c r="O518" s="1" t="s">
        <v>62</v>
      </c>
      <c r="P518" s="1" t="n">
        <v>2</v>
      </c>
      <c r="Q518" s="1" t="s">
        <v>155</v>
      </c>
      <c r="R518" s="1" t="s">
        <v>140</v>
      </c>
    </row>
    <row r="519" customFormat="false" ht="14.25" hidden="false" customHeight="true" outlineLevel="0" collapsed="false">
      <c r="A519" s="1" t="s">
        <v>1904</v>
      </c>
      <c r="B519" s="1" t="s">
        <v>756</v>
      </c>
      <c r="C519" s="1" t="s">
        <v>136</v>
      </c>
      <c r="D519" s="1" t="s">
        <v>239</v>
      </c>
      <c r="E519" s="6" t="n">
        <v>46224</v>
      </c>
      <c r="F519" s="6" t="n">
        <v>46221</v>
      </c>
      <c r="G519" s="1" t="s">
        <v>49</v>
      </c>
      <c r="H519" s="1" t="s">
        <v>1905</v>
      </c>
      <c r="I519" s="1" t="s">
        <v>1906</v>
      </c>
      <c r="J519" s="1" t="n">
        <v>6167.8</v>
      </c>
      <c r="K519" s="1" t="n">
        <v>5593.6</v>
      </c>
      <c r="L519" s="1" t="n">
        <v>5524.45</v>
      </c>
      <c r="M519" s="1" t="n">
        <v>69.15</v>
      </c>
      <c r="N519" s="1" t="s">
        <v>41</v>
      </c>
      <c r="P519" s="1" t="n">
        <v>6</v>
      </c>
      <c r="Q519" s="1" t="s">
        <v>155</v>
      </c>
      <c r="R519" s="1" t="s">
        <v>64</v>
      </c>
      <c r="S519" s="6" t="n">
        <v>46230</v>
      </c>
    </row>
    <row r="520" customFormat="false" ht="14.25" hidden="false" customHeight="true" outlineLevel="0" collapsed="false">
      <c r="A520" s="1" t="s">
        <v>1907</v>
      </c>
      <c r="B520" s="1" t="s">
        <v>475</v>
      </c>
      <c r="C520" s="1" t="s">
        <v>136</v>
      </c>
      <c r="D520" s="1" t="s">
        <v>152</v>
      </c>
      <c r="E520" s="6" t="n">
        <v>46097</v>
      </c>
      <c r="F520" s="6" t="n">
        <v>46095</v>
      </c>
      <c r="G520" s="1" t="s">
        <v>108</v>
      </c>
      <c r="H520" s="1" t="s">
        <v>1908</v>
      </c>
      <c r="I520" s="1" t="s">
        <v>1909</v>
      </c>
      <c r="J520" s="1" t="n">
        <v>13592.7</v>
      </c>
      <c r="K520" s="1" t="n">
        <v>12254.43</v>
      </c>
      <c r="L520" s="1" t="n">
        <v>0</v>
      </c>
      <c r="M520" s="1" t="n">
        <v>12254.43</v>
      </c>
      <c r="N520" s="1" t="s">
        <v>52</v>
      </c>
      <c r="O520" s="1" t="s">
        <v>265</v>
      </c>
      <c r="P520" s="1" t="n">
        <v>7</v>
      </c>
      <c r="Q520" s="1" t="s">
        <v>63</v>
      </c>
      <c r="R520" s="1" t="s">
        <v>125</v>
      </c>
    </row>
    <row r="521" customFormat="false" ht="14.25" hidden="false" customHeight="true" outlineLevel="0" collapsed="false">
      <c r="A521" s="1" t="s">
        <v>1910</v>
      </c>
      <c r="B521" s="1" t="s">
        <v>1408</v>
      </c>
      <c r="C521" s="1" t="s">
        <v>106</v>
      </c>
      <c r="D521" s="1" t="s">
        <v>732</v>
      </c>
      <c r="E521" s="6" t="n">
        <v>46236</v>
      </c>
      <c r="F521" s="6" t="n">
        <v>46232</v>
      </c>
      <c r="G521" s="1" t="s">
        <v>49</v>
      </c>
      <c r="H521" s="1" t="s">
        <v>1911</v>
      </c>
      <c r="I521" s="1" t="s">
        <v>1912</v>
      </c>
      <c r="J521" s="1" t="n">
        <v>30197.31</v>
      </c>
      <c r="K521" s="1" t="n">
        <v>22663.9</v>
      </c>
      <c r="L521" s="1" t="n">
        <v>0</v>
      </c>
      <c r="M521" s="1" t="n">
        <v>22663.9</v>
      </c>
      <c r="N521" s="1" t="s">
        <v>52</v>
      </c>
      <c r="O521" s="1" t="s">
        <v>265</v>
      </c>
      <c r="P521" s="1" t="n">
        <v>7</v>
      </c>
      <c r="Q521" s="1" t="s">
        <v>42</v>
      </c>
      <c r="R521" s="1" t="s">
        <v>43</v>
      </c>
    </row>
    <row r="522" customFormat="false" ht="14.25" hidden="false" customHeight="true" outlineLevel="0" collapsed="false">
      <c r="A522" s="1" t="s">
        <v>1913</v>
      </c>
      <c r="B522" s="1" t="s">
        <v>1396</v>
      </c>
      <c r="C522" s="1" t="s">
        <v>244</v>
      </c>
      <c r="D522" s="1" t="s">
        <v>189</v>
      </c>
      <c r="E522" s="6" t="n">
        <v>46060</v>
      </c>
      <c r="F522" s="6" t="n">
        <v>46055</v>
      </c>
      <c r="G522" s="1" t="s">
        <v>38</v>
      </c>
      <c r="H522" s="1" t="s">
        <v>1914</v>
      </c>
      <c r="I522" s="1" t="s">
        <v>1915</v>
      </c>
      <c r="J522" s="1" t="n">
        <v>36541.58</v>
      </c>
      <c r="K522" s="1" t="n">
        <v>28171.21</v>
      </c>
      <c r="L522" s="1" t="n">
        <v>23368.9</v>
      </c>
      <c r="M522" s="1" t="n">
        <v>4802.31</v>
      </c>
      <c r="N522" s="1" t="s">
        <v>41</v>
      </c>
      <c r="P522" s="1" t="n">
        <v>3</v>
      </c>
      <c r="Q522" s="1" t="s">
        <v>42</v>
      </c>
      <c r="R522" s="1" t="s">
        <v>64</v>
      </c>
      <c r="S522" s="6" t="n">
        <v>46063</v>
      </c>
    </row>
    <row r="523" customFormat="false" ht="14.25" hidden="false" customHeight="true" outlineLevel="0" collapsed="false">
      <c r="A523" s="1" t="s">
        <v>1916</v>
      </c>
      <c r="B523" s="1" t="s">
        <v>696</v>
      </c>
      <c r="C523" s="1" t="s">
        <v>436</v>
      </c>
      <c r="D523" s="1" t="s">
        <v>122</v>
      </c>
      <c r="E523" s="6" t="n">
        <v>46226</v>
      </c>
      <c r="F523" s="6" t="n">
        <v>46223</v>
      </c>
      <c r="G523" s="1" t="s">
        <v>108</v>
      </c>
      <c r="H523" s="1" t="s">
        <v>1917</v>
      </c>
      <c r="I523" s="1" t="s">
        <v>1918</v>
      </c>
      <c r="J523" s="1" t="n">
        <v>31552.26</v>
      </c>
      <c r="K523" s="1" t="n">
        <v>22972.22</v>
      </c>
      <c r="L523" s="1" t="n">
        <v>0</v>
      </c>
      <c r="M523" s="1" t="n">
        <v>22972.22</v>
      </c>
      <c r="N523" s="1" t="s">
        <v>52</v>
      </c>
      <c r="O523" s="1" t="s">
        <v>230</v>
      </c>
      <c r="P523" s="1" t="n">
        <v>3</v>
      </c>
      <c r="Q523" s="1" t="s">
        <v>42</v>
      </c>
      <c r="R523" s="1" t="s">
        <v>125</v>
      </c>
    </row>
    <row r="524" customFormat="false" ht="14.25" hidden="false" customHeight="true" outlineLevel="0" collapsed="false">
      <c r="A524" s="1" t="s">
        <v>1919</v>
      </c>
      <c r="B524" s="1" t="s">
        <v>1578</v>
      </c>
      <c r="C524" s="1" t="s">
        <v>361</v>
      </c>
      <c r="D524" s="1" t="s">
        <v>227</v>
      </c>
      <c r="E524" s="6" t="n">
        <v>46175</v>
      </c>
      <c r="F524" s="6" t="n">
        <v>46174</v>
      </c>
      <c r="G524" s="1" t="s">
        <v>38</v>
      </c>
      <c r="H524" s="1" t="s">
        <v>442</v>
      </c>
      <c r="I524" s="1" t="s">
        <v>1920</v>
      </c>
      <c r="J524" s="1" t="n">
        <v>35525.01</v>
      </c>
      <c r="K524" s="1" t="n">
        <v>32902.49</v>
      </c>
      <c r="L524" s="1" t="n">
        <v>25324.82</v>
      </c>
      <c r="M524" s="1" t="n">
        <v>7577.67</v>
      </c>
      <c r="N524" s="1" t="s">
        <v>41</v>
      </c>
      <c r="P524" s="1" t="n">
        <v>7</v>
      </c>
      <c r="Q524" s="1" t="s">
        <v>155</v>
      </c>
      <c r="R524" s="1" t="s">
        <v>140</v>
      </c>
      <c r="S524" s="6" t="n">
        <v>46182</v>
      </c>
    </row>
    <row r="525" customFormat="false" ht="14.25" hidden="false" customHeight="true" outlineLevel="0" collapsed="false">
      <c r="A525" s="1" t="s">
        <v>1921</v>
      </c>
      <c r="B525" s="1" t="s">
        <v>547</v>
      </c>
      <c r="C525" s="1" t="s">
        <v>188</v>
      </c>
      <c r="D525" s="1" t="s">
        <v>130</v>
      </c>
      <c r="E525" s="6" t="n">
        <v>46191</v>
      </c>
      <c r="F525" s="6" t="n">
        <v>46190</v>
      </c>
      <c r="G525" s="1" t="s">
        <v>70</v>
      </c>
      <c r="H525" s="1" t="s">
        <v>1922</v>
      </c>
      <c r="I525" s="1" t="s">
        <v>1923</v>
      </c>
      <c r="J525" s="1" t="n">
        <v>27003.15</v>
      </c>
      <c r="K525" s="1" t="n">
        <v>19538.84</v>
      </c>
      <c r="L525" s="1" t="n">
        <v>18464.35</v>
      </c>
      <c r="M525" s="1" t="n">
        <v>1074.49</v>
      </c>
      <c r="N525" s="1" t="s">
        <v>41</v>
      </c>
      <c r="P525" s="1" t="n">
        <v>7</v>
      </c>
      <c r="Q525" s="1" t="s">
        <v>42</v>
      </c>
      <c r="R525" s="1" t="s">
        <v>54</v>
      </c>
      <c r="S525" s="6" t="n">
        <v>46198</v>
      </c>
    </row>
    <row r="526" customFormat="false" ht="14.25" hidden="false" customHeight="true" outlineLevel="0" collapsed="false">
      <c r="A526" s="1" t="s">
        <v>1924</v>
      </c>
      <c r="B526" s="1" t="s">
        <v>366</v>
      </c>
      <c r="C526" s="1" t="s">
        <v>376</v>
      </c>
      <c r="D526" s="1" t="s">
        <v>396</v>
      </c>
      <c r="E526" s="6" t="n">
        <v>46190</v>
      </c>
      <c r="F526" s="6" t="n">
        <v>46186</v>
      </c>
      <c r="G526" s="1" t="s">
        <v>38</v>
      </c>
      <c r="H526" s="1" t="s">
        <v>1356</v>
      </c>
      <c r="I526" s="1" t="s">
        <v>1925</v>
      </c>
      <c r="J526" s="1" t="n">
        <v>5991.11</v>
      </c>
      <c r="K526" s="1" t="n">
        <v>5560.71</v>
      </c>
      <c r="L526" s="1" t="n">
        <v>0</v>
      </c>
      <c r="M526" s="1" t="n">
        <v>5560.71</v>
      </c>
      <c r="N526" s="1" t="s">
        <v>52</v>
      </c>
      <c r="O526" s="1" t="s">
        <v>53</v>
      </c>
      <c r="P526" s="1" t="n">
        <v>2</v>
      </c>
      <c r="Q526" s="1" t="s">
        <v>63</v>
      </c>
      <c r="R526" s="1" t="s">
        <v>125</v>
      </c>
    </row>
    <row r="527" customFormat="false" ht="14.25" hidden="false" customHeight="true" outlineLevel="0" collapsed="false">
      <c r="A527" s="1" t="s">
        <v>1926</v>
      </c>
      <c r="B527" s="1" t="s">
        <v>533</v>
      </c>
      <c r="C527" s="1" t="s">
        <v>164</v>
      </c>
      <c r="D527" s="1" t="s">
        <v>274</v>
      </c>
      <c r="E527" s="6" t="n">
        <v>46116</v>
      </c>
      <c r="F527" s="6" t="n">
        <v>46115</v>
      </c>
      <c r="G527" s="1" t="s">
        <v>49</v>
      </c>
      <c r="H527" s="1" t="s">
        <v>1202</v>
      </c>
      <c r="I527" s="1" t="s">
        <v>1927</v>
      </c>
      <c r="J527" s="1" t="n">
        <v>24806.33</v>
      </c>
      <c r="K527" s="1" t="n">
        <v>16287.52</v>
      </c>
      <c r="L527" s="1" t="n">
        <v>12515.23</v>
      </c>
      <c r="M527" s="1" t="n">
        <v>3772.29</v>
      </c>
      <c r="N527" s="1" t="s">
        <v>41</v>
      </c>
      <c r="P527" s="1" t="n">
        <v>2</v>
      </c>
      <c r="Q527" s="1" t="s">
        <v>155</v>
      </c>
      <c r="R527" s="1" t="s">
        <v>140</v>
      </c>
      <c r="S527" s="6" t="n">
        <v>46118</v>
      </c>
    </row>
    <row r="528" customFormat="false" ht="14.25" hidden="false" customHeight="true" outlineLevel="0" collapsed="false">
      <c r="A528" s="1" t="s">
        <v>1928</v>
      </c>
      <c r="B528" s="1" t="s">
        <v>135</v>
      </c>
      <c r="C528" s="1" t="s">
        <v>356</v>
      </c>
      <c r="D528" s="1" t="s">
        <v>1929</v>
      </c>
      <c r="E528" s="6" t="n">
        <v>46099</v>
      </c>
      <c r="F528" s="6" t="n">
        <v>46099</v>
      </c>
      <c r="G528" s="1" t="s">
        <v>108</v>
      </c>
      <c r="H528" s="1" t="s">
        <v>608</v>
      </c>
      <c r="I528" s="1" t="s">
        <v>1011</v>
      </c>
      <c r="J528" s="1" t="n">
        <v>33153.49</v>
      </c>
      <c r="K528" s="1" t="n">
        <v>27827.85</v>
      </c>
      <c r="L528" s="1" t="n">
        <v>0</v>
      </c>
      <c r="M528" s="1" t="n">
        <v>27827.85</v>
      </c>
      <c r="N528" s="1" t="s">
        <v>52</v>
      </c>
      <c r="O528" s="1" t="s">
        <v>53</v>
      </c>
      <c r="P528" s="1" t="n">
        <v>1</v>
      </c>
      <c r="Q528" s="1" t="s">
        <v>42</v>
      </c>
      <c r="R528" s="1" t="s">
        <v>102</v>
      </c>
    </row>
    <row r="529" customFormat="false" ht="14.25" hidden="false" customHeight="true" outlineLevel="0" collapsed="false">
      <c r="A529" s="1" t="s">
        <v>1930</v>
      </c>
      <c r="B529" s="1" t="s">
        <v>818</v>
      </c>
      <c r="C529" s="1" t="s">
        <v>58</v>
      </c>
      <c r="D529" s="1" t="s">
        <v>501</v>
      </c>
      <c r="E529" s="6" t="n">
        <v>46055</v>
      </c>
      <c r="F529" s="6" t="n">
        <v>46054</v>
      </c>
      <c r="G529" s="1" t="s">
        <v>38</v>
      </c>
      <c r="H529" s="1" t="s">
        <v>1931</v>
      </c>
      <c r="I529" s="1" t="s">
        <v>1932</v>
      </c>
      <c r="J529" s="1" t="n">
        <v>27029.73</v>
      </c>
      <c r="K529" s="1" t="n">
        <v>21769.7</v>
      </c>
      <c r="L529" s="1" t="n">
        <v>0</v>
      </c>
      <c r="M529" s="1" t="n">
        <v>21769.7</v>
      </c>
      <c r="N529" s="1" t="s">
        <v>111</v>
      </c>
      <c r="P529" s="1" t="n">
        <v>6</v>
      </c>
      <c r="Q529" s="1" t="s">
        <v>155</v>
      </c>
      <c r="R529" s="1" t="s">
        <v>140</v>
      </c>
    </row>
    <row r="530" customFormat="false" ht="14.25" hidden="false" customHeight="true" outlineLevel="0" collapsed="false">
      <c r="A530" s="1" t="s">
        <v>1933</v>
      </c>
      <c r="B530" s="1" t="s">
        <v>666</v>
      </c>
      <c r="C530" s="1" t="s">
        <v>356</v>
      </c>
      <c r="D530" s="1" t="s">
        <v>59</v>
      </c>
      <c r="E530" s="6" t="n">
        <v>46049</v>
      </c>
      <c r="F530" s="6" t="n">
        <v>46044</v>
      </c>
      <c r="G530" s="1" t="s">
        <v>70</v>
      </c>
      <c r="H530" s="1" t="s">
        <v>1934</v>
      </c>
      <c r="I530" s="1" t="s">
        <v>1935</v>
      </c>
      <c r="J530" s="1" t="n">
        <v>6765.72</v>
      </c>
      <c r="K530" s="1" t="n">
        <v>4953.18</v>
      </c>
      <c r="L530" s="1" t="n">
        <v>0</v>
      </c>
      <c r="M530" s="1" t="n">
        <v>4953.18</v>
      </c>
      <c r="N530" s="1" t="s">
        <v>111</v>
      </c>
      <c r="P530" s="1" t="n">
        <v>7</v>
      </c>
      <c r="Q530" s="1" t="s">
        <v>63</v>
      </c>
      <c r="R530" s="1" t="s">
        <v>64</v>
      </c>
    </row>
    <row r="531" customFormat="false" ht="14.25" hidden="false" customHeight="true" outlineLevel="0" collapsed="false">
      <c r="A531" s="1" t="s">
        <v>1936</v>
      </c>
      <c r="B531" s="1" t="s">
        <v>594</v>
      </c>
      <c r="C531" s="1" t="s">
        <v>430</v>
      </c>
      <c r="D531" s="1" t="s">
        <v>341</v>
      </c>
      <c r="E531" s="6" t="n">
        <v>46126</v>
      </c>
      <c r="F531" s="6" t="n">
        <v>46125</v>
      </c>
      <c r="G531" s="1" t="s">
        <v>70</v>
      </c>
      <c r="H531" s="1" t="s">
        <v>1777</v>
      </c>
      <c r="I531" s="1" t="s">
        <v>1937</v>
      </c>
      <c r="J531" s="1" t="n">
        <v>10294.88</v>
      </c>
      <c r="K531" s="1" t="n">
        <v>9304.62</v>
      </c>
      <c r="L531" s="1" t="n">
        <v>8647.24</v>
      </c>
      <c r="M531" s="1" t="n">
        <v>657.38</v>
      </c>
      <c r="N531" s="1" t="s">
        <v>41</v>
      </c>
      <c r="P531" s="1" t="n">
        <v>7</v>
      </c>
      <c r="Q531" s="1" t="s">
        <v>42</v>
      </c>
      <c r="R531" s="1" t="s">
        <v>43</v>
      </c>
      <c r="S531" s="6" t="n">
        <v>46133</v>
      </c>
    </row>
    <row r="532" customFormat="false" ht="14.25" hidden="false" customHeight="true" outlineLevel="0" collapsed="false">
      <c r="A532" s="1" t="s">
        <v>1938</v>
      </c>
      <c r="B532" s="1" t="s">
        <v>314</v>
      </c>
      <c r="C532" s="1" t="s">
        <v>36</v>
      </c>
      <c r="D532" s="1" t="s">
        <v>137</v>
      </c>
      <c r="E532" s="6" t="n">
        <v>46136</v>
      </c>
      <c r="F532" s="6" t="n">
        <v>46133</v>
      </c>
      <c r="G532" s="1" t="s">
        <v>70</v>
      </c>
      <c r="H532" s="1" t="s">
        <v>1939</v>
      </c>
      <c r="I532" s="1" t="s">
        <v>1940</v>
      </c>
      <c r="J532" s="1" t="n">
        <v>37480.42</v>
      </c>
      <c r="K532" s="1" t="n">
        <v>33536.27</v>
      </c>
      <c r="L532" s="1" t="n">
        <v>30374.73</v>
      </c>
      <c r="M532" s="1" t="n">
        <v>3161.54</v>
      </c>
      <c r="N532" s="1" t="s">
        <v>41</v>
      </c>
      <c r="P532" s="1" t="n">
        <v>7</v>
      </c>
      <c r="Q532" s="1" t="s">
        <v>63</v>
      </c>
      <c r="R532" s="1" t="s">
        <v>140</v>
      </c>
      <c r="S532" s="6" t="n">
        <v>46143</v>
      </c>
    </row>
    <row r="533" customFormat="false" ht="14.25" hidden="false" customHeight="true" outlineLevel="0" collapsed="false">
      <c r="A533" s="1" t="s">
        <v>1941</v>
      </c>
      <c r="B533" s="1" t="s">
        <v>1073</v>
      </c>
      <c r="C533" s="1" t="s">
        <v>346</v>
      </c>
      <c r="D533" s="1" t="s">
        <v>501</v>
      </c>
      <c r="E533" s="6" t="n">
        <v>46035</v>
      </c>
      <c r="F533" s="6" t="n">
        <v>46031</v>
      </c>
      <c r="G533" s="1" t="s">
        <v>38</v>
      </c>
      <c r="H533" s="1" t="s">
        <v>1942</v>
      </c>
      <c r="I533" s="1" t="s">
        <v>1943</v>
      </c>
      <c r="J533" s="1" t="n">
        <v>20785.51</v>
      </c>
      <c r="K533" s="1" t="n">
        <v>17276.18</v>
      </c>
      <c r="L533" s="1" t="n">
        <v>16746.03</v>
      </c>
      <c r="M533" s="1" t="n">
        <v>530.15</v>
      </c>
      <c r="N533" s="1" t="s">
        <v>41</v>
      </c>
      <c r="P533" s="1" t="n">
        <v>6</v>
      </c>
      <c r="Q533" s="1" t="s">
        <v>63</v>
      </c>
      <c r="R533" s="1" t="s">
        <v>125</v>
      </c>
      <c r="S533" s="6" t="n">
        <v>46041</v>
      </c>
    </row>
    <row r="534" customFormat="false" ht="14.25" hidden="false" customHeight="true" outlineLevel="0" collapsed="false">
      <c r="A534" s="1" t="s">
        <v>1944</v>
      </c>
      <c r="B534" s="1" t="s">
        <v>928</v>
      </c>
      <c r="C534" s="1" t="s">
        <v>151</v>
      </c>
      <c r="D534" s="1" t="s">
        <v>520</v>
      </c>
      <c r="E534" s="6" t="n">
        <v>46072</v>
      </c>
      <c r="F534" s="6" t="n">
        <v>46070</v>
      </c>
      <c r="G534" s="1" t="s">
        <v>108</v>
      </c>
      <c r="H534" s="1" t="s">
        <v>1945</v>
      </c>
      <c r="I534" s="1" t="s">
        <v>1946</v>
      </c>
      <c r="J534" s="1" t="n">
        <v>11151.62</v>
      </c>
      <c r="K534" s="1" t="n">
        <v>8491.94</v>
      </c>
      <c r="L534" s="1" t="n">
        <v>6676.87</v>
      </c>
      <c r="M534" s="1" t="n">
        <v>1815.07</v>
      </c>
      <c r="N534" s="1" t="s">
        <v>41</v>
      </c>
      <c r="P534" s="1" t="n">
        <v>6</v>
      </c>
      <c r="Q534" s="1" t="s">
        <v>155</v>
      </c>
      <c r="R534" s="1" t="s">
        <v>43</v>
      </c>
      <c r="S534" s="6" t="n">
        <v>46078</v>
      </c>
    </row>
    <row r="535" customFormat="false" ht="14.25" hidden="false" customHeight="true" outlineLevel="0" collapsed="false">
      <c r="A535" s="1" t="s">
        <v>1947</v>
      </c>
      <c r="B535" s="1" t="s">
        <v>1733</v>
      </c>
      <c r="C535" s="1" t="s">
        <v>92</v>
      </c>
      <c r="D535" s="1" t="s">
        <v>315</v>
      </c>
      <c r="E535" s="6" t="n">
        <v>46170</v>
      </c>
      <c r="F535" s="6" t="n">
        <v>46168</v>
      </c>
      <c r="G535" s="1" t="s">
        <v>70</v>
      </c>
      <c r="H535" s="1" t="s">
        <v>1948</v>
      </c>
      <c r="I535" s="1" t="s">
        <v>1949</v>
      </c>
      <c r="J535" s="1" t="n">
        <v>28301.21</v>
      </c>
      <c r="K535" s="1" t="n">
        <v>21669.59</v>
      </c>
      <c r="L535" s="1" t="n">
        <v>0</v>
      </c>
      <c r="M535" s="1" t="n">
        <v>21669.59</v>
      </c>
      <c r="N535" s="1" t="s">
        <v>52</v>
      </c>
      <c r="O535" s="1" t="s">
        <v>73</v>
      </c>
      <c r="P535" s="1" t="n">
        <v>4</v>
      </c>
      <c r="Q535" s="1" t="s">
        <v>42</v>
      </c>
      <c r="R535" s="1" t="s">
        <v>74</v>
      </c>
    </row>
    <row r="536" customFormat="false" ht="14.25" hidden="false" customHeight="true" outlineLevel="0" collapsed="false">
      <c r="A536" s="1" t="s">
        <v>1950</v>
      </c>
      <c r="B536" s="1" t="s">
        <v>794</v>
      </c>
      <c r="C536" s="1" t="s">
        <v>900</v>
      </c>
      <c r="D536" s="1" t="s">
        <v>368</v>
      </c>
      <c r="E536" s="6" t="n">
        <v>46135</v>
      </c>
      <c r="F536" s="6" t="n">
        <v>46130</v>
      </c>
      <c r="G536" s="1" t="s">
        <v>70</v>
      </c>
      <c r="H536" s="1" t="s">
        <v>1951</v>
      </c>
      <c r="I536" s="1" t="s">
        <v>1952</v>
      </c>
      <c r="J536" s="1" t="n">
        <v>16230.27</v>
      </c>
      <c r="K536" s="1" t="n">
        <v>12108.37</v>
      </c>
      <c r="L536" s="1" t="n">
        <v>0</v>
      </c>
      <c r="M536" s="1" t="n">
        <v>12108.37</v>
      </c>
      <c r="N536" s="1" t="s">
        <v>52</v>
      </c>
      <c r="O536" s="1" t="s">
        <v>53</v>
      </c>
      <c r="P536" s="1" t="n">
        <v>4</v>
      </c>
      <c r="Q536" s="1" t="s">
        <v>155</v>
      </c>
      <c r="R536" s="1" t="s">
        <v>43</v>
      </c>
    </row>
    <row r="537" customFormat="false" ht="14.25" hidden="false" customHeight="true" outlineLevel="0" collapsed="false">
      <c r="A537" s="1" t="s">
        <v>1953</v>
      </c>
      <c r="B537" s="1" t="s">
        <v>1192</v>
      </c>
      <c r="C537" s="1" t="s">
        <v>376</v>
      </c>
      <c r="D537" s="1" t="s">
        <v>984</v>
      </c>
      <c r="E537" s="6" t="n">
        <v>46070</v>
      </c>
      <c r="F537" s="6" t="n">
        <v>46066</v>
      </c>
      <c r="G537" s="1" t="s">
        <v>49</v>
      </c>
      <c r="H537" s="1" t="s">
        <v>1954</v>
      </c>
      <c r="I537" s="1" t="s">
        <v>1955</v>
      </c>
      <c r="J537" s="1" t="n">
        <v>19451.45</v>
      </c>
      <c r="K537" s="1" t="n">
        <v>16007.07</v>
      </c>
      <c r="L537" s="1" t="n">
        <v>13145.95</v>
      </c>
      <c r="M537" s="1" t="n">
        <v>2861.12</v>
      </c>
      <c r="N537" s="1" t="s">
        <v>41</v>
      </c>
      <c r="P537" s="1" t="n">
        <v>1</v>
      </c>
      <c r="Q537" s="1" t="s">
        <v>42</v>
      </c>
      <c r="R537" s="1" t="s">
        <v>54</v>
      </c>
      <c r="S537" s="6" t="n">
        <v>46071</v>
      </c>
    </row>
    <row r="538" customFormat="false" ht="14.25" hidden="false" customHeight="true" outlineLevel="0" collapsed="false">
      <c r="A538" s="1" t="s">
        <v>1956</v>
      </c>
      <c r="B538" s="1" t="s">
        <v>1957</v>
      </c>
      <c r="C538" s="1" t="s">
        <v>386</v>
      </c>
      <c r="D538" s="1" t="s">
        <v>1029</v>
      </c>
      <c r="E538" s="6" t="n">
        <v>46114</v>
      </c>
      <c r="F538" s="6" t="n">
        <v>46109</v>
      </c>
      <c r="G538" s="1" t="s">
        <v>70</v>
      </c>
      <c r="H538" s="1" t="s">
        <v>1958</v>
      </c>
      <c r="I538" s="1" t="s">
        <v>1959</v>
      </c>
      <c r="J538" s="1" t="n">
        <v>23759.72</v>
      </c>
      <c r="K538" s="1" t="n">
        <v>21358.92</v>
      </c>
      <c r="L538" s="1" t="n">
        <v>18235.6</v>
      </c>
      <c r="M538" s="1" t="n">
        <v>3123.32</v>
      </c>
      <c r="N538" s="1" t="s">
        <v>41</v>
      </c>
      <c r="P538" s="1" t="n">
        <v>5</v>
      </c>
      <c r="Q538" s="1" t="s">
        <v>42</v>
      </c>
      <c r="R538" s="1" t="s">
        <v>125</v>
      </c>
      <c r="S538" s="6" t="n">
        <v>46119</v>
      </c>
    </row>
    <row r="539" customFormat="false" ht="14.25" hidden="false" customHeight="true" outlineLevel="0" collapsed="false">
      <c r="A539" s="1" t="s">
        <v>1960</v>
      </c>
      <c r="B539" s="1" t="s">
        <v>794</v>
      </c>
      <c r="C539" s="1" t="s">
        <v>78</v>
      </c>
      <c r="D539" s="1" t="s">
        <v>177</v>
      </c>
      <c r="E539" s="6" t="n">
        <v>46106</v>
      </c>
      <c r="F539" s="6" t="n">
        <v>46103</v>
      </c>
      <c r="G539" s="1" t="s">
        <v>70</v>
      </c>
      <c r="H539" s="1" t="s">
        <v>591</v>
      </c>
      <c r="I539" s="1" t="s">
        <v>1961</v>
      </c>
      <c r="J539" s="1" t="n">
        <v>19969.71</v>
      </c>
      <c r="K539" s="1" t="n">
        <v>17152.72</v>
      </c>
      <c r="L539" s="1" t="n">
        <v>0</v>
      </c>
      <c r="M539" s="1" t="n">
        <v>17152.72</v>
      </c>
      <c r="N539" s="1" t="s">
        <v>111</v>
      </c>
      <c r="P539" s="1" t="n">
        <v>11</v>
      </c>
      <c r="Q539" s="1" t="s">
        <v>155</v>
      </c>
      <c r="R539" s="1" t="s">
        <v>140</v>
      </c>
    </row>
    <row r="540" customFormat="false" ht="14.25" hidden="false" customHeight="true" outlineLevel="0" collapsed="false">
      <c r="A540" s="1" t="s">
        <v>1962</v>
      </c>
      <c r="B540" s="1" t="s">
        <v>834</v>
      </c>
      <c r="C540" s="1" t="s">
        <v>436</v>
      </c>
      <c r="D540" s="1" t="s">
        <v>732</v>
      </c>
      <c r="E540" s="6" t="n">
        <v>46035</v>
      </c>
      <c r="F540" s="6" t="n">
        <v>46035</v>
      </c>
      <c r="G540" s="1" t="s">
        <v>70</v>
      </c>
      <c r="H540" s="1" t="s">
        <v>1796</v>
      </c>
      <c r="I540" s="1" t="s">
        <v>1963</v>
      </c>
      <c r="J540" s="1" t="n">
        <v>49680.25</v>
      </c>
      <c r="K540" s="1" t="n">
        <v>45130.37</v>
      </c>
      <c r="L540" s="1" t="n">
        <v>42019.23</v>
      </c>
      <c r="M540" s="1" t="n">
        <v>3111.14</v>
      </c>
      <c r="N540" s="1" t="s">
        <v>41</v>
      </c>
      <c r="P540" s="1" t="n">
        <v>4</v>
      </c>
      <c r="Q540" s="1" t="s">
        <v>155</v>
      </c>
      <c r="R540" s="1" t="s">
        <v>74</v>
      </c>
      <c r="S540" s="6" t="n">
        <v>46039</v>
      </c>
    </row>
    <row r="541" customFormat="false" ht="14.25" hidden="false" customHeight="true" outlineLevel="0" collapsed="false">
      <c r="A541" s="1" t="s">
        <v>1964</v>
      </c>
      <c r="B541" s="1" t="s">
        <v>1372</v>
      </c>
      <c r="C541" s="1" t="s">
        <v>215</v>
      </c>
      <c r="D541" s="1" t="s">
        <v>183</v>
      </c>
      <c r="E541" s="6" t="n">
        <v>46038</v>
      </c>
      <c r="F541" s="6" t="n">
        <v>46036</v>
      </c>
      <c r="G541" s="1" t="s">
        <v>49</v>
      </c>
      <c r="H541" s="1" t="s">
        <v>741</v>
      </c>
      <c r="I541" s="1" t="s">
        <v>1965</v>
      </c>
      <c r="J541" s="1" t="n">
        <v>2632.27</v>
      </c>
      <c r="K541" s="1" t="n">
        <v>1748.88</v>
      </c>
      <c r="L541" s="1" t="n">
        <v>0</v>
      </c>
      <c r="M541" s="1" t="n">
        <v>1748.88</v>
      </c>
      <c r="N541" s="1" t="s">
        <v>52</v>
      </c>
      <c r="O541" s="1" t="s">
        <v>53</v>
      </c>
      <c r="P541" s="1" t="n">
        <v>5</v>
      </c>
      <c r="Q541" s="1" t="s">
        <v>155</v>
      </c>
      <c r="R541" s="1" t="s">
        <v>64</v>
      </c>
    </row>
    <row r="542" customFormat="false" ht="14.25" hidden="false" customHeight="true" outlineLevel="0" collapsed="false">
      <c r="A542" s="1" t="s">
        <v>1966</v>
      </c>
      <c r="B542" s="1" t="s">
        <v>67</v>
      </c>
      <c r="C542" s="1" t="s">
        <v>188</v>
      </c>
      <c r="D542" s="1" t="s">
        <v>177</v>
      </c>
      <c r="E542" s="6" t="n">
        <v>46140</v>
      </c>
      <c r="F542" s="6" t="n">
        <v>46140</v>
      </c>
      <c r="G542" s="1" t="s">
        <v>38</v>
      </c>
      <c r="H542" s="1" t="s">
        <v>1668</v>
      </c>
      <c r="I542" s="1" t="s">
        <v>1967</v>
      </c>
      <c r="J542" s="1" t="n">
        <v>43163.8</v>
      </c>
      <c r="K542" s="1" t="n">
        <v>37807.62</v>
      </c>
      <c r="L542" s="1" t="n">
        <v>36747.1</v>
      </c>
      <c r="M542" s="1" t="n">
        <v>1060.52</v>
      </c>
      <c r="N542" s="1" t="s">
        <v>41</v>
      </c>
      <c r="P542" s="1" t="n">
        <v>7</v>
      </c>
      <c r="Q542" s="1" t="s">
        <v>42</v>
      </c>
      <c r="R542" s="1" t="s">
        <v>43</v>
      </c>
      <c r="S542" s="6" t="n">
        <v>46147</v>
      </c>
    </row>
    <row r="543" customFormat="false" ht="14.25" hidden="false" customHeight="true" outlineLevel="0" collapsed="false">
      <c r="A543" s="1" t="s">
        <v>1968</v>
      </c>
      <c r="B543" s="1" t="s">
        <v>1896</v>
      </c>
      <c r="C543" s="1" t="s">
        <v>468</v>
      </c>
      <c r="D543" s="1" t="s">
        <v>1448</v>
      </c>
      <c r="E543" s="6" t="n">
        <v>46096</v>
      </c>
      <c r="F543" s="6" t="n">
        <v>46094</v>
      </c>
      <c r="G543" s="1" t="s">
        <v>38</v>
      </c>
      <c r="H543" s="1" t="s">
        <v>1229</v>
      </c>
      <c r="I543" s="1" t="s">
        <v>1969</v>
      </c>
      <c r="J543" s="1" t="n">
        <v>24393.96</v>
      </c>
      <c r="K543" s="1" t="n">
        <v>16527.88</v>
      </c>
      <c r="L543" s="1" t="n">
        <v>0</v>
      </c>
      <c r="M543" s="1" t="n">
        <v>16527.88</v>
      </c>
      <c r="N543" s="1" t="s">
        <v>52</v>
      </c>
      <c r="O543" s="1" t="s">
        <v>53</v>
      </c>
      <c r="P543" s="1" t="n">
        <v>5</v>
      </c>
      <c r="Q543" s="1" t="s">
        <v>155</v>
      </c>
      <c r="R543" s="1" t="s">
        <v>43</v>
      </c>
    </row>
    <row r="544" customFormat="false" ht="14.25" hidden="false" customHeight="true" outlineLevel="0" collapsed="false">
      <c r="A544" s="1" t="s">
        <v>1970</v>
      </c>
      <c r="B544" s="1" t="s">
        <v>822</v>
      </c>
      <c r="C544" s="1" t="s">
        <v>510</v>
      </c>
      <c r="D544" s="1" t="s">
        <v>418</v>
      </c>
      <c r="E544" s="6" t="n">
        <v>46039</v>
      </c>
      <c r="F544" s="6" t="n">
        <v>46038</v>
      </c>
      <c r="G544" s="1" t="s">
        <v>70</v>
      </c>
      <c r="H544" s="1" t="s">
        <v>1590</v>
      </c>
      <c r="I544" s="1" t="s">
        <v>1971</v>
      </c>
      <c r="J544" s="1" t="n">
        <v>11198.71</v>
      </c>
      <c r="K544" s="1" t="n">
        <v>10029.04</v>
      </c>
      <c r="L544" s="1" t="n">
        <v>7992.94</v>
      </c>
      <c r="M544" s="1" t="n">
        <v>2036.1</v>
      </c>
      <c r="N544" s="1" t="s">
        <v>41</v>
      </c>
      <c r="P544" s="1" t="n">
        <v>2</v>
      </c>
      <c r="Q544" s="1" t="s">
        <v>42</v>
      </c>
      <c r="R544" s="1" t="s">
        <v>43</v>
      </c>
      <c r="S544" s="6" t="n">
        <v>46041</v>
      </c>
    </row>
    <row r="545" customFormat="false" ht="14.25" hidden="false" customHeight="true" outlineLevel="0" collapsed="false">
      <c r="A545" s="1" t="s">
        <v>1972</v>
      </c>
      <c r="B545" s="1" t="s">
        <v>143</v>
      </c>
      <c r="C545" s="1" t="s">
        <v>516</v>
      </c>
      <c r="D545" s="1" t="s">
        <v>881</v>
      </c>
      <c r="E545" s="6" t="n">
        <v>46191</v>
      </c>
      <c r="F545" s="6" t="n">
        <v>46190</v>
      </c>
      <c r="G545" s="1" t="s">
        <v>38</v>
      </c>
      <c r="H545" s="1" t="s">
        <v>1973</v>
      </c>
      <c r="I545" s="1" t="s">
        <v>1974</v>
      </c>
      <c r="J545" s="1" t="n">
        <v>5730.19</v>
      </c>
      <c r="K545" s="1" t="n">
        <v>3948.2</v>
      </c>
      <c r="L545" s="1" t="n">
        <v>0</v>
      </c>
      <c r="M545" s="1" t="n">
        <v>3948.2</v>
      </c>
      <c r="N545" s="1" t="s">
        <v>52</v>
      </c>
      <c r="O545" s="1" t="s">
        <v>62</v>
      </c>
      <c r="P545" s="1" t="n">
        <v>6</v>
      </c>
      <c r="Q545" s="1" t="s">
        <v>155</v>
      </c>
      <c r="R545" s="1" t="s">
        <v>54</v>
      </c>
    </row>
    <row r="546" customFormat="false" ht="14.25" hidden="false" customHeight="true" outlineLevel="0" collapsed="false">
      <c r="A546" s="1" t="s">
        <v>1975</v>
      </c>
      <c r="B546" s="1" t="s">
        <v>1192</v>
      </c>
      <c r="C546" s="1" t="s">
        <v>92</v>
      </c>
      <c r="D546" s="1" t="s">
        <v>268</v>
      </c>
      <c r="E546" s="6" t="n">
        <v>46097</v>
      </c>
      <c r="F546" s="6" t="n">
        <v>46094</v>
      </c>
      <c r="G546" s="1" t="s">
        <v>108</v>
      </c>
      <c r="H546" s="1" t="s">
        <v>1976</v>
      </c>
      <c r="I546" s="1" t="s">
        <v>1977</v>
      </c>
      <c r="J546" s="1" t="n">
        <v>15703.77</v>
      </c>
      <c r="K546" s="1" t="n">
        <v>14305.34</v>
      </c>
      <c r="L546" s="1" t="n">
        <v>13047.84</v>
      </c>
      <c r="M546" s="1" t="n">
        <v>1257.5</v>
      </c>
      <c r="N546" s="1" t="s">
        <v>41</v>
      </c>
      <c r="P546" s="1" t="n">
        <v>3</v>
      </c>
      <c r="Q546" s="1" t="s">
        <v>63</v>
      </c>
      <c r="R546" s="1" t="s">
        <v>140</v>
      </c>
      <c r="S546" s="6" t="n">
        <v>46100</v>
      </c>
    </row>
    <row r="547" customFormat="false" ht="14.25" hidden="false" customHeight="true" outlineLevel="0" collapsed="false">
      <c r="A547" s="1" t="s">
        <v>1978</v>
      </c>
      <c r="B547" s="1" t="s">
        <v>509</v>
      </c>
      <c r="C547" s="1" t="s">
        <v>279</v>
      </c>
      <c r="D547" s="1" t="s">
        <v>287</v>
      </c>
      <c r="E547" s="6" t="n">
        <v>46091</v>
      </c>
      <c r="F547" s="6" t="n">
        <v>46091</v>
      </c>
      <c r="G547" s="1" t="s">
        <v>38</v>
      </c>
      <c r="H547" s="1" t="s">
        <v>1979</v>
      </c>
      <c r="I547" s="1" t="s">
        <v>1980</v>
      </c>
      <c r="J547" s="1" t="n">
        <v>26778.83</v>
      </c>
      <c r="K547" s="1" t="n">
        <v>20233.74</v>
      </c>
      <c r="L547" s="1" t="n">
        <v>15773.85</v>
      </c>
      <c r="M547" s="1" t="n">
        <v>4459.89</v>
      </c>
      <c r="N547" s="1" t="s">
        <v>41</v>
      </c>
      <c r="P547" s="1" t="n">
        <v>2</v>
      </c>
      <c r="Q547" s="1" t="s">
        <v>63</v>
      </c>
      <c r="R547" s="1" t="s">
        <v>64</v>
      </c>
      <c r="S547" s="6" t="n">
        <v>46093</v>
      </c>
    </row>
    <row r="548" customFormat="false" ht="14.25" hidden="false" customHeight="true" outlineLevel="0" collapsed="false">
      <c r="A548" s="1" t="s">
        <v>1981</v>
      </c>
      <c r="B548" s="1" t="s">
        <v>1466</v>
      </c>
      <c r="C548" s="1" t="s">
        <v>376</v>
      </c>
      <c r="D548" s="1" t="s">
        <v>732</v>
      </c>
      <c r="E548" s="6" t="n">
        <v>46108</v>
      </c>
      <c r="F548" s="6" t="n">
        <v>46108</v>
      </c>
      <c r="G548" s="1" t="s">
        <v>49</v>
      </c>
      <c r="H548" s="1" t="s">
        <v>1982</v>
      </c>
      <c r="I548" s="1" t="s">
        <v>1983</v>
      </c>
      <c r="J548" s="1" t="n">
        <v>18804.14</v>
      </c>
      <c r="K548" s="1" t="n">
        <v>12499.87</v>
      </c>
      <c r="L548" s="1" t="n">
        <v>10570.27</v>
      </c>
      <c r="M548" s="1" t="n">
        <v>1929.6</v>
      </c>
      <c r="N548" s="1" t="s">
        <v>41</v>
      </c>
      <c r="P548" s="1" t="n">
        <v>7</v>
      </c>
      <c r="Q548" s="1" t="s">
        <v>42</v>
      </c>
      <c r="R548" s="1" t="s">
        <v>64</v>
      </c>
      <c r="S548" s="6" t="n">
        <v>46115</v>
      </c>
    </row>
    <row r="549" customFormat="false" ht="14.25" hidden="false" customHeight="true" outlineLevel="0" collapsed="false">
      <c r="A549" s="1" t="s">
        <v>1984</v>
      </c>
      <c r="B549" s="1" t="s">
        <v>262</v>
      </c>
      <c r="C549" s="1" t="s">
        <v>182</v>
      </c>
      <c r="D549" s="1" t="s">
        <v>152</v>
      </c>
      <c r="E549" s="6" t="n">
        <v>46153</v>
      </c>
      <c r="F549" s="6" t="n">
        <v>46149</v>
      </c>
      <c r="G549" s="1" t="s">
        <v>70</v>
      </c>
      <c r="H549" s="1" t="s">
        <v>1453</v>
      </c>
      <c r="I549" s="1" t="s">
        <v>1985</v>
      </c>
      <c r="J549" s="1" t="n">
        <v>34217.45</v>
      </c>
      <c r="K549" s="1" t="n">
        <v>28876.22</v>
      </c>
      <c r="L549" s="1" t="n">
        <v>28580.03</v>
      </c>
      <c r="M549" s="1" t="n">
        <v>296.19</v>
      </c>
      <c r="N549" s="1" t="s">
        <v>41</v>
      </c>
      <c r="P549" s="1" t="n">
        <v>4</v>
      </c>
      <c r="Q549" s="1" t="s">
        <v>42</v>
      </c>
      <c r="R549" s="1" t="s">
        <v>54</v>
      </c>
      <c r="S549" s="6" t="n">
        <v>46157</v>
      </c>
    </row>
    <row r="550" customFormat="false" ht="14.25" hidden="false" customHeight="true" outlineLevel="0" collapsed="false">
      <c r="A550" s="1" t="s">
        <v>1986</v>
      </c>
      <c r="B550" s="1" t="s">
        <v>1789</v>
      </c>
      <c r="C550" s="1" t="s">
        <v>623</v>
      </c>
      <c r="D550" s="1" t="s">
        <v>183</v>
      </c>
      <c r="E550" s="6" t="n">
        <v>46094</v>
      </c>
      <c r="F550" s="6" t="n">
        <v>46093</v>
      </c>
      <c r="G550" s="1" t="s">
        <v>70</v>
      </c>
      <c r="H550" s="1" t="s">
        <v>1018</v>
      </c>
      <c r="I550" s="1" t="s">
        <v>1987</v>
      </c>
      <c r="J550" s="1" t="n">
        <v>35125.86</v>
      </c>
      <c r="K550" s="1" t="n">
        <v>27094.96</v>
      </c>
      <c r="L550" s="1" t="n">
        <v>0</v>
      </c>
      <c r="M550" s="1" t="n">
        <v>27094.96</v>
      </c>
      <c r="N550" s="1" t="s">
        <v>52</v>
      </c>
      <c r="O550" s="1" t="s">
        <v>53</v>
      </c>
      <c r="P550" s="1" t="n">
        <v>7</v>
      </c>
      <c r="Q550" s="1" t="s">
        <v>155</v>
      </c>
      <c r="R550" s="1" t="s">
        <v>125</v>
      </c>
    </row>
    <row r="551" customFormat="false" ht="14.25" hidden="false" customHeight="true" outlineLevel="0" collapsed="false">
      <c r="A551" s="1" t="s">
        <v>1988</v>
      </c>
      <c r="B551" s="1" t="s">
        <v>1989</v>
      </c>
      <c r="C551" s="1" t="s">
        <v>68</v>
      </c>
      <c r="D551" s="1" t="s">
        <v>48</v>
      </c>
      <c r="E551" s="6" t="n">
        <v>46077</v>
      </c>
      <c r="F551" s="6" t="n">
        <v>46075</v>
      </c>
      <c r="G551" s="1" t="s">
        <v>49</v>
      </c>
      <c r="H551" s="1" t="s">
        <v>1575</v>
      </c>
      <c r="I551" s="1" t="s">
        <v>1990</v>
      </c>
      <c r="J551" s="1" t="n">
        <v>35439.74</v>
      </c>
      <c r="K551" s="1" t="n">
        <v>26097.6</v>
      </c>
      <c r="L551" s="1" t="n">
        <v>0</v>
      </c>
      <c r="M551" s="1" t="n">
        <v>26097.6</v>
      </c>
      <c r="N551" s="1" t="s">
        <v>111</v>
      </c>
      <c r="P551" s="1" t="n">
        <v>4</v>
      </c>
      <c r="Q551" s="1" t="s">
        <v>42</v>
      </c>
      <c r="R551" s="1" t="s">
        <v>140</v>
      </c>
    </row>
    <row r="552" customFormat="false" ht="14.25" hidden="false" customHeight="true" outlineLevel="0" collapsed="false">
      <c r="A552" s="1" t="s">
        <v>1991</v>
      </c>
      <c r="B552" s="1" t="s">
        <v>366</v>
      </c>
      <c r="C552" s="1" t="s">
        <v>151</v>
      </c>
      <c r="D552" s="1" t="s">
        <v>377</v>
      </c>
      <c r="E552" s="6" t="n">
        <v>46068</v>
      </c>
      <c r="F552" s="6" t="n">
        <v>46066</v>
      </c>
      <c r="G552" s="1" t="s">
        <v>49</v>
      </c>
      <c r="H552" s="1" t="s">
        <v>1992</v>
      </c>
      <c r="I552" s="1" t="s">
        <v>1993</v>
      </c>
      <c r="J552" s="1" t="n">
        <v>8748.95</v>
      </c>
      <c r="K552" s="1" t="n">
        <v>6558.62</v>
      </c>
      <c r="L552" s="1" t="n">
        <v>0</v>
      </c>
      <c r="M552" s="1" t="n">
        <v>6558.62</v>
      </c>
      <c r="N552" s="1" t="s">
        <v>111</v>
      </c>
      <c r="P552" s="1" t="n">
        <v>11</v>
      </c>
      <c r="Q552" s="1" t="s">
        <v>155</v>
      </c>
      <c r="R552" s="1" t="s">
        <v>140</v>
      </c>
    </row>
    <row r="553" customFormat="false" ht="14.25" hidden="false" customHeight="true" outlineLevel="0" collapsed="false">
      <c r="A553" s="1" t="s">
        <v>1994</v>
      </c>
      <c r="B553" s="1" t="s">
        <v>1995</v>
      </c>
      <c r="C553" s="1" t="s">
        <v>151</v>
      </c>
      <c r="D553" s="1" t="s">
        <v>635</v>
      </c>
      <c r="E553" s="6" t="n">
        <v>46090</v>
      </c>
      <c r="F553" s="6" t="n">
        <v>46090</v>
      </c>
      <c r="G553" s="1" t="s">
        <v>38</v>
      </c>
      <c r="H553" s="1" t="s">
        <v>131</v>
      </c>
      <c r="I553" s="1" t="s">
        <v>1996</v>
      </c>
      <c r="J553" s="1" t="n">
        <v>38132.91</v>
      </c>
      <c r="K553" s="1" t="n">
        <v>24897.75</v>
      </c>
      <c r="L553" s="1" t="n">
        <v>20865.21</v>
      </c>
      <c r="M553" s="1" t="n">
        <v>4032.54</v>
      </c>
      <c r="N553" s="1" t="s">
        <v>41</v>
      </c>
      <c r="P553" s="1" t="n">
        <v>8</v>
      </c>
      <c r="Q553" s="1" t="s">
        <v>155</v>
      </c>
      <c r="R553" s="1" t="s">
        <v>125</v>
      </c>
      <c r="S553" s="6" t="n">
        <v>46098</v>
      </c>
    </row>
    <row r="554" customFormat="false" ht="14.25" hidden="false" customHeight="true" outlineLevel="0" collapsed="false">
      <c r="A554" s="1" t="s">
        <v>1997</v>
      </c>
      <c r="B554" s="1" t="s">
        <v>1621</v>
      </c>
      <c r="C554" s="1" t="s">
        <v>273</v>
      </c>
      <c r="D554" s="1" t="s">
        <v>476</v>
      </c>
      <c r="E554" s="6" t="n">
        <v>46031</v>
      </c>
      <c r="F554" s="6" t="n">
        <v>46027</v>
      </c>
      <c r="G554" s="1" t="s">
        <v>108</v>
      </c>
      <c r="H554" s="1" t="s">
        <v>1998</v>
      </c>
      <c r="I554" s="1" t="s">
        <v>1999</v>
      </c>
      <c r="J554" s="1" t="n">
        <v>14887.6</v>
      </c>
      <c r="K554" s="1" t="n">
        <v>10696.54</v>
      </c>
      <c r="L554" s="1" t="n">
        <v>0</v>
      </c>
      <c r="M554" s="1" t="n">
        <v>10696.54</v>
      </c>
      <c r="N554" s="1" t="s">
        <v>111</v>
      </c>
      <c r="P554" s="1" t="n">
        <v>12</v>
      </c>
      <c r="Q554" s="1" t="s">
        <v>42</v>
      </c>
      <c r="R554" s="1" t="s">
        <v>102</v>
      </c>
    </row>
    <row r="555" customFormat="false" ht="14.25" hidden="false" customHeight="true" outlineLevel="0" collapsed="false">
      <c r="A555" s="1" t="s">
        <v>2000</v>
      </c>
      <c r="B555" s="1" t="s">
        <v>463</v>
      </c>
      <c r="C555" s="1" t="s">
        <v>58</v>
      </c>
      <c r="D555" s="1" t="s">
        <v>347</v>
      </c>
      <c r="E555" s="6" t="n">
        <v>46141</v>
      </c>
      <c r="F555" s="6" t="n">
        <v>46138</v>
      </c>
      <c r="G555" s="1" t="s">
        <v>108</v>
      </c>
      <c r="H555" s="1" t="s">
        <v>2001</v>
      </c>
      <c r="I555" s="1" t="s">
        <v>2002</v>
      </c>
      <c r="J555" s="1" t="n">
        <v>49494.76</v>
      </c>
      <c r="K555" s="1" t="n">
        <v>35992.68</v>
      </c>
      <c r="L555" s="1" t="n">
        <v>0</v>
      </c>
      <c r="M555" s="1" t="n">
        <v>35992.68</v>
      </c>
      <c r="N555" s="1" t="s">
        <v>111</v>
      </c>
      <c r="P555" s="1" t="n">
        <v>11</v>
      </c>
      <c r="Q555" s="1" t="s">
        <v>63</v>
      </c>
      <c r="R555" s="1" t="s">
        <v>74</v>
      </c>
    </row>
    <row r="556" customFormat="false" ht="14.25" hidden="false" customHeight="true" outlineLevel="0" collapsed="false">
      <c r="A556" s="1" t="s">
        <v>2003</v>
      </c>
      <c r="B556" s="1" t="s">
        <v>557</v>
      </c>
      <c r="C556" s="1" t="s">
        <v>164</v>
      </c>
      <c r="D556" s="1" t="s">
        <v>234</v>
      </c>
      <c r="E556" s="6" t="n">
        <v>46112</v>
      </c>
      <c r="F556" s="6" t="n">
        <v>46108</v>
      </c>
      <c r="G556" s="1" t="s">
        <v>108</v>
      </c>
      <c r="H556" s="1" t="s">
        <v>779</v>
      </c>
      <c r="I556" s="1" t="s">
        <v>2004</v>
      </c>
      <c r="J556" s="1" t="n">
        <v>42919.33</v>
      </c>
      <c r="K556" s="1" t="n">
        <v>39513.68</v>
      </c>
      <c r="L556" s="1" t="n">
        <v>0</v>
      </c>
      <c r="M556" s="1" t="n">
        <v>39513.68</v>
      </c>
      <c r="N556" s="1" t="s">
        <v>52</v>
      </c>
      <c r="O556" s="1" t="s">
        <v>53</v>
      </c>
      <c r="P556" s="1" t="n">
        <v>8</v>
      </c>
      <c r="Q556" s="1" t="s">
        <v>155</v>
      </c>
      <c r="R556" s="1" t="s">
        <v>74</v>
      </c>
    </row>
    <row r="557" customFormat="false" ht="14.25" hidden="false" customHeight="true" outlineLevel="0" collapsed="false">
      <c r="A557" s="1" t="s">
        <v>2005</v>
      </c>
      <c r="B557" s="1" t="s">
        <v>1353</v>
      </c>
      <c r="C557" s="1" t="s">
        <v>361</v>
      </c>
      <c r="D557" s="1" t="s">
        <v>122</v>
      </c>
      <c r="E557" s="6" t="n">
        <v>46061</v>
      </c>
      <c r="F557" s="6" t="n">
        <v>46059</v>
      </c>
      <c r="G557" s="1" t="s">
        <v>38</v>
      </c>
      <c r="H557" s="1" t="s">
        <v>1622</v>
      </c>
      <c r="I557" s="1" t="s">
        <v>2006</v>
      </c>
      <c r="J557" s="1" t="n">
        <v>12596.21</v>
      </c>
      <c r="K557" s="1" t="n">
        <v>10987.72</v>
      </c>
      <c r="L557" s="1" t="n">
        <v>10914.35</v>
      </c>
      <c r="M557" s="1" t="n">
        <v>73.37</v>
      </c>
      <c r="N557" s="1" t="s">
        <v>41</v>
      </c>
      <c r="P557" s="1" t="n">
        <v>6</v>
      </c>
      <c r="Q557" s="1" t="s">
        <v>63</v>
      </c>
      <c r="R557" s="1" t="s">
        <v>74</v>
      </c>
      <c r="S557" s="6" t="n">
        <v>46067</v>
      </c>
    </row>
    <row r="558" customFormat="false" ht="14.25" hidden="false" customHeight="true" outlineLevel="0" collapsed="false">
      <c r="A558" s="1" t="s">
        <v>2007</v>
      </c>
      <c r="B558" s="1" t="s">
        <v>850</v>
      </c>
      <c r="C558" s="1" t="s">
        <v>215</v>
      </c>
      <c r="D558" s="1" t="s">
        <v>362</v>
      </c>
      <c r="E558" s="6" t="n">
        <v>46200</v>
      </c>
      <c r="F558" s="6" t="n">
        <v>46196</v>
      </c>
      <c r="G558" s="1" t="s">
        <v>49</v>
      </c>
      <c r="H558" s="1" t="s">
        <v>2008</v>
      </c>
      <c r="I558" s="1" t="s">
        <v>2009</v>
      </c>
      <c r="J558" s="1" t="n">
        <v>22738.83</v>
      </c>
      <c r="K558" s="1" t="n">
        <v>21317.47</v>
      </c>
      <c r="L558" s="1" t="n">
        <v>0</v>
      </c>
      <c r="M558" s="1" t="n">
        <v>21317.47</v>
      </c>
      <c r="N558" s="1" t="s">
        <v>52</v>
      </c>
      <c r="O558" s="1" t="s">
        <v>230</v>
      </c>
      <c r="P558" s="1" t="n">
        <v>3</v>
      </c>
      <c r="Q558" s="1" t="s">
        <v>155</v>
      </c>
      <c r="R558" s="1" t="s">
        <v>54</v>
      </c>
    </row>
    <row r="559" customFormat="false" ht="14.25" hidden="false" customHeight="true" outlineLevel="0" collapsed="false">
      <c r="A559" s="1" t="s">
        <v>2010</v>
      </c>
      <c r="B559" s="1" t="s">
        <v>842</v>
      </c>
      <c r="C559" s="1" t="s">
        <v>356</v>
      </c>
      <c r="D559" s="1" t="s">
        <v>1077</v>
      </c>
      <c r="E559" s="6" t="n">
        <v>46175</v>
      </c>
      <c r="F559" s="6" t="n">
        <v>46171</v>
      </c>
      <c r="G559" s="1" t="s">
        <v>108</v>
      </c>
      <c r="H559" s="1" t="s">
        <v>2011</v>
      </c>
      <c r="I559" s="1" t="s">
        <v>2012</v>
      </c>
      <c r="J559" s="1" t="n">
        <v>41791.49</v>
      </c>
      <c r="K559" s="1" t="n">
        <v>28706.09</v>
      </c>
      <c r="L559" s="1" t="n">
        <v>0</v>
      </c>
      <c r="M559" s="1" t="n">
        <v>28706.09</v>
      </c>
      <c r="N559" s="1" t="s">
        <v>111</v>
      </c>
      <c r="P559" s="1" t="n">
        <v>11</v>
      </c>
      <c r="Q559" s="1" t="s">
        <v>42</v>
      </c>
      <c r="R559" s="1" t="s">
        <v>140</v>
      </c>
    </row>
    <row r="560" customFormat="false" ht="14.25" hidden="false" customHeight="true" outlineLevel="0" collapsed="false">
      <c r="A560" s="1" t="s">
        <v>2013</v>
      </c>
      <c r="B560" s="1" t="s">
        <v>542</v>
      </c>
      <c r="C560" s="1" t="s">
        <v>376</v>
      </c>
      <c r="D560" s="1" t="s">
        <v>727</v>
      </c>
      <c r="E560" s="6" t="n">
        <v>46147</v>
      </c>
      <c r="F560" s="6" t="n">
        <v>46142</v>
      </c>
      <c r="G560" s="1" t="s">
        <v>70</v>
      </c>
      <c r="H560" s="1" t="s">
        <v>2014</v>
      </c>
      <c r="I560" s="1" t="s">
        <v>2015</v>
      </c>
      <c r="J560" s="1" t="n">
        <v>48350.24</v>
      </c>
      <c r="K560" s="1" t="n">
        <v>40475.85</v>
      </c>
      <c r="L560" s="1" t="n">
        <v>37079.12</v>
      </c>
      <c r="M560" s="1" t="n">
        <v>3396.73</v>
      </c>
      <c r="N560" s="1" t="s">
        <v>41</v>
      </c>
      <c r="P560" s="1" t="n">
        <v>5</v>
      </c>
      <c r="Q560" s="1" t="s">
        <v>155</v>
      </c>
      <c r="R560" s="1" t="s">
        <v>140</v>
      </c>
      <c r="S560" s="6" t="n">
        <v>46152</v>
      </c>
    </row>
    <row r="561" customFormat="false" ht="14.25" hidden="false" customHeight="true" outlineLevel="0" collapsed="false">
      <c r="A561" s="1" t="s">
        <v>2016</v>
      </c>
      <c r="B561" s="1" t="s">
        <v>57</v>
      </c>
      <c r="C561" s="1" t="s">
        <v>85</v>
      </c>
      <c r="D561" s="1" t="s">
        <v>165</v>
      </c>
      <c r="E561" s="6" t="n">
        <v>46099</v>
      </c>
      <c r="F561" s="6" t="n">
        <v>46095</v>
      </c>
      <c r="G561" s="1" t="s">
        <v>70</v>
      </c>
      <c r="H561" s="1" t="s">
        <v>1418</v>
      </c>
      <c r="I561" s="1" t="s">
        <v>2017</v>
      </c>
      <c r="J561" s="1" t="n">
        <v>24674.14</v>
      </c>
      <c r="K561" s="1" t="n">
        <v>16075.87</v>
      </c>
      <c r="L561" s="1" t="n">
        <v>13472.61</v>
      </c>
      <c r="M561" s="1" t="n">
        <v>2603.26</v>
      </c>
      <c r="N561" s="1" t="s">
        <v>41</v>
      </c>
      <c r="P561" s="1" t="n">
        <v>1</v>
      </c>
      <c r="Q561" s="1" t="s">
        <v>42</v>
      </c>
      <c r="R561" s="1" t="s">
        <v>74</v>
      </c>
      <c r="S561" s="6" t="n">
        <v>46100</v>
      </c>
    </row>
    <row r="562" customFormat="false" ht="14.25" hidden="false" customHeight="true" outlineLevel="0" collapsed="false">
      <c r="A562" s="1" t="s">
        <v>2018</v>
      </c>
      <c r="B562" s="1" t="s">
        <v>917</v>
      </c>
      <c r="C562" s="1" t="s">
        <v>430</v>
      </c>
      <c r="D562" s="1" t="s">
        <v>890</v>
      </c>
      <c r="E562" s="6" t="n">
        <v>46223</v>
      </c>
      <c r="F562" s="6" t="n">
        <v>46219</v>
      </c>
      <c r="G562" s="1" t="s">
        <v>70</v>
      </c>
      <c r="H562" s="1" t="s">
        <v>1483</v>
      </c>
      <c r="I562" s="1" t="s">
        <v>2019</v>
      </c>
      <c r="J562" s="1" t="n">
        <v>4757.17</v>
      </c>
      <c r="K562" s="1" t="n">
        <v>3478.45</v>
      </c>
      <c r="L562" s="1" t="n">
        <v>3474.9</v>
      </c>
      <c r="M562" s="1" t="n">
        <v>3.55</v>
      </c>
      <c r="N562" s="1" t="s">
        <v>41</v>
      </c>
      <c r="P562" s="1" t="n">
        <v>4</v>
      </c>
      <c r="Q562" s="1" t="s">
        <v>63</v>
      </c>
      <c r="R562" s="1" t="s">
        <v>102</v>
      </c>
      <c r="S562" s="6" t="n">
        <v>46227</v>
      </c>
    </row>
    <row r="563" customFormat="false" ht="14.25" hidden="false" customHeight="true" outlineLevel="0" collapsed="false">
      <c r="A563" s="1" t="s">
        <v>2020</v>
      </c>
      <c r="B563" s="1" t="s">
        <v>547</v>
      </c>
      <c r="C563" s="1" t="s">
        <v>543</v>
      </c>
      <c r="D563" s="1" t="s">
        <v>678</v>
      </c>
      <c r="E563" s="6" t="n">
        <v>46091</v>
      </c>
      <c r="F563" s="6" t="n">
        <v>46086</v>
      </c>
      <c r="G563" s="1" t="s">
        <v>70</v>
      </c>
      <c r="H563" s="1" t="s">
        <v>2021</v>
      </c>
      <c r="I563" s="1" t="s">
        <v>2022</v>
      </c>
      <c r="J563" s="1" t="n">
        <v>21416.88</v>
      </c>
      <c r="K563" s="1" t="n">
        <v>20133.41</v>
      </c>
      <c r="L563" s="1" t="n">
        <v>0</v>
      </c>
      <c r="M563" s="1" t="n">
        <v>20133.41</v>
      </c>
      <c r="N563" s="1" t="s">
        <v>111</v>
      </c>
      <c r="P563" s="1" t="n">
        <v>5</v>
      </c>
      <c r="Q563" s="1" t="s">
        <v>42</v>
      </c>
      <c r="R563" s="1" t="s">
        <v>102</v>
      </c>
    </row>
    <row r="564" customFormat="false" ht="14.25" hidden="false" customHeight="true" outlineLevel="0" collapsed="false">
      <c r="A564" s="1" t="s">
        <v>2023</v>
      </c>
      <c r="B564" s="1" t="s">
        <v>1221</v>
      </c>
      <c r="C564" s="1" t="s">
        <v>543</v>
      </c>
      <c r="D564" s="1" t="s">
        <v>890</v>
      </c>
      <c r="E564" s="6" t="n">
        <v>46232</v>
      </c>
      <c r="F564" s="6" t="n">
        <v>46228</v>
      </c>
      <c r="G564" s="1" t="s">
        <v>70</v>
      </c>
      <c r="H564" s="1" t="s">
        <v>2024</v>
      </c>
      <c r="I564" s="1" t="s">
        <v>2025</v>
      </c>
      <c r="J564" s="1" t="n">
        <v>38499.19</v>
      </c>
      <c r="K564" s="1" t="n">
        <v>27912.15</v>
      </c>
      <c r="L564" s="1" t="n">
        <v>23839.16</v>
      </c>
      <c r="M564" s="1" t="n">
        <v>4072.99</v>
      </c>
      <c r="N564" s="1" t="s">
        <v>41</v>
      </c>
      <c r="P564" s="1" t="n">
        <v>4</v>
      </c>
      <c r="Q564" s="1" t="s">
        <v>42</v>
      </c>
      <c r="R564" s="1" t="s">
        <v>140</v>
      </c>
      <c r="S564" s="6" t="n">
        <v>46236</v>
      </c>
    </row>
    <row r="565" customFormat="false" ht="14.25" hidden="false" customHeight="true" outlineLevel="0" collapsed="false">
      <c r="A565" s="1" t="s">
        <v>2026</v>
      </c>
      <c r="B565" s="1" t="s">
        <v>1260</v>
      </c>
      <c r="C565" s="1" t="s">
        <v>356</v>
      </c>
      <c r="D565" s="1" t="s">
        <v>387</v>
      </c>
      <c r="E565" s="6" t="n">
        <v>46122</v>
      </c>
      <c r="F565" s="6" t="n">
        <v>46119</v>
      </c>
      <c r="G565" s="1" t="s">
        <v>49</v>
      </c>
      <c r="H565" s="1" t="s">
        <v>2027</v>
      </c>
      <c r="I565" s="1" t="s">
        <v>2028</v>
      </c>
      <c r="J565" s="1" t="n">
        <v>26565.28</v>
      </c>
      <c r="K565" s="1" t="n">
        <v>22799.39</v>
      </c>
      <c r="L565" s="1" t="n">
        <v>19971.21</v>
      </c>
      <c r="M565" s="1" t="n">
        <v>2828.18</v>
      </c>
      <c r="N565" s="1" t="s">
        <v>41</v>
      </c>
      <c r="P565" s="1" t="n">
        <v>6</v>
      </c>
      <c r="Q565" s="1" t="s">
        <v>63</v>
      </c>
      <c r="R565" s="1" t="s">
        <v>54</v>
      </c>
      <c r="S565" s="6" t="n">
        <v>46128</v>
      </c>
    </row>
    <row r="566" customFormat="false" ht="14.25" hidden="false" customHeight="true" outlineLevel="0" collapsed="false">
      <c r="A566" s="1" t="s">
        <v>2029</v>
      </c>
      <c r="B566" s="1" t="s">
        <v>685</v>
      </c>
      <c r="C566" s="1" t="s">
        <v>430</v>
      </c>
      <c r="D566" s="1" t="s">
        <v>881</v>
      </c>
      <c r="E566" s="6" t="n">
        <v>46166</v>
      </c>
      <c r="F566" s="6" t="n">
        <v>46166</v>
      </c>
      <c r="G566" s="1" t="s">
        <v>70</v>
      </c>
      <c r="H566" s="1" t="s">
        <v>2030</v>
      </c>
      <c r="I566" s="1" t="s">
        <v>2031</v>
      </c>
      <c r="J566" s="1" t="n">
        <v>21335.47</v>
      </c>
      <c r="K566" s="1" t="n">
        <v>18706.02</v>
      </c>
      <c r="L566" s="1" t="n">
        <v>0</v>
      </c>
      <c r="M566" s="1" t="n">
        <v>18706.02</v>
      </c>
      <c r="N566" s="1" t="s">
        <v>260</v>
      </c>
      <c r="P566" s="1" t="n">
        <v>5</v>
      </c>
      <c r="Q566" s="1" t="s">
        <v>42</v>
      </c>
      <c r="R566" s="1" t="s">
        <v>102</v>
      </c>
    </row>
    <row r="567" customFormat="false" ht="14.25" hidden="false" customHeight="true" outlineLevel="0" collapsed="false">
      <c r="A567" s="1" t="s">
        <v>2032</v>
      </c>
      <c r="B567" s="1" t="s">
        <v>238</v>
      </c>
      <c r="C567" s="1" t="s">
        <v>436</v>
      </c>
      <c r="D567" s="1" t="s">
        <v>937</v>
      </c>
      <c r="E567" s="6" t="n">
        <v>46039</v>
      </c>
      <c r="F567" s="6" t="n">
        <v>46036</v>
      </c>
      <c r="G567" s="1" t="s">
        <v>70</v>
      </c>
      <c r="H567" s="1" t="s">
        <v>1393</v>
      </c>
      <c r="I567" s="1" t="s">
        <v>2033</v>
      </c>
      <c r="J567" s="1" t="n">
        <v>33668.92</v>
      </c>
      <c r="K567" s="1" t="n">
        <v>26559.47</v>
      </c>
      <c r="L567" s="1" t="n">
        <v>24985.79</v>
      </c>
      <c r="M567" s="1" t="n">
        <v>1573.68</v>
      </c>
      <c r="N567" s="1" t="s">
        <v>41</v>
      </c>
      <c r="P567" s="1" t="n">
        <v>8</v>
      </c>
      <c r="Q567" s="1" t="s">
        <v>63</v>
      </c>
      <c r="R567" s="1" t="s">
        <v>64</v>
      </c>
      <c r="S567" s="6" t="n">
        <v>46047</v>
      </c>
    </row>
    <row r="568" customFormat="false" ht="14.25" hidden="false" customHeight="true" outlineLevel="0" collapsed="false">
      <c r="A568" s="1" t="s">
        <v>2034</v>
      </c>
      <c r="B568" s="1" t="s">
        <v>696</v>
      </c>
      <c r="C568" s="1" t="s">
        <v>233</v>
      </c>
      <c r="D568" s="1" t="s">
        <v>476</v>
      </c>
      <c r="E568" s="6" t="n">
        <v>46049</v>
      </c>
      <c r="F568" s="6" t="n">
        <v>46047</v>
      </c>
      <c r="G568" s="1" t="s">
        <v>49</v>
      </c>
      <c r="H568" s="1" t="s">
        <v>2035</v>
      </c>
      <c r="I568" s="1" t="s">
        <v>2036</v>
      </c>
      <c r="J568" s="1" t="n">
        <v>34684.35</v>
      </c>
      <c r="K568" s="1" t="n">
        <v>31538.28</v>
      </c>
      <c r="L568" s="1" t="n">
        <v>24611.23</v>
      </c>
      <c r="M568" s="1" t="n">
        <v>6927.05</v>
      </c>
      <c r="N568" s="1" t="s">
        <v>41</v>
      </c>
      <c r="P568" s="1" t="n">
        <v>1</v>
      </c>
      <c r="Q568" s="1" t="s">
        <v>42</v>
      </c>
      <c r="R568" s="1" t="s">
        <v>74</v>
      </c>
      <c r="S568" s="6" t="n">
        <v>46050</v>
      </c>
    </row>
    <row r="569" customFormat="false" ht="14.25" hidden="false" customHeight="true" outlineLevel="0" collapsed="false">
      <c r="A569" s="1" t="s">
        <v>2037</v>
      </c>
      <c r="B569" s="1" t="s">
        <v>1232</v>
      </c>
      <c r="C569" s="1" t="s">
        <v>367</v>
      </c>
      <c r="D569" s="1" t="s">
        <v>727</v>
      </c>
      <c r="E569" s="6" t="n">
        <v>46064</v>
      </c>
      <c r="F569" s="6" t="n">
        <v>46062</v>
      </c>
      <c r="G569" s="1" t="s">
        <v>108</v>
      </c>
      <c r="H569" s="1" t="s">
        <v>2038</v>
      </c>
      <c r="I569" s="1" t="s">
        <v>2039</v>
      </c>
      <c r="J569" s="1" t="n">
        <v>36097.53</v>
      </c>
      <c r="K569" s="1" t="n">
        <v>33605.33</v>
      </c>
      <c r="L569" s="1" t="n">
        <v>0</v>
      </c>
      <c r="M569" s="1" t="n">
        <v>33605.33</v>
      </c>
      <c r="N569" s="1" t="s">
        <v>111</v>
      </c>
      <c r="P569" s="1" t="n">
        <v>11</v>
      </c>
      <c r="Q569" s="1" t="s">
        <v>42</v>
      </c>
      <c r="R569" s="1" t="s">
        <v>54</v>
      </c>
    </row>
    <row r="570" customFormat="false" ht="14.25" hidden="false" customHeight="true" outlineLevel="0" collapsed="false">
      <c r="A570" s="1" t="s">
        <v>2040</v>
      </c>
      <c r="B570" s="1" t="s">
        <v>670</v>
      </c>
      <c r="C570" s="1" t="s">
        <v>106</v>
      </c>
      <c r="D570" s="1" t="s">
        <v>1929</v>
      </c>
      <c r="E570" s="6" t="n">
        <v>46087</v>
      </c>
      <c r="F570" s="6" t="n">
        <v>46086</v>
      </c>
      <c r="G570" s="1" t="s">
        <v>38</v>
      </c>
      <c r="H570" s="1" t="s">
        <v>2041</v>
      </c>
      <c r="I570" s="1" t="s">
        <v>2042</v>
      </c>
      <c r="J570" s="1" t="n">
        <v>1720.49</v>
      </c>
      <c r="K570" s="1" t="n">
        <v>1379.39</v>
      </c>
      <c r="L570" s="1" t="n">
        <v>1169.28</v>
      </c>
      <c r="M570" s="1" t="n">
        <v>210.11</v>
      </c>
      <c r="N570" s="1" t="s">
        <v>41</v>
      </c>
      <c r="P570" s="1" t="n">
        <v>2</v>
      </c>
      <c r="Q570" s="1" t="s">
        <v>42</v>
      </c>
      <c r="R570" s="1" t="s">
        <v>102</v>
      </c>
      <c r="S570" s="6" t="n">
        <v>46089</v>
      </c>
    </row>
    <row r="571" customFormat="false" ht="14.25" hidden="false" customHeight="true" outlineLevel="0" collapsed="false">
      <c r="A571" s="1" t="s">
        <v>2043</v>
      </c>
      <c r="B571" s="1" t="s">
        <v>906</v>
      </c>
      <c r="C571" s="1" t="s">
        <v>286</v>
      </c>
      <c r="D571" s="1" t="s">
        <v>705</v>
      </c>
      <c r="E571" s="6" t="n">
        <v>46237</v>
      </c>
      <c r="F571" s="6" t="n">
        <v>46233</v>
      </c>
      <c r="G571" s="1" t="s">
        <v>38</v>
      </c>
      <c r="H571" s="1" t="s">
        <v>2044</v>
      </c>
      <c r="I571" s="1" t="s">
        <v>2045</v>
      </c>
      <c r="J571" s="1" t="n">
        <v>43036.04</v>
      </c>
      <c r="K571" s="1" t="n">
        <v>35941.44</v>
      </c>
      <c r="L571" s="1" t="n">
        <v>0</v>
      </c>
      <c r="M571" s="1" t="n">
        <v>35941.44</v>
      </c>
      <c r="N571" s="1" t="s">
        <v>111</v>
      </c>
      <c r="P571" s="1" t="n">
        <v>10</v>
      </c>
      <c r="Q571" s="1" t="s">
        <v>155</v>
      </c>
      <c r="R571" s="1" t="s">
        <v>64</v>
      </c>
    </row>
    <row r="572" customFormat="false" ht="14.25" hidden="false" customHeight="true" outlineLevel="0" collapsed="false">
      <c r="A572" s="1" t="s">
        <v>2046</v>
      </c>
      <c r="B572" s="1" t="s">
        <v>1043</v>
      </c>
      <c r="C572" s="1" t="s">
        <v>188</v>
      </c>
      <c r="D572" s="1" t="s">
        <v>712</v>
      </c>
      <c r="E572" s="6" t="n">
        <v>46217</v>
      </c>
      <c r="F572" s="6" t="n">
        <v>46212</v>
      </c>
      <c r="G572" s="1" t="s">
        <v>49</v>
      </c>
      <c r="H572" s="1" t="s">
        <v>2047</v>
      </c>
      <c r="I572" s="1" t="s">
        <v>2048</v>
      </c>
      <c r="J572" s="1" t="n">
        <v>24069.84</v>
      </c>
      <c r="K572" s="1" t="n">
        <v>17739.73</v>
      </c>
      <c r="L572" s="1" t="n">
        <v>16265.27</v>
      </c>
      <c r="M572" s="1" t="n">
        <v>1474.46</v>
      </c>
      <c r="N572" s="1" t="s">
        <v>41</v>
      </c>
      <c r="P572" s="1" t="n">
        <v>8</v>
      </c>
      <c r="Q572" s="1" t="s">
        <v>63</v>
      </c>
      <c r="R572" s="1" t="s">
        <v>43</v>
      </c>
      <c r="S572" s="6" t="n">
        <v>46225</v>
      </c>
    </row>
    <row r="573" customFormat="false" ht="14.25" hidden="false" customHeight="true" outlineLevel="0" collapsed="false">
      <c r="A573" s="1" t="s">
        <v>2049</v>
      </c>
      <c r="B573" s="1" t="s">
        <v>569</v>
      </c>
      <c r="C573" s="1" t="s">
        <v>78</v>
      </c>
      <c r="D573" s="1" t="s">
        <v>331</v>
      </c>
      <c r="E573" s="6" t="n">
        <v>46234</v>
      </c>
      <c r="F573" s="6" t="n">
        <v>46231</v>
      </c>
      <c r="G573" s="1" t="s">
        <v>49</v>
      </c>
      <c r="H573" s="1" t="s">
        <v>1085</v>
      </c>
      <c r="I573" s="1" t="s">
        <v>2050</v>
      </c>
      <c r="J573" s="1" t="n">
        <v>14529.4</v>
      </c>
      <c r="K573" s="1" t="n">
        <v>9967.72</v>
      </c>
      <c r="L573" s="1" t="n">
        <v>8446.22</v>
      </c>
      <c r="M573" s="1" t="n">
        <v>1521.5</v>
      </c>
      <c r="N573" s="1" t="s">
        <v>41</v>
      </c>
      <c r="P573" s="1" t="n">
        <v>5</v>
      </c>
      <c r="Q573" s="1" t="s">
        <v>155</v>
      </c>
      <c r="R573" s="1" t="s">
        <v>43</v>
      </c>
      <c r="S573" s="6" t="n">
        <v>46239</v>
      </c>
    </row>
    <row r="574" customFormat="false" ht="14.25" hidden="false" customHeight="true" outlineLevel="0" collapsed="false">
      <c r="A574" s="1" t="s">
        <v>2051</v>
      </c>
      <c r="B574" s="1" t="s">
        <v>850</v>
      </c>
      <c r="C574" s="1" t="s">
        <v>47</v>
      </c>
      <c r="D574" s="1" t="s">
        <v>574</v>
      </c>
      <c r="E574" s="6" t="n">
        <v>46211</v>
      </c>
      <c r="F574" s="6" t="n">
        <v>46208</v>
      </c>
      <c r="G574" s="1" t="s">
        <v>49</v>
      </c>
      <c r="H574" s="1" t="s">
        <v>2052</v>
      </c>
      <c r="I574" s="1" t="s">
        <v>2053</v>
      </c>
      <c r="J574" s="1" t="n">
        <v>49096.81</v>
      </c>
      <c r="K574" s="1" t="n">
        <v>37182.21</v>
      </c>
      <c r="L574" s="1" t="n">
        <v>35842.16</v>
      </c>
      <c r="M574" s="1" t="n">
        <v>1340.05</v>
      </c>
      <c r="N574" s="1" t="s">
        <v>41</v>
      </c>
      <c r="P574" s="1" t="n">
        <v>4</v>
      </c>
      <c r="Q574" s="1" t="s">
        <v>155</v>
      </c>
      <c r="R574" s="1" t="s">
        <v>74</v>
      </c>
      <c r="S574" s="6" t="n">
        <v>46215</v>
      </c>
    </row>
    <row r="575" customFormat="false" ht="14.25" hidden="false" customHeight="true" outlineLevel="0" collapsed="false">
      <c r="A575" s="1" t="s">
        <v>2054</v>
      </c>
      <c r="B575" s="1" t="s">
        <v>1562</v>
      </c>
      <c r="C575" s="1" t="s">
        <v>273</v>
      </c>
      <c r="D575" s="1" t="s">
        <v>933</v>
      </c>
      <c r="E575" s="6" t="n">
        <v>46063</v>
      </c>
      <c r="F575" s="6" t="n">
        <v>46061</v>
      </c>
      <c r="G575" s="1" t="s">
        <v>70</v>
      </c>
      <c r="H575" s="1" t="s">
        <v>525</v>
      </c>
      <c r="I575" s="1" t="s">
        <v>1149</v>
      </c>
      <c r="J575" s="1" t="n">
        <v>28375.81</v>
      </c>
      <c r="K575" s="1" t="n">
        <v>22355.73</v>
      </c>
      <c r="L575" s="1" t="n">
        <v>0</v>
      </c>
      <c r="M575" s="1" t="n">
        <v>22355.73</v>
      </c>
      <c r="N575" s="1" t="s">
        <v>111</v>
      </c>
      <c r="P575" s="1" t="n">
        <v>6</v>
      </c>
      <c r="Q575" s="1" t="s">
        <v>42</v>
      </c>
      <c r="R575" s="1" t="s">
        <v>43</v>
      </c>
    </row>
    <row r="576" customFormat="false" ht="14.25" hidden="false" customHeight="true" outlineLevel="0" collapsed="false">
      <c r="A576" s="1" t="s">
        <v>2055</v>
      </c>
      <c r="B576" s="1" t="s">
        <v>700</v>
      </c>
      <c r="C576" s="1" t="s">
        <v>85</v>
      </c>
      <c r="D576" s="1" t="s">
        <v>984</v>
      </c>
      <c r="E576" s="6" t="n">
        <v>46122</v>
      </c>
      <c r="F576" s="6" t="n">
        <v>46119</v>
      </c>
      <c r="G576" s="1" t="s">
        <v>70</v>
      </c>
      <c r="H576" s="1" t="s">
        <v>1706</v>
      </c>
      <c r="I576" s="1" t="s">
        <v>2056</v>
      </c>
      <c r="J576" s="1" t="n">
        <v>9428.54</v>
      </c>
      <c r="K576" s="1" t="n">
        <v>8132.59</v>
      </c>
      <c r="L576" s="1" t="n">
        <v>0</v>
      </c>
      <c r="M576" s="1" t="n">
        <v>8132.59</v>
      </c>
      <c r="N576" s="1" t="s">
        <v>111</v>
      </c>
      <c r="P576" s="1" t="n">
        <v>12</v>
      </c>
      <c r="Q576" s="1" t="s">
        <v>42</v>
      </c>
      <c r="R576" s="1" t="s">
        <v>64</v>
      </c>
    </row>
    <row r="577" customFormat="false" ht="14.25" hidden="false" customHeight="true" outlineLevel="0" collapsed="false">
      <c r="A577" s="1" t="s">
        <v>2057</v>
      </c>
      <c r="B577" s="1" t="s">
        <v>2058</v>
      </c>
      <c r="C577" s="1" t="s">
        <v>164</v>
      </c>
      <c r="D577" s="1" t="s">
        <v>69</v>
      </c>
      <c r="E577" s="6" t="n">
        <v>46126</v>
      </c>
      <c r="F577" s="6" t="n">
        <v>46126</v>
      </c>
      <c r="G577" s="1" t="s">
        <v>70</v>
      </c>
      <c r="H577" s="1" t="s">
        <v>1590</v>
      </c>
      <c r="I577" s="1" t="s">
        <v>2059</v>
      </c>
      <c r="J577" s="1" t="n">
        <v>42675.54</v>
      </c>
      <c r="K577" s="1" t="n">
        <v>29777.02</v>
      </c>
      <c r="L577" s="1" t="n">
        <v>23051.44</v>
      </c>
      <c r="M577" s="1" t="n">
        <v>6725.58</v>
      </c>
      <c r="N577" s="1" t="s">
        <v>41</v>
      </c>
      <c r="P577" s="1" t="n">
        <v>2</v>
      </c>
      <c r="Q577" s="1" t="s">
        <v>42</v>
      </c>
      <c r="R577" s="1" t="s">
        <v>125</v>
      </c>
      <c r="S577" s="6" t="n">
        <v>46128</v>
      </c>
    </row>
    <row r="578" customFormat="false" ht="14.25" hidden="false" customHeight="true" outlineLevel="0" collapsed="false">
      <c r="A578" s="1" t="s">
        <v>2060</v>
      </c>
      <c r="B578" s="1" t="s">
        <v>869</v>
      </c>
      <c r="C578" s="1" t="s">
        <v>516</v>
      </c>
      <c r="D578" s="1" t="s">
        <v>336</v>
      </c>
      <c r="E578" s="6" t="n">
        <v>46083</v>
      </c>
      <c r="F578" s="6" t="n">
        <v>46083</v>
      </c>
      <c r="G578" s="1" t="s">
        <v>108</v>
      </c>
      <c r="H578" s="1" t="s">
        <v>348</v>
      </c>
      <c r="I578" s="1" t="s">
        <v>2061</v>
      </c>
      <c r="J578" s="1" t="n">
        <v>9112.9</v>
      </c>
      <c r="K578" s="1" t="n">
        <v>8363.29</v>
      </c>
      <c r="L578" s="1" t="n">
        <v>0</v>
      </c>
      <c r="M578" s="1" t="n">
        <v>8363.29</v>
      </c>
      <c r="N578" s="1" t="s">
        <v>52</v>
      </c>
      <c r="O578" s="1" t="s">
        <v>53</v>
      </c>
      <c r="P578" s="1" t="n">
        <v>7</v>
      </c>
      <c r="Q578" s="1" t="s">
        <v>63</v>
      </c>
      <c r="R578" s="1" t="s">
        <v>125</v>
      </c>
    </row>
    <row r="579" customFormat="false" ht="14.25" hidden="false" customHeight="true" outlineLevel="0" collapsed="false">
      <c r="A579" s="1" t="s">
        <v>2062</v>
      </c>
      <c r="B579" s="1" t="s">
        <v>351</v>
      </c>
      <c r="C579" s="1" t="s">
        <v>335</v>
      </c>
      <c r="D579" s="1" t="s">
        <v>165</v>
      </c>
      <c r="E579" s="6" t="n">
        <v>46122</v>
      </c>
      <c r="F579" s="6" t="n">
        <v>46118</v>
      </c>
      <c r="G579" s="1" t="s">
        <v>38</v>
      </c>
      <c r="H579" s="1" t="s">
        <v>539</v>
      </c>
      <c r="I579" s="1" t="s">
        <v>2063</v>
      </c>
      <c r="J579" s="1" t="n">
        <v>1958.24</v>
      </c>
      <c r="K579" s="1" t="n">
        <v>1375.12</v>
      </c>
      <c r="L579" s="1" t="n">
        <v>0</v>
      </c>
      <c r="M579" s="1" t="n">
        <v>1375.12</v>
      </c>
      <c r="N579" s="1" t="s">
        <v>111</v>
      </c>
      <c r="P579" s="1" t="n">
        <v>5</v>
      </c>
      <c r="Q579" s="1" t="s">
        <v>63</v>
      </c>
      <c r="R579" s="1" t="s">
        <v>43</v>
      </c>
    </row>
    <row r="580" customFormat="false" ht="14.25" hidden="false" customHeight="true" outlineLevel="0" collapsed="false">
      <c r="A580" s="1" t="s">
        <v>2064</v>
      </c>
      <c r="B580" s="1" t="s">
        <v>716</v>
      </c>
      <c r="C580" s="1" t="s">
        <v>430</v>
      </c>
      <c r="D580" s="1" t="s">
        <v>1166</v>
      </c>
      <c r="E580" s="6" t="n">
        <v>46198</v>
      </c>
      <c r="F580" s="6" t="n">
        <v>46196</v>
      </c>
      <c r="G580" s="1" t="s">
        <v>108</v>
      </c>
      <c r="H580" s="1" t="s">
        <v>1793</v>
      </c>
      <c r="I580" s="1" t="s">
        <v>2065</v>
      </c>
      <c r="J580" s="1" t="n">
        <v>37236.62</v>
      </c>
      <c r="K580" s="1" t="n">
        <v>29052.71</v>
      </c>
      <c r="L580" s="1" t="n">
        <v>25628.34</v>
      </c>
      <c r="M580" s="1" t="n">
        <v>3424.37</v>
      </c>
      <c r="N580" s="1" t="s">
        <v>41</v>
      </c>
      <c r="P580" s="1" t="n">
        <v>4</v>
      </c>
      <c r="Q580" s="1" t="s">
        <v>155</v>
      </c>
      <c r="R580" s="1" t="s">
        <v>54</v>
      </c>
      <c r="S580" s="6" t="n">
        <v>46202</v>
      </c>
    </row>
    <row r="581" customFormat="false" ht="14.25" hidden="false" customHeight="true" outlineLevel="0" collapsed="false">
      <c r="A581" s="1" t="s">
        <v>2066</v>
      </c>
      <c r="B581" s="1" t="s">
        <v>752</v>
      </c>
      <c r="C581" s="1" t="s">
        <v>510</v>
      </c>
      <c r="D581" s="1" t="s">
        <v>511</v>
      </c>
      <c r="E581" s="6" t="n">
        <v>46118</v>
      </c>
      <c r="F581" s="6" t="n">
        <v>46115</v>
      </c>
      <c r="G581" s="1" t="s">
        <v>49</v>
      </c>
      <c r="H581" s="1" t="s">
        <v>2067</v>
      </c>
      <c r="I581" s="1" t="s">
        <v>2068</v>
      </c>
      <c r="J581" s="1" t="n">
        <v>43292.31</v>
      </c>
      <c r="K581" s="1" t="n">
        <v>32565.06</v>
      </c>
      <c r="L581" s="1" t="n">
        <v>29979.08</v>
      </c>
      <c r="M581" s="1" t="n">
        <v>2585.98</v>
      </c>
      <c r="N581" s="1" t="s">
        <v>41</v>
      </c>
      <c r="P581" s="1" t="n">
        <v>8</v>
      </c>
      <c r="Q581" s="1" t="s">
        <v>63</v>
      </c>
      <c r="R581" s="1" t="s">
        <v>64</v>
      </c>
      <c r="S581" s="6" t="n">
        <v>46126</v>
      </c>
    </row>
    <row r="582" customFormat="false" ht="14.25" hidden="false" customHeight="true" outlineLevel="0" collapsed="false">
      <c r="A582" s="1" t="s">
        <v>2069</v>
      </c>
      <c r="B582" s="1" t="s">
        <v>586</v>
      </c>
      <c r="C582" s="1" t="s">
        <v>158</v>
      </c>
      <c r="D582" s="1" t="s">
        <v>234</v>
      </c>
      <c r="E582" s="6" t="n">
        <v>46167</v>
      </c>
      <c r="F582" s="6" t="n">
        <v>46166</v>
      </c>
      <c r="G582" s="1" t="s">
        <v>70</v>
      </c>
      <c r="H582" s="1" t="s">
        <v>1324</v>
      </c>
      <c r="I582" s="1" t="s">
        <v>2070</v>
      </c>
      <c r="J582" s="1" t="n">
        <v>22224.46</v>
      </c>
      <c r="K582" s="1" t="n">
        <v>18616.12</v>
      </c>
      <c r="L582" s="1" t="n">
        <v>0</v>
      </c>
      <c r="M582" s="1" t="n">
        <v>18616.12</v>
      </c>
      <c r="N582" s="1" t="s">
        <v>52</v>
      </c>
      <c r="O582" s="1" t="s">
        <v>73</v>
      </c>
      <c r="P582" s="1" t="n">
        <v>2</v>
      </c>
      <c r="Q582" s="1" t="s">
        <v>63</v>
      </c>
      <c r="R582" s="1" t="s">
        <v>140</v>
      </c>
    </row>
    <row r="583" customFormat="false" ht="14.25" hidden="false" customHeight="true" outlineLevel="0" collapsed="false">
      <c r="A583" s="1" t="s">
        <v>2071</v>
      </c>
      <c r="B583" s="1" t="s">
        <v>606</v>
      </c>
      <c r="C583" s="1" t="s">
        <v>47</v>
      </c>
      <c r="D583" s="1" t="s">
        <v>291</v>
      </c>
      <c r="E583" s="6" t="n">
        <v>46040</v>
      </c>
      <c r="F583" s="6" t="n">
        <v>46036</v>
      </c>
      <c r="G583" s="1" t="s">
        <v>108</v>
      </c>
      <c r="H583" s="1" t="s">
        <v>2072</v>
      </c>
      <c r="I583" s="1" t="s">
        <v>2073</v>
      </c>
      <c r="J583" s="1" t="n">
        <v>1615.85</v>
      </c>
      <c r="K583" s="1" t="n">
        <v>1448.45</v>
      </c>
      <c r="L583" s="1" t="n">
        <v>1191.31</v>
      </c>
      <c r="M583" s="1" t="n">
        <v>257.14</v>
      </c>
      <c r="N583" s="1" t="s">
        <v>41</v>
      </c>
      <c r="P583" s="1" t="n">
        <v>5</v>
      </c>
      <c r="Q583" s="1" t="s">
        <v>63</v>
      </c>
      <c r="R583" s="1" t="s">
        <v>54</v>
      </c>
      <c r="S583" s="6" t="n">
        <v>46045</v>
      </c>
    </row>
    <row r="584" customFormat="false" ht="14.25" hidden="false" customHeight="true" outlineLevel="0" collapsed="false">
      <c r="A584" s="1" t="s">
        <v>2074</v>
      </c>
      <c r="B584" s="1" t="s">
        <v>2075</v>
      </c>
      <c r="C584" s="1" t="s">
        <v>221</v>
      </c>
      <c r="D584" s="1" t="s">
        <v>501</v>
      </c>
      <c r="E584" s="6" t="n">
        <v>46163</v>
      </c>
      <c r="F584" s="6" t="n">
        <v>46159</v>
      </c>
      <c r="G584" s="1" t="s">
        <v>49</v>
      </c>
      <c r="H584" s="1" t="s">
        <v>2076</v>
      </c>
      <c r="I584" s="1" t="s">
        <v>2077</v>
      </c>
      <c r="J584" s="1" t="n">
        <v>26129.11</v>
      </c>
      <c r="K584" s="1" t="n">
        <v>21775.33</v>
      </c>
      <c r="L584" s="1" t="n">
        <v>18031.28</v>
      </c>
      <c r="M584" s="1" t="n">
        <v>3744.05</v>
      </c>
      <c r="N584" s="1" t="s">
        <v>41</v>
      </c>
      <c r="P584" s="1" t="n">
        <v>1</v>
      </c>
      <c r="Q584" s="1" t="s">
        <v>155</v>
      </c>
      <c r="R584" s="1" t="s">
        <v>102</v>
      </c>
      <c r="S584" s="6" t="n">
        <v>46164</v>
      </c>
    </row>
    <row r="585" customFormat="false" ht="14.25" hidden="false" customHeight="true" outlineLevel="0" collapsed="false">
      <c r="A585" s="1" t="s">
        <v>2078</v>
      </c>
      <c r="B585" s="1" t="s">
        <v>869</v>
      </c>
      <c r="C585" s="1" t="s">
        <v>198</v>
      </c>
      <c r="D585" s="1" t="s">
        <v>1128</v>
      </c>
      <c r="E585" s="6" t="n">
        <v>46132</v>
      </c>
      <c r="F585" s="6" t="n">
        <v>46130</v>
      </c>
      <c r="G585" s="1" t="s">
        <v>108</v>
      </c>
      <c r="H585" s="1" t="s">
        <v>1862</v>
      </c>
      <c r="I585" s="1" t="s">
        <v>2079</v>
      </c>
      <c r="J585" s="1" t="n">
        <v>44457.39</v>
      </c>
      <c r="K585" s="1" t="n">
        <v>29689.43</v>
      </c>
      <c r="L585" s="1" t="n">
        <v>23782.97</v>
      </c>
      <c r="M585" s="1" t="n">
        <v>5906.46</v>
      </c>
      <c r="N585" s="1" t="s">
        <v>41</v>
      </c>
      <c r="P585" s="1" t="n">
        <v>6</v>
      </c>
      <c r="Q585" s="1" t="s">
        <v>63</v>
      </c>
      <c r="R585" s="1" t="s">
        <v>54</v>
      </c>
      <c r="S585" s="6" t="n">
        <v>46138</v>
      </c>
    </row>
    <row r="586" customFormat="false" ht="14.25" hidden="false" customHeight="true" outlineLevel="0" collapsed="false">
      <c r="A586" s="1" t="s">
        <v>2080</v>
      </c>
      <c r="B586" s="1" t="s">
        <v>1528</v>
      </c>
      <c r="C586" s="1" t="s">
        <v>144</v>
      </c>
      <c r="D586" s="1" t="s">
        <v>222</v>
      </c>
      <c r="E586" s="6" t="n">
        <v>46133</v>
      </c>
      <c r="F586" s="6" t="n">
        <v>46129</v>
      </c>
      <c r="G586" s="1" t="s">
        <v>108</v>
      </c>
      <c r="H586" s="1" t="s">
        <v>2081</v>
      </c>
      <c r="I586" s="1" t="s">
        <v>2082</v>
      </c>
      <c r="J586" s="1" t="n">
        <v>46503.5</v>
      </c>
      <c r="K586" s="1" t="n">
        <v>42609.09</v>
      </c>
      <c r="L586" s="1" t="n">
        <v>0</v>
      </c>
      <c r="M586" s="1" t="n">
        <v>42609.09</v>
      </c>
      <c r="N586" s="1" t="s">
        <v>111</v>
      </c>
      <c r="P586" s="1" t="n">
        <v>11</v>
      </c>
      <c r="Q586" s="1" t="s">
        <v>63</v>
      </c>
      <c r="R586" s="1" t="s">
        <v>64</v>
      </c>
    </row>
    <row r="587" customFormat="false" ht="14.25" hidden="false" customHeight="true" outlineLevel="0" collapsed="false">
      <c r="A587" s="1" t="s">
        <v>2083</v>
      </c>
      <c r="B587" s="1" t="s">
        <v>181</v>
      </c>
      <c r="C587" s="1" t="s">
        <v>182</v>
      </c>
      <c r="D587" s="1" t="s">
        <v>1166</v>
      </c>
      <c r="E587" s="6" t="n">
        <v>46085</v>
      </c>
      <c r="F587" s="6" t="n">
        <v>46080</v>
      </c>
      <c r="G587" s="1" t="s">
        <v>38</v>
      </c>
      <c r="H587" s="1" t="s">
        <v>1301</v>
      </c>
      <c r="I587" s="1" t="s">
        <v>2084</v>
      </c>
      <c r="J587" s="1" t="n">
        <v>24140.83</v>
      </c>
      <c r="K587" s="1" t="n">
        <v>21351.66</v>
      </c>
      <c r="L587" s="1" t="n">
        <v>20692.16</v>
      </c>
      <c r="M587" s="1" t="n">
        <v>659.5</v>
      </c>
      <c r="N587" s="1" t="s">
        <v>41</v>
      </c>
      <c r="P587" s="1" t="n">
        <v>4</v>
      </c>
      <c r="Q587" s="1" t="s">
        <v>42</v>
      </c>
      <c r="R587" s="1" t="s">
        <v>74</v>
      </c>
      <c r="S587" s="6" t="n">
        <v>46089</v>
      </c>
    </row>
    <row r="588" customFormat="false" ht="14.25" hidden="false" customHeight="true" outlineLevel="0" collapsed="false">
      <c r="A588" s="1" t="s">
        <v>2085</v>
      </c>
      <c r="B588" s="1" t="s">
        <v>2086</v>
      </c>
      <c r="C588" s="1" t="s">
        <v>468</v>
      </c>
      <c r="D588" s="1" t="s">
        <v>165</v>
      </c>
      <c r="E588" s="6" t="n">
        <v>46211</v>
      </c>
      <c r="F588" s="6" t="n">
        <v>46211</v>
      </c>
      <c r="G588" s="1" t="s">
        <v>108</v>
      </c>
      <c r="H588" s="1" t="s">
        <v>2087</v>
      </c>
      <c r="I588" s="1" t="s">
        <v>2088</v>
      </c>
      <c r="J588" s="1" t="n">
        <v>3080.95</v>
      </c>
      <c r="K588" s="1" t="n">
        <v>2710.33</v>
      </c>
      <c r="L588" s="1" t="n">
        <v>2503.97</v>
      </c>
      <c r="M588" s="1" t="n">
        <v>206.36</v>
      </c>
      <c r="N588" s="1" t="s">
        <v>41</v>
      </c>
      <c r="P588" s="1" t="n">
        <v>7</v>
      </c>
      <c r="Q588" s="1" t="s">
        <v>42</v>
      </c>
      <c r="R588" s="1" t="s">
        <v>102</v>
      </c>
      <c r="S588" s="6" t="n">
        <v>46218</v>
      </c>
    </row>
    <row r="589" customFormat="false" ht="14.25" hidden="false" customHeight="true" outlineLevel="0" collapsed="false">
      <c r="A589" s="1" t="s">
        <v>2089</v>
      </c>
      <c r="B589" s="1" t="s">
        <v>1343</v>
      </c>
      <c r="C589" s="1" t="s">
        <v>136</v>
      </c>
      <c r="D589" s="1" t="s">
        <v>268</v>
      </c>
      <c r="E589" s="6" t="n">
        <v>46114</v>
      </c>
      <c r="F589" s="6" t="n">
        <v>46113</v>
      </c>
      <c r="G589" s="1" t="s">
        <v>108</v>
      </c>
      <c r="H589" s="1" t="s">
        <v>2090</v>
      </c>
      <c r="I589" s="1" t="s">
        <v>1863</v>
      </c>
      <c r="J589" s="1" t="n">
        <v>45944.4</v>
      </c>
      <c r="K589" s="1" t="n">
        <v>33146.64</v>
      </c>
      <c r="L589" s="1" t="n">
        <v>25622.28</v>
      </c>
      <c r="M589" s="1" t="n">
        <v>7524.36</v>
      </c>
      <c r="N589" s="1" t="s">
        <v>41</v>
      </c>
      <c r="P589" s="1" t="n">
        <v>1</v>
      </c>
      <c r="Q589" s="1" t="s">
        <v>42</v>
      </c>
      <c r="R589" s="1" t="s">
        <v>140</v>
      </c>
      <c r="S589" s="6" t="n">
        <v>46115</v>
      </c>
    </row>
    <row r="590" customFormat="false" ht="14.25" hidden="false" customHeight="true" outlineLevel="0" collapsed="false">
      <c r="A590" s="1" t="s">
        <v>2091</v>
      </c>
      <c r="B590" s="1" t="s">
        <v>1421</v>
      </c>
      <c r="C590" s="1" t="s">
        <v>376</v>
      </c>
      <c r="D590" s="1" t="s">
        <v>984</v>
      </c>
      <c r="E590" s="6" t="n">
        <v>46231</v>
      </c>
      <c r="F590" s="6" t="n">
        <v>46231</v>
      </c>
      <c r="G590" s="1" t="s">
        <v>49</v>
      </c>
      <c r="H590" s="1" t="s">
        <v>2092</v>
      </c>
      <c r="I590" s="1" t="s">
        <v>2093</v>
      </c>
      <c r="J590" s="1" t="n">
        <v>6772.44</v>
      </c>
      <c r="K590" s="1" t="n">
        <v>4769</v>
      </c>
      <c r="L590" s="1" t="n">
        <v>3628.87</v>
      </c>
      <c r="M590" s="1" t="n">
        <v>1140.13</v>
      </c>
      <c r="N590" s="1" t="s">
        <v>41</v>
      </c>
      <c r="P590" s="1" t="n">
        <v>6</v>
      </c>
      <c r="Q590" s="1" t="s">
        <v>42</v>
      </c>
      <c r="R590" s="1" t="s">
        <v>54</v>
      </c>
      <c r="S590" s="6" t="n">
        <v>46237</v>
      </c>
    </row>
    <row r="591" customFormat="false" ht="14.25" hidden="false" customHeight="true" outlineLevel="0" collapsed="false">
      <c r="A591" s="1" t="s">
        <v>2094</v>
      </c>
      <c r="B591" s="1" t="s">
        <v>1132</v>
      </c>
      <c r="C591" s="1" t="s">
        <v>47</v>
      </c>
      <c r="D591" s="1" t="s">
        <v>116</v>
      </c>
      <c r="E591" s="6" t="n">
        <v>46044</v>
      </c>
      <c r="F591" s="6" t="n">
        <v>46042</v>
      </c>
      <c r="G591" s="1" t="s">
        <v>70</v>
      </c>
      <c r="H591" s="1" t="s">
        <v>1973</v>
      </c>
      <c r="I591" s="1" t="s">
        <v>2095</v>
      </c>
      <c r="J591" s="1" t="n">
        <v>10690.12</v>
      </c>
      <c r="K591" s="1" t="n">
        <v>9210.36</v>
      </c>
      <c r="L591" s="1" t="n">
        <v>0</v>
      </c>
      <c r="M591" s="1" t="n">
        <v>9210.36</v>
      </c>
      <c r="N591" s="1" t="s">
        <v>52</v>
      </c>
      <c r="O591" s="1" t="s">
        <v>265</v>
      </c>
      <c r="P591" s="1" t="n">
        <v>6</v>
      </c>
      <c r="Q591" s="1" t="s">
        <v>42</v>
      </c>
      <c r="R591" s="1" t="s">
        <v>140</v>
      </c>
    </row>
    <row r="592" customFormat="false" ht="14.25" hidden="false" customHeight="true" outlineLevel="0" collapsed="false">
      <c r="A592" s="1" t="s">
        <v>2096</v>
      </c>
      <c r="B592" s="1" t="s">
        <v>1201</v>
      </c>
      <c r="C592" s="1" t="s">
        <v>144</v>
      </c>
      <c r="D592" s="1" t="s">
        <v>890</v>
      </c>
      <c r="E592" s="6" t="n">
        <v>46159</v>
      </c>
      <c r="F592" s="6" t="n">
        <v>46157</v>
      </c>
      <c r="G592" s="1" t="s">
        <v>38</v>
      </c>
      <c r="H592" s="1" t="s">
        <v>2097</v>
      </c>
      <c r="I592" s="1" t="s">
        <v>560</v>
      </c>
      <c r="J592" s="1" t="n">
        <v>27300.25</v>
      </c>
      <c r="K592" s="1" t="n">
        <v>18600.03</v>
      </c>
      <c r="L592" s="1" t="n">
        <v>15561.88</v>
      </c>
      <c r="M592" s="1" t="n">
        <v>3038.15</v>
      </c>
      <c r="N592" s="1" t="s">
        <v>41</v>
      </c>
      <c r="P592" s="1" t="n">
        <v>7</v>
      </c>
      <c r="Q592" s="1" t="s">
        <v>155</v>
      </c>
      <c r="R592" s="1" t="s">
        <v>102</v>
      </c>
      <c r="S592" s="6" t="n">
        <v>46166</v>
      </c>
    </row>
    <row r="593" customFormat="false" ht="14.25" hidden="false" customHeight="true" outlineLevel="0" collapsed="false">
      <c r="A593" s="1" t="s">
        <v>2098</v>
      </c>
      <c r="B593" s="1" t="s">
        <v>2099</v>
      </c>
      <c r="C593" s="1" t="s">
        <v>78</v>
      </c>
      <c r="D593" s="1" t="s">
        <v>208</v>
      </c>
      <c r="E593" s="6" t="n">
        <v>46216</v>
      </c>
      <c r="F593" s="6" t="n">
        <v>46212</v>
      </c>
      <c r="G593" s="1" t="s">
        <v>49</v>
      </c>
      <c r="H593" s="1" t="s">
        <v>1889</v>
      </c>
      <c r="I593" s="1" t="s">
        <v>2100</v>
      </c>
      <c r="J593" s="1" t="n">
        <v>18933.3</v>
      </c>
      <c r="K593" s="1" t="n">
        <v>16943.67</v>
      </c>
      <c r="L593" s="1" t="n">
        <v>13309.09</v>
      </c>
      <c r="M593" s="1" t="n">
        <v>3634.58</v>
      </c>
      <c r="N593" s="1" t="s">
        <v>41</v>
      </c>
      <c r="P593" s="1" t="n">
        <v>4</v>
      </c>
      <c r="Q593" s="1" t="s">
        <v>63</v>
      </c>
      <c r="R593" s="1" t="s">
        <v>125</v>
      </c>
      <c r="S593" s="6" t="n">
        <v>46220</v>
      </c>
    </row>
    <row r="594" customFormat="false" ht="14.25" hidden="false" customHeight="true" outlineLevel="0" collapsed="false">
      <c r="A594" s="1" t="s">
        <v>2101</v>
      </c>
      <c r="B594" s="1" t="s">
        <v>150</v>
      </c>
      <c r="C594" s="1" t="s">
        <v>900</v>
      </c>
      <c r="D594" s="1" t="s">
        <v>705</v>
      </c>
      <c r="E594" s="6" t="n">
        <v>46033</v>
      </c>
      <c r="F594" s="6" t="n">
        <v>46031</v>
      </c>
      <c r="G594" s="1" t="s">
        <v>49</v>
      </c>
      <c r="H594" s="1" t="s">
        <v>2102</v>
      </c>
      <c r="I594" s="1" t="s">
        <v>2103</v>
      </c>
      <c r="J594" s="1" t="n">
        <v>19516.74</v>
      </c>
      <c r="K594" s="1" t="n">
        <v>17529.03</v>
      </c>
      <c r="L594" s="1" t="n">
        <v>13517.04</v>
      </c>
      <c r="M594" s="1" t="n">
        <v>4011.99</v>
      </c>
      <c r="N594" s="1" t="s">
        <v>41</v>
      </c>
      <c r="P594" s="1" t="n">
        <v>5</v>
      </c>
      <c r="Q594" s="1" t="s">
        <v>155</v>
      </c>
      <c r="R594" s="1" t="s">
        <v>140</v>
      </c>
      <c r="S594" s="6" t="n">
        <v>46038</v>
      </c>
    </row>
    <row r="595" customFormat="false" ht="14.25" hidden="false" customHeight="true" outlineLevel="0" collapsed="false">
      <c r="A595" s="1" t="s">
        <v>2104</v>
      </c>
      <c r="B595" s="1" t="s">
        <v>1276</v>
      </c>
      <c r="C595" s="1" t="s">
        <v>446</v>
      </c>
      <c r="D595" s="1" t="s">
        <v>1029</v>
      </c>
      <c r="E595" s="6" t="n">
        <v>46078</v>
      </c>
      <c r="F595" s="6" t="n">
        <v>46075</v>
      </c>
      <c r="G595" s="1" t="s">
        <v>70</v>
      </c>
      <c r="H595" s="1" t="s">
        <v>1911</v>
      </c>
      <c r="I595" s="1" t="s">
        <v>2105</v>
      </c>
      <c r="J595" s="1" t="n">
        <v>21838.71</v>
      </c>
      <c r="K595" s="1" t="n">
        <v>14537.55</v>
      </c>
      <c r="L595" s="1" t="n">
        <v>12012.19</v>
      </c>
      <c r="M595" s="1" t="n">
        <v>2525.36</v>
      </c>
      <c r="N595" s="1" t="s">
        <v>41</v>
      </c>
      <c r="P595" s="1" t="n">
        <v>6</v>
      </c>
      <c r="Q595" s="1" t="s">
        <v>42</v>
      </c>
      <c r="R595" s="1" t="s">
        <v>140</v>
      </c>
      <c r="S595" s="6" t="n">
        <v>46084</v>
      </c>
    </row>
    <row r="596" customFormat="false" ht="14.25" hidden="false" customHeight="true" outlineLevel="0" collapsed="false">
      <c r="A596" s="1" t="s">
        <v>2106</v>
      </c>
      <c r="B596" s="1" t="s">
        <v>272</v>
      </c>
      <c r="C596" s="1" t="s">
        <v>468</v>
      </c>
      <c r="D596" s="1" t="s">
        <v>107</v>
      </c>
      <c r="E596" s="6" t="n">
        <v>46216</v>
      </c>
      <c r="F596" s="6" t="n">
        <v>46216</v>
      </c>
      <c r="G596" s="1" t="s">
        <v>70</v>
      </c>
      <c r="H596" s="1" t="s">
        <v>2107</v>
      </c>
      <c r="I596" s="1" t="s">
        <v>2108</v>
      </c>
      <c r="J596" s="1" t="n">
        <v>41547.35</v>
      </c>
      <c r="K596" s="1" t="n">
        <v>32416.19</v>
      </c>
      <c r="L596" s="1" t="n">
        <v>27777.02</v>
      </c>
      <c r="M596" s="1" t="n">
        <v>4639.17</v>
      </c>
      <c r="N596" s="1" t="s">
        <v>41</v>
      </c>
      <c r="P596" s="1" t="n">
        <v>1</v>
      </c>
      <c r="Q596" s="1" t="s">
        <v>63</v>
      </c>
      <c r="R596" s="1" t="s">
        <v>43</v>
      </c>
      <c r="S596" s="6" t="n">
        <v>46217</v>
      </c>
    </row>
    <row r="597" customFormat="false" ht="14.25" hidden="false" customHeight="true" outlineLevel="0" collapsed="false">
      <c r="A597" s="1" t="s">
        <v>2109</v>
      </c>
      <c r="B597" s="1" t="s">
        <v>220</v>
      </c>
      <c r="C597" s="1" t="s">
        <v>151</v>
      </c>
      <c r="D597" s="1" t="s">
        <v>712</v>
      </c>
      <c r="E597" s="6" t="n">
        <v>46174</v>
      </c>
      <c r="F597" s="6" t="n">
        <v>46169</v>
      </c>
      <c r="G597" s="1" t="s">
        <v>70</v>
      </c>
      <c r="H597" s="1" t="s">
        <v>1340</v>
      </c>
      <c r="I597" s="1" t="s">
        <v>2110</v>
      </c>
      <c r="J597" s="1" t="n">
        <v>26186.19</v>
      </c>
      <c r="K597" s="1" t="n">
        <v>18297.98</v>
      </c>
      <c r="L597" s="1" t="n">
        <v>15467.7</v>
      </c>
      <c r="M597" s="1" t="n">
        <v>2830.28</v>
      </c>
      <c r="N597" s="1" t="s">
        <v>41</v>
      </c>
      <c r="P597" s="1" t="n">
        <v>4</v>
      </c>
      <c r="Q597" s="1" t="s">
        <v>42</v>
      </c>
      <c r="R597" s="1" t="s">
        <v>102</v>
      </c>
      <c r="S597" s="6" t="n">
        <v>46178</v>
      </c>
    </row>
    <row r="598" customFormat="false" ht="14.25" hidden="false" customHeight="true" outlineLevel="0" collapsed="false">
      <c r="A598" s="1" t="s">
        <v>2111</v>
      </c>
      <c r="B598" s="1" t="s">
        <v>764</v>
      </c>
      <c r="C598" s="1" t="s">
        <v>543</v>
      </c>
      <c r="D598" s="1" t="s">
        <v>137</v>
      </c>
      <c r="E598" s="6" t="n">
        <v>46113</v>
      </c>
      <c r="F598" s="6" t="n">
        <v>46109</v>
      </c>
      <c r="G598" s="1" t="s">
        <v>70</v>
      </c>
      <c r="H598" s="1" t="s">
        <v>2112</v>
      </c>
      <c r="I598" s="1" t="s">
        <v>2113</v>
      </c>
      <c r="J598" s="1" t="n">
        <v>30969.59</v>
      </c>
      <c r="K598" s="1" t="n">
        <v>23490.7</v>
      </c>
      <c r="L598" s="1" t="n">
        <v>21489.47</v>
      </c>
      <c r="M598" s="1" t="n">
        <v>2001.23</v>
      </c>
      <c r="N598" s="1" t="s">
        <v>41</v>
      </c>
      <c r="P598" s="1" t="n">
        <v>1</v>
      </c>
      <c r="Q598" s="1" t="s">
        <v>155</v>
      </c>
      <c r="R598" s="1" t="s">
        <v>43</v>
      </c>
      <c r="S598" s="6" t="n">
        <v>46114</v>
      </c>
    </row>
    <row r="599" customFormat="false" ht="14.25" hidden="false" customHeight="true" outlineLevel="0" collapsed="false">
      <c r="A599" s="1" t="s">
        <v>2114</v>
      </c>
      <c r="B599" s="1" t="s">
        <v>1387</v>
      </c>
      <c r="C599" s="1" t="s">
        <v>182</v>
      </c>
      <c r="D599" s="1" t="s">
        <v>280</v>
      </c>
      <c r="E599" s="6" t="n">
        <v>46141</v>
      </c>
      <c r="F599" s="6" t="n">
        <v>46141</v>
      </c>
      <c r="G599" s="1" t="s">
        <v>108</v>
      </c>
      <c r="H599" s="1" t="s">
        <v>990</v>
      </c>
      <c r="I599" s="1" t="s">
        <v>2115</v>
      </c>
      <c r="J599" s="1" t="n">
        <v>23588.76</v>
      </c>
      <c r="K599" s="1" t="n">
        <v>22167.91</v>
      </c>
      <c r="L599" s="1" t="n">
        <v>19287.23</v>
      </c>
      <c r="M599" s="1" t="n">
        <v>2880.68</v>
      </c>
      <c r="N599" s="1" t="s">
        <v>41</v>
      </c>
      <c r="P599" s="1" t="n">
        <v>4</v>
      </c>
      <c r="Q599" s="1" t="s">
        <v>155</v>
      </c>
      <c r="R599" s="1" t="s">
        <v>43</v>
      </c>
      <c r="S599" s="6" t="n">
        <v>46145</v>
      </c>
    </row>
    <row r="600" customFormat="false" ht="14.25" hidden="false" customHeight="true" outlineLevel="0" collapsed="false">
      <c r="A600" s="1" t="s">
        <v>2116</v>
      </c>
      <c r="B600" s="1" t="s">
        <v>1327</v>
      </c>
      <c r="C600" s="1" t="s">
        <v>296</v>
      </c>
      <c r="D600" s="1" t="s">
        <v>382</v>
      </c>
      <c r="E600" s="6" t="n">
        <v>46071</v>
      </c>
      <c r="F600" s="6" t="n">
        <v>46069</v>
      </c>
      <c r="G600" s="1" t="s">
        <v>108</v>
      </c>
      <c r="H600" s="1" t="s">
        <v>2117</v>
      </c>
      <c r="I600" s="1" t="s">
        <v>2118</v>
      </c>
      <c r="J600" s="1" t="n">
        <v>14169.14</v>
      </c>
      <c r="K600" s="1" t="n">
        <v>12904.07</v>
      </c>
      <c r="L600" s="1" t="n">
        <v>0</v>
      </c>
      <c r="M600" s="1" t="n">
        <v>12904.07</v>
      </c>
      <c r="N600" s="1" t="s">
        <v>52</v>
      </c>
      <c r="O600" s="1" t="s">
        <v>265</v>
      </c>
      <c r="P600" s="1" t="n">
        <v>3</v>
      </c>
      <c r="Q600" s="1" t="s">
        <v>42</v>
      </c>
      <c r="R600" s="1" t="s">
        <v>54</v>
      </c>
    </row>
    <row r="601" customFormat="false" ht="14.25" hidden="false" customHeight="true" outlineLevel="0" collapsed="false">
      <c r="A601" s="1" t="s">
        <v>2119</v>
      </c>
      <c r="B601" s="1" t="s">
        <v>869</v>
      </c>
      <c r="C601" s="1" t="s">
        <v>47</v>
      </c>
      <c r="D601" s="1" t="s">
        <v>396</v>
      </c>
      <c r="E601" s="6" t="n">
        <v>46075</v>
      </c>
      <c r="F601" s="6" t="n">
        <v>46070</v>
      </c>
      <c r="G601" s="1" t="s">
        <v>70</v>
      </c>
      <c r="H601" s="1" t="s">
        <v>1022</v>
      </c>
      <c r="I601" s="1" t="s">
        <v>2120</v>
      </c>
      <c r="J601" s="1" t="n">
        <v>22295.29</v>
      </c>
      <c r="K601" s="1" t="n">
        <v>16614.46</v>
      </c>
      <c r="L601" s="1" t="n">
        <v>14759.49</v>
      </c>
      <c r="M601" s="1" t="n">
        <v>1854.97</v>
      </c>
      <c r="N601" s="1" t="s">
        <v>41</v>
      </c>
      <c r="P601" s="1" t="n">
        <v>4</v>
      </c>
      <c r="Q601" s="1" t="s">
        <v>42</v>
      </c>
      <c r="R601" s="1" t="s">
        <v>74</v>
      </c>
      <c r="S601" s="6" t="n">
        <v>46079</v>
      </c>
    </row>
    <row r="602" customFormat="false" ht="14.25" hidden="false" customHeight="true" outlineLevel="0" collapsed="false">
      <c r="A602" s="1" t="s">
        <v>2121</v>
      </c>
      <c r="B602" s="1" t="s">
        <v>1574</v>
      </c>
      <c r="C602" s="1" t="s">
        <v>510</v>
      </c>
      <c r="D602" s="1" t="s">
        <v>550</v>
      </c>
      <c r="E602" s="6" t="n">
        <v>46038</v>
      </c>
      <c r="F602" s="6" t="n">
        <v>46034</v>
      </c>
      <c r="G602" s="1" t="s">
        <v>70</v>
      </c>
      <c r="H602" s="1" t="s">
        <v>1393</v>
      </c>
      <c r="I602" s="1" t="s">
        <v>1325</v>
      </c>
      <c r="J602" s="1" t="n">
        <v>5903.59</v>
      </c>
      <c r="K602" s="1" t="n">
        <v>4735.16</v>
      </c>
      <c r="L602" s="1" t="n">
        <v>3685.35</v>
      </c>
      <c r="M602" s="1" t="n">
        <v>1049.81</v>
      </c>
      <c r="N602" s="1" t="s">
        <v>41</v>
      </c>
      <c r="P602" s="1" t="n">
        <v>2</v>
      </c>
      <c r="Q602" s="1" t="s">
        <v>155</v>
      </c>
      <c r="R602" s="1" t="s">
        <v>74</v>
      </c>
      <c r="S602" s="6" t="n">
        <v>46040</v>
      </c>
    </row>
    <row r="603" customFormat="false" ht="14.25" hidden="false" customHeight="true" outlineLevel="0" collapsed="false">
      <c r="A603" s="1" t="s">
        <v>2122</v>
      </c>
      <c r="B603" s="1" t="s">
        <v>1869</v>
      </c>
      <c r="C603" s="1" t="s">
        <v>129</v>
      </c>
      <c r="D603" s="1" t="s">
        <v>1084</v>
      </c>
      <c r="E603" s="6" t="n">
        <v>46134</v>
      </c>
      <c r="F603" s="6" t="n">
        <v>46132</v>
      </c>
      <c r="G603" s="1" t="s">
        <v>108</v>
      </c>
      <c r="H603" s="1" t="s">
        <v>2123</v>
      </c>
      <c r="I603" s="1" t="s">
        <v>2124</v>
      </c>
      <c r="J603" s="1" t="n">
        <v>16663.76</v>
      </c>
      <c r="K603" s="1" t="n">
        <v>14771.58</v>
      </c>
      <c r="L603" s="1" t="n">
        <v>12315.75</v>
      </c>
      <c r="M603" s="1" t="n">
        <v>2455.83</v>
      </c>
      <c r="N603" s="1" t="s">
        <v>41</v>
      </c>
      <c r="P603" s="1" t="n">
        <v>7</v>
      </c>
      <c r="Q603" s="1" t="s">
        <v>155</v>
      </c>
      <c r="R603" s="1" t="s">
        <v>102</v>
      </c>
      <c r="S603" s="6" t="n">
        <v>46141</v>
      </c>
    </row>
    <row r="604" customFormat="false" ht="14.25" hidden="false" customHeight="true" outlineLevel="0" collapsed="false">
      <c r="A604" s="1" t="s">
        <v>2125</v>
      </c>
      <c r="B604" s="1" t="s">
        <v>818</v>
      </c>
      <c r="C604" s="1" t="s">
        <v>335</v>
      </c>
      <c r="D604" s="1" t="s">
        <v>280</v>
      </c>
      <c r="E604" s="6" t="n">
        <v>46065</v>
      </c>
      <c r="F604" s="6" t="n">
        <v>46061</v>
      </c>
      <c r="G604" s="1" t="s">
        <v>108</v>
      </c>
      <c r="H604" s="1" t="s">
        <v>2126</v>
      </c>
      <c r="I604" s="1" t="s">
        <v>2127</v>
      </c>
      <c r="J604" s="1" t="n">
        <v>30647.39</v>
      </c>
      <c r="K604" s="1" t="n">
        <v>27350.05</v>
      </c>
      <c r="L604" s="1" t="n">
        <v>24005.11</v>
      </c>
      <c r="M604" s="1" t="n">
        <v>3344.94</v>
      </c>
      <c r="N604" s="1" t="s">
        <v>41</v>
      </c>
      <c r="P604" s="1" t="n">
        <v>6</v>
      </c>
      <c r="Q604" s="1" t="s">
        <v>63</v>
      </c>
      <c r="R604" s="1" t="s">
        <v>125</v>
      </c>
      <c r="S604" s="6" t="n">
        <v>46071</v>
      </c>
    </row>
    <row r="605" customFormat="false" ht="14.25" hidden="false" customHeight="true" outlineLevel="0" collapsed="false">
      <c r="A605" s="1" t="s">
        <v>2128</v>
      </c>
      <c r="B605" s="1" t="s">
        <v>395</v>
      </c>
      <c r="C605" s="1" t="s">
        <v>623</v>
      </c>
      <c r="D605" s="1" t="s">
        <v>177</v>
      </c>
      <c r="E605" s="6" t="n">
        <v>46189</v>
      </c>
      <c r="F605" s="6" t="n">
        <v>46189</v>
      </c>
      <c r="G605" s="1" t="s">
        <v>108</v>
      </c>
      <c r="H605" s="1" t="s">
        <v>437</v>
      </c>
      <c r="I605" s="1" t="s">
        <v>2129</v>
      </c>
      <c r="J605" s="1" t="n">
        <v>47951.95</v>
      </c>
      <c r="K605" s="1" t="n">
        <v>45443.86</v>
      </c>
      <c r="L605" s="1" t="n">
        <v>0</v>
      </c>
      <c r="M605" s="1" t="n">
        <v>45443.86</v>
      </c>
      <c r="N605" s="1" t="s">
        <v>260</v>
      </c>
      <c r="P605" s="1" t="n">
        <v>7</v>
      </c>
      <c r="Q605" s="1" t="s">
        <v>42</v>
      </c>
      <c r="R605" s="1" t="s">
        <v>64</v>
      </c>
    </row>
    <row r="606" customFormat="false" ht="14.25" hidden="false" customHeight="true" outlineLevel="0" collapsed="false">
      <c r="A606" s="1" t="s">
        <v>2130</v>
      </c>
      <c r="B606" s="1" t="s">
        <v>685</v>
      </c>
      <c r="C606" s="1" t="s">
        <v>310</v>
      </c>
      <c r="D606" s="1" t="s">
        <v>257</v>
      </c>
      <c r="E606" s="6" t="n">
        <v>46159</v>
      </c>
      <c r="F606" s="6" t="n">
        <v>46156</v>
      </c>
      <c r="G606" s="1" t="s">
        <v>38</v>
      </c>
      <c r="H606" s="1" t="s">
        <v>2131</v>
      </c>
      <c r="I606" s="1" t="s">
        <v>2132</v>
      </c>
      <c r="J606" s="1" t="n">
        <v>10153.67</v>
      </c>
      <c r="K606" s="1" t="n">
        <v>8352.14</v>
      </c>
      <c r="L606" s="1" t="n">
        <v>8166.45</v>
      </c>
      <c r="M606" s="1" t="n">
        <v>185.69</v>
      </c>
      <c r="N606" s="1" t="s">
        <v>41</v>
      </c>
      <c r="P606" s="1" t="n">
        <v>6</v>
      </c>
      <c r="Q606" s="1" t="s">
        <v>42</v>
      </c>
      <c r="R606" s="1" t="s">
        <v>54</v>
      </c>
      <c r="S606" s="6" t="n">
        <v>46165</v>
      </c>
    </row>
    <row r="607" customFormat="false" ht="14.25" hidden="false" customHeight="true" outlineLevel="0" collapsed="false">
      <c r="A607" s="1" t="s">
        <v>2133</v>
      </c>
      <c r="B607" s="1" t="s">
        <v>1671</v>
      </c>
      <c r="C607" s="1" t="s">
        <v>78</v>
      </c>
      <c r="D607" s="1" t="s">
        <v>1929</v>
      </c>
      <c r="E607" s="6" t="n">
        <v>46201</v>
      </c>
      <c r="F607" s="6" t="n">
        <v>46200</v>
      </c>
      <c r="G607" s="1" t="s">
        <v>38</v>
      </c>
      <c r="H607" s="1" t="s">
        <v>2134</v>
      </c>
      <c r="I607" s="1" t="s">
        <v>2135</v>
      </c>
      <c r="J607" s="1" t="n">
        <v>47901.62</v>
      </c>
      <c r="K607" s="1" t="n">
        <v>37026.89</v>
      </c>
      <c r="L607" s="1" t="n">
        <v>28507.84</v>
      </c>
      <c r="M607" s="1" t="n">
        <v>8519.05</v>
      </c>
      <c r="N607" s="1" t="s">
        <v>41</v>
      </c>
      <c r="P607" s="1" t="n">
        <v>2</v>
      </c>
      <c r="Q607" s="1" t="s">
        <v>155</v>
      </c>
      <c r="R607" s="1" t="s">
        <v>64</v>
      </c>
      <c r="S607" s="6" t="n">
        <v>46203</v>
      </c>
    </row>
    <row r="608" customFormat="false" ht="14.25" hidden="false" customHeight="true" outlineLevel="0" collapsed="false">
      <c r="A608" s="1" t="s">
        <v>2136</v>
      </c>
      <c r="B608" s="1" t="s">
        <v>899</v>
      </c>
      <c r="C608" s="1" t="s">
        <v>215</v>
      </c>
      <c r="D608" s="1" t="s">
        <v>520</v>
      </c>
      <c r="E608" s="6" t="n">
        <v>46059</v>
      </c>
      <c r="F608" s="6" t="n">
        <v>46055</v>
      </c>
      <c r="G608" s="1" t="s">
        <v>108</v>
      </c>
      <c r="H608" s="1" t="s">
        <v>1369</v>
      </c>
      <c r="I608" s="1" t="s">
        <v>2137</v>
      </c>
      <c r="J608" s="1" t="n">
        <v>45508.65</v>
      </c>
      <c r="K608" s="1" t="n">
        <v>38783.91</v>
      </c>
      <c r="L608" s="1" t="n">
        <v>35544.51</v>
      </c>
      <c r="M608" s="1" t="n">
        <v>3239.4</v>
      </c>
      <c r="N608" s="1" t="s">
        <v>41</v>
      </c>
      <c r="P608" s="1" t="n">
        <v>5</v>
      </c>
      <c r="Q608" s="1" t="s">
        <v>63</v>
      </c>
      <c r="R608" s="1" t="s">
        <v>64</v>
      </c>
      <c r="S608" s="6" t="n">
        <v>46064</v>
      </c>
    </row>
    <row r="609" customFormat="false" ht="14.25" hidden="false" customHeight="true" outlineLevel="0" collapsed="false">
      <c r="A609" s="1" t="s">
        <v>2138</v>
      </c>
      <c r="B609" s="1" t="s">
        <v>968</v>
      </c>
      <c r="C609" s="1" t="s">
        <v>176</v>
      </c>
      <c r="D609" s="1" t="s">
        <v>177</v>
      </c>
      <c r="E609" s="6" t="n">
        <v>46064</v>
      </c>
      <c r="F609" s="6" t="n">
        <v>46060</v>
      </c>
      <c r="G609" s="1" t="s">
        <v>49</v>
      </c>
      <c r="H609" s="1" t="s">
        <v>2076</v>
      </c>
      <c r="I609" s="1" t="s">
        <v>2139</v>
      </c>
      <c r="J609" s="1" t="n">
        <v>44131.34</v>
      </c>
      <c r="K609" s="1" t="n">
        <v>31308.15</v>
      </c>
      <c r="L609" s="1" t="n">
        <v>24889.32</v>
      </c>
      <c r="M609" s="1" t="n">
        <v>6418.83</v>
      </c>
      <c r="N609" s="1" t="s">
        <v>41</v>
      </c>
      <c r="P609" s="1" t="n">
        <v>8</v>
      </c>
      <c r="Q609" s="1" t="s">
        <v>42</v>
      </c>
      <c r="R609" s="1" t="s">
        <v>54</v>
      </c>
      <c r="S609" s="6" t="n">
        <v>46072</v>
      </c>
    </row>
    <row r="610" customFormat="false" ht="14.25" hidden="false" customHeight="true" outlineLevel="0" collapsed="false">
      <c r="A610" s="1" t="s">
        <v>2140</v>
      </c>
      <c r="B610" s="1" t="s">
        <v>2141</v>
      </c>
      <c r="C610" s="1" t="s">
        <v>233</v>
      </c>
      <c r="D610" s="1" t="s">
        <v>107</v>
      </c>
      <c r="E610" s="6" t="n">
        <v>46055</v>
      </c>
      <c r="F610" s="6" t="n">
        <v>46055</v>
      </c>
      <c r="G610" s="1" t="s">
        <v>49</v>
      </c>
      <c r="H610" s="1" t="s">
        <v>2142</v>
      </c>
      <c r="I610" s="1" t="s">
        <v>2143</v>
      </c>
      <c r="J610" s="1" t="n">
        <v>1684.61</v>
      </c>
      <c r="K610" s="1" t="n">
        <v>1179.36</v>
      </c>
      <c r="L610" s="1" t="n">
        <v>0</v>
      </c>
      <c r="M610" s="1" t="n">
        <v>1179.36</v>
      </c>
      <c r="N610" s="1" t="s">
        <v>52</v>
      </c>
      <c r="O610" s="1" t="s">
        <v>265</v>
      </c>
      <c r="P610" s="1" t="n">
        <v>2</v>
      </c>
      <c r="Q610" s="1" t="s">
        <v>63</v>
      </c>
      <c r="R610" s="1" t="s">
        <v>74</v>
      </c>
    </row>
    <row r="611" customFormat="false" ht="14.25" hidden="false" customHeight="true" outlineLevel="0" collapsed="false">
      <c r="A611" s="1" t="s">
        <v>2144</v>
      </c>
      <c r="B611" s="1" t="s">
        <v>272</v>
      </c>
      <c r="C611" s="1" t="s">
        <v>623</v>
      </c>
      <c r="D611" s="1" t="s">
        <v>368</v>
      </c>
      <c r="E611" s="6" t="n">
        <v>46166</v>
      </c>
      <c r="F611" s="6" t="n">
        <v>46165</v>
      </c>
      <c r="G611" s="1" t="s">
        <v>108</v>
      </c>
      <c r="H611" s="1" t="s">
        <v>1575</v>
      </c>
      <c r="I611" s="1" t="s">
        <v>2145</v>
      </c>
      <c r="J611" s="1" t="n">
        <v>6391.97</v>
      </c>
      <c r="K611" s="1" t="n">
        <v>5875.68</v>
      </c>
      <c r="L611" s="1" t="n">
        <v>0</v>
      </c>
      <c r="M611" s="1" t="n">
        <v>5875.68</v>
      </c>
      <c r="N611" s="1" t="s">
        <v>111</v>
      </c>
      <c r="P611" s="1" t="n">
        <v>9</v>
      </c>
      <c r="Q611" s="1" t="s">
        <v>63</v>
      </c>
      <c r="R611" s="1" t="s">
        <v>43</v>
      </c>
    </row>
    <row r="612" customFormat="false" ht="14.25" hidden="false" customHeight="true" outlineLevel="0" collapsed="false">
      <c r="A612" s="1" t="s">
        <v>2146</v>
      </c>
      <c r="B612" s="1" t="s">
        <v>875</v>
      </c>
      <c r="C612" s="1" t="s">
        <v>623</v>
      </c>
      <c r="D612" s="1" t="s">
        <v>216</v>
      </c>
      <c r="E612" s="6" t="n">
        <v>46187</v>
      </c>
      <c r="F612" s="6" t="n">
        <v>46184</v>
      </c>
      <c r="G612" s="1" t="s">
        <v>108</v>
      </c>
      <c r="H612" s="1" t="s">
        <v>2147</v>
      </c>
      <c r="I612" s="1" t="s">
        <v>2148</v>
      </c>
      <c r="J612" s="1" t="n">
        <v>22066.66</v>
      </c>
      <c r="K612" s="1" t="n">
        <v>19359.04</v>
      </c>
      <c r="L612" s="1" t="n">
        <v>0</v>
      </c>
      <c r="M612" s="1" t="n">
        <v>19359.04</v>
      </c>
      <c r="N612" s="1" t="s">
        <v>111</v>
      </c>
      <c r="P612" s="1" t="n">
        <v>15</v>
      </c>
      <c r="Q612" s="1" t="s">
        <v>42</v>
      </c>
      <c r="R612" s="1" t="s">
        <v>64</v>
      </c>
    </row>
    <row r="613" customFormat="false" ht="14.25" hidden="false" customHeight="true" outlineLevel="0" collapsed="false">
      <c r="A613" s="1" t="s">
        <v>2149</v>
      </c>
      <c r="B613" s="1" t="s">
        <v>1751</v>
      </c>
      <c r="C613" s="1" t="s">
        <v>310</v>
      </c>
      <c r="D613" s="1" t="s">
        <v>189</v>
      </c>
      <c r="E613" s="6" t="n">
        <v>46122</v>
      </c>
      <c r="F613" s="6" t="n">
        <v>46117</v>
      </c>
      <c r="G613" s="1" t="s">
        <v>38</v>
      </c>
      <c r="H613" s="1" t="s">
        <v>1222</v>
      </c>
      <c r="I613" s="1" t="s">
        <v>2150</v>
      </c>
      <c r="J613" s="1" t="n">
        <v>19279.04</v>
      </c>
      <c r="K613" s="1" t="n">
        <v>15068.04</v>
      </c>
      <c r="L613" s="1" t="n">
        <v>0</v>
      </c>
      <c r="M613" s="1" t="n">
        <v>15068.04</v>
      </c>
      <c r="N613" s="1" t="s">
        <v>111</v>
      </c>
      <c r="P613" s="1" t="n">
        <v>12</v>
      </c>
      <c r="Q613" s="1" t="s">
        <v>63</v>
      </c>
      <c r="R613" s="1" t="s">
        <v>54</v>
      </c>
    </row>
    <row r="614" customFormat="false" ht="14.25" hidden="false" customHeight="true" outlineLevel="0" collapsed="false">
      <c r="A614" s="1" t="s">
        <v>2151</v>
      </c>
      <c r="B614" s="1" t="s">
        <v>622</v>
      </c>
      <c r="C614" s="1" t="s">
        <v>335</v>
      </c>
      <c r="D614" s="1" t="s">
        <v>520</v>
      </c>
      <c r="E614" s="6" t="n">
        <v>46171</v>
      </c>
      <c r="F614" s="6" t="n">
        <v>46167</v>
      </c>
      <c r="G614" s="1" t="s">
        <v>38</v>
      </c>
      <c r="H614" s="1" t="s">
        <v>138</v>
      </c>
      <c r="I614" s="1" t="s">
        <v>2152</v>
      </c>
      <c r="J614" s="1" t="n">
        <v>29201.5</v>
      </c>
      <c r="K614" s="1" t="n">
        <v>26375.37</v>
      </c>
      <c r="L614" s="1" t="n">
        <v>0</v>
      </c>
      <c r="M614" s="1" t="n">
        <v>26375.37</v>
      </c>
      <c r="N614" s="1" t="s">
        <v>52</v>
      </c>
      <c r="O614" s="1" t="s">
        <v>230</v>
      </c>
      <c r="P614" s="1" t="n">
        <v>7</v>
      </c>
      <c r="Q614" s="1" t="s">
        <v>42</v>
      </c>
      <c r="R614" s="1" t="s">
        <v>74</v>
      </c>
    </row>
    <row r="615" customFormat="false" ht="14.25" hidden="false" customHeight="true" outlineLevel="0" collapsed="false">
      <c r="A615" s="1" t="s">
        <v>2153</v>
      </c>
      <c r="B615" s="1" t="s">
        <v>1884</v>
      </c>
      <c r="C615" s="1" t="s">
        <v>367</v>
      </c>
      <c r="D615" s="1" t="s">
        <v>1077</v>
      </c>
      <c r="E615" s="6" t="n">
        <v>46079</v>
      </c>
      <c r="F615" s="6" t="n">
        <v>46076</v>
      </c>
      <c r="G615" s="1" t="s">
        <v>70</v>
      </c>
      <c r="H615" s="1" t="s">
        <v>980</v>
      </c>
      <c r="I615" s="1" t="s">
        <v>2154</v>
      </c>
      <c r="J615" s="1" t="n">
        <v>28969.32</v>
      </c>
      <c r="K615" s="1" t="n">
        <v>24179.05</v>
      </c>
      <c r="L615" s="1" t="n">
        <v>18735.54</v>
      </c>
      <c r="M615" s="1" t="n">
        <v>5443.51</v>
      </c>
      <c r="N615" s="1" t="s">
        <v>41</v>
      </c>
      <c r="P615" s="1" t="n">
        <v>5</v>
      </c>
      <c r="Q615" s="1" t="s">
        <v>155</v>
      </c>
      <c r="R615" s="1" t="s">
        <v>140</v>
      </c>
      <c r="S615" s="6" t="n">
        <v>46084</v>
      </c>
    </row>
    <row r="616" customFormat="false" ht="14.25" hidden="false" customHeight="true" outlineLevel="0" collapsed="false">
      <c r="A616" s="1" t="s">
        <v>2155</v>
      </c>
      <c r="B616" s="1" t="s">
        <v>366</v>
      </c>
      <c r="C616" s="1" t="s">
        <v>92</v>
      </c>
      <c r="D616" s="1" t="s">
        <v>145</v>
      </c>
      <c r="E616" s="6" t="n">
        <v>46098</v>
      </c>
      <c r="F616" s="6" t="n">
        <v>46096</v>
      </c>
      <c r="G616" s="1" t="s">
        <v>38</v>
      </c>
      <c r="H616" s="1" t="s">
        <v>2156</v>
      </c>
      <c r="I616" s="1" t="s">
        <v>2157</v>
      </c>
      <c r="J616" s="1" t="n">
        <v>37796.71</v>
      </c>
      <c r="K616" s="1" t="n">
        <v>35050.96</v>
      </c>
      <c r="L616" s="1" t="n">
        <v>0</v>
      </c>
      <c r="M616" s="1" t="n">
        <v>35050.96</v>
      </c>
      <c r="N616" s="1" t="s">
        <v>260</v>
      </c>
      <c r="P616" s="1" t="n">
        <v>5</v>
      </c>
      <c r="Q616" s="1" t="s">
        <v>42</v>
      </c>
      <c r="R616" s="1" t="s">
        <v>64</v>
      </c>
    </row>
    <row r="617" customFormat="false" ht="14.25" hidden="false" customHeight="true" outlineLevel="0" collapsed="false">
      <c r="A617" s="1" t="s">
        <v>2158</v>
      </c>
      <c r="B617" s="1" t="s">
        <v>1132</v>
      </c>
      <c r="C617" s="1" t="s">
        <v>233</v>
      </c>
      <c r="D617" s="1" t="s">
        <v>984</v>
      </c>
      <c r="E617" s="6" t="n">
        <v>46228</v>
      </c>
      <c r="F617" s="6" t="n">
        <v>46227</v>
      </c>
      <c r="G617" s="1" t="s">
        <v>49</v>
      </c>
      <c r="H617" s="1" t="s">
        <v>2159</v>
      </c>
      <c r="I617" s="1" t="s">
        <v>2160</v>
      </c>
      <c r="J617" s="1" t="n">
        <v>41708.97</v>
      </c>
      <c r="K617" s="1" t="n">
        <v>27433.37</v>
      </c>
      <c r="L617" s="1" t="n">
        <v>21968.24</v>
      </c>
      <c r="M617" s="1" t="n">
        <v>5465.13</v>
      </c>
      <c r="N617" s="1" t="s">
        <v>41</v>
      </c>
      <c r="P617" s="1" t="n">
        <v>7</v>
      </c>
      <c r="Q617" s="1" t="s">
        <v>42</v>
      </c>
      <c r="R617" s="1" t="s">
        <v>74</v>
      </c>
      <c r="S617" s="6" t="n">
        <v>46235</v>
      </c>
    </row>
    <row r="618" customFormat="false" ht="14.25" hidden="false" customHeight="true" outlineLevel="0" collapsed="false">
      <c r="A618" s="1" t="s">
        <v>2161</v>
      </c>
      <c r="B618" s="1" t="s">
        <v>207</v>
      </c>
      <c r="C618" s="1" t="s">
        <v>356</v>
      </c>
      <c r="D618" s="1" t="s">
        <v>890</v>
      </c>
      <c r="E618" s="6" t="n">
        <v>46056</v>
      </c>
      <c r="F618" s="6" t="n">
        <v>46053</v>
      </c>
      <c r="G618" s="1" t="s">
        <v>38</v>
      </c>
      <c r="H618" s="1" t="s">
        <v>397</v>
      </c>
      <c r="I618" s="1" t="s">
        <v>2162</v>
      </c>
      <c r="J618" s="1" t="n">
        <v>24916.15</v>
      </c>
      <c r="K618" s="1" t="n">
        <v>16844.79</v>
      </c>
      <c r="L618" s="1" t="n">
        <v>0</v>
      </c>
      <c r="M618" s="1" t="n">
        <v>16844.79</v>
      </c>
      <c r="N618" s="1" t="s">
        <v>52</v>
      </c>
      <c r="O618" s="1" t="s">
        <v>230</v>
      </c>
      <c r="P618" s="1" t="n">
        <v>3</v>
      </c>
      <c r="Q618" s="1" t="s">
        <v>63</v>
      </c>
      <c r="R618" s="1" t="s">
        <v>140</v>
      </c>
    </row>
    <row r="619" customFormat="false" ht="14.25" hidden="false" customHeight="true" outlineLevel="0" collapsed="false">
      <c r="A619" s="1" t="s">
        <v>2163</v>
      </c>
      <c r="B619" s="1" t="s">
        <v>2164</v>
      </c>
      <c r="C619" s="1" t="s">
        <v>279</v>
      </c>
      <c r="D619" s="1" t="s">
        <v>189</v>
      </c>
      <c r="E619" s="6" t="n">
        <v>46154</v>
      </c>
      <c r="F619" s="6" t="n">
        <v>46152</v>
      </c>
      <c r="G619" s="1" t="s">
        <v>70</v>
      </c>
      <c r="H619" s="1" t="s">
        <v>2165</v>
      </c>
      <c r="I619" s="1" t="s">
        <v>2082</v>
      </c>
      <c r="J619" s="1" t="n">
        <v>31715.89</v>
      </c>
      <c r="K619" s="1" t="n">
        <v>25494.92</v>
      </c>
      <c r="L619" s="1" t="n">
        <v>24073.87</v>
      </c>
      <c r="M619" s="1" t="n">
        <v>1421.05</v>
      </c>
      <c r="N619" s="1" t="s">
        <v>41</v>
      </c>
      <c r="P619" s="1" t="n">
        <v>6</v>
      </c>
      <c r="Q619" s="1" t="s">
        <v>42</v>
      </c>
      <c r="R619" s="1" t="s">
        <v>74</v>
      </c>
      <c r="S619" s="6" t="n">
        <v>46160</v>
      </c>
    </row>
    <row r="620" customFormat="false" ht="14.25" hidden="false" customHeight="true" outlineLevel="0" collapsed="false">
      <c r="A620" s="1" t="s">
        <v>2166</v>
      </c>
      <c r="B620" s="1" t="s">
        <v>412</v>
      </c>
      <c r="C620" s="1" t="s">
        <v>296</v>
      </c>
      <c r="D620" s="1" t="s">
        <v>635</v>
      </c>
      <c r="E620" s="6" t="n">
        <v>46026</v>
      </c>
      <c r="F620" s="6" t="n">
        <v>46025</v>
      </c>
      <c r="G620" s="1" t="s">
        <v>38</v>
      </c>
      <c r="H620" s="1" t="s">
        <v>667</v>
      </c>
      <c r="I620" s="1" t="s">
        <v>2167</v>
      </c>
      <c r="J620" s="1" t="n">
        <v>19122.35</v>
      </c>
      <c r="K620" s="1" t="n">
        <v>17840.17</v>
      </c>
      <c r="L620" s="1" t="n">
        <v>16383.29</v>
      </c>
      <c r="M620" s="1" t="n">
        <v>1456.88</v>
      </c>
      <c r="N620" s="1" t="s">
        <v>41</v>
      </c>
      <c r="P620" s="1" t="n">
        <v>5</v>
      </c>
      <c r="Q620" s="1" t="s">
        <v>63</v>
      </c>
      <c r="R620" s="1" t="s">
        <v>140</v>
      </c>
      <c r="S620" s="6" t="n">
        <v>46031</v>
      </c>
    </row>
    <row r="621" customFormat="false" ht="14.25" hidden="false" customHeight="true" outlineLevel="0" collapsed="false">
      <c r="A621" s="1" t="s">
        <v>2168</v>
      </c>
      <c r="B621" s="1" t="s">
        <v>163</v>
      </c>
      <c r="C621" s="1" t="s">
        <v>686</v>
      </c>
      <c r="D621" s="1" t="s">
        <v>635</v>
      </c>
      <c r="E621" s="6" t="n">
        <v>46078</v>
      </c>
      <c r="F621" s="6" t="n">
        <v>46073</v>
      </c>
      <c r="G621" s="1" t="s">
        <v>38</v>
      </c>
      <c r="H621" s="1" t="s">
        <v>1261</v>
      </c>
      <c r="I621" s="1" t="s">
        <v>2169</v>
      </c>
      <c r="J621" s="1" t="n">
        <v>47566.22</v>
      </c>
      <c r="K621" s="1" t="n">
        <v>43149.56</v>
      </c>
      <c r="L621" s="1" t="n">
        <v>0</v>
      </c>
      <c r="M621" s="1" t="n">
        <v>43149.56</v>
      </c>
      <c r="N621" s="1" t="s">
        <v>52</v>
      </c>
      <c r="O621" s="1" t="s">
        <v>53</v>
      </c>
      <c r="P621" s="1" t="n">
        <v>4</v>
      </c>
      <c r="Q621" s="1" t="s">
        <v>155</v>
      </c>
      <c r="R621" s="1" t="s">
        <v>43</v>
      </c>
    </row>
    <row r="622" customFormat="false" ht="14.25" hidden="false" customHeight="true" outlineLevel="0" collapsed="false">
      <c r="A622" s="1" t="s">
        <v>2170</v>
      </c>
      <c r="B622" s="1" t="s">
        <v>408</v>
      </c>
      <c r="C622" s="1" t="s">
        <v>233</v>
      </c>
      <c r="D622" s="1" t="s">
        <v>933</v>
      </c>
      <c r="E622" s="6" t="n">
        <v>46201</v>
      </c>
      <c r="F622" s="6" t="n">
        <v>46199</v>
      </c>
      <c r="G622" s="1" t="s">
        <v>38</v>
      </c>
      <c r="H622" s="1" t="s">
        <v>2171</v>
      </c>
      <c r="I622" s="1" t="s">
        <v>2172</v>
      </c>
      <c r="J622" s="1" t="n">
        <v>31735.81</v>
      </c>
      <c r="K622" s="1" t="n">
        <v>22862.95</v>
      </c>
      <c r="L622" s="1" t="n">
        <v>0</v>
      </c>
      <c r="M622" s="1" t="n">
        <v>22862.95</v>
      </c>
      <c r="N622" s="1" t="s">
        <v>111</v>
      </c>
      <c r="P622" s="1" t="n">
        <v>9</v>
      </c>
      <c r="Q622" s="1" t="s">
        <v>155</v>
      </c>
      <c r="R622" s="1" t="s">
        <v>102</v>
      </c>
    </row>
    <row r="623" customFormat="false" ht="14.25" hidden="false" customHeight="true" outlineLevel="0" collapsed="false">
      <c r="A623" s="1" t="s">
        <v>2173</v>
      </c>
      <c r="B623" s="1" t="s">
        <v>340</v>
      </c>
      <c r="C623" s="1" t="s">
        <v>244</v>
      </c>
      <c r="D623" s="1" t="s">
        <v>501</v>
      </c>
      <c r="E623" s="6" t="n">
        <v>46197</v>
      </c>
      <c r="F623" s="6" t="n">
        <v>46194</v>
      </c>
      <c r="G623" s="1" t="s">
        <v>70</v>
      </c>
      <c r="H623" s="1" t="s">
        <v>2174</v>
      </c>
      <c r="I623" s="1" t="s">
        <v>2175</v>
      </c>
      <c r="J623" s="1" t="n">
        <v>31686.36</v>
      </c>
      <c r="K623" s="1" t="n">
        <v>26279.17</v>
      </c>
      <c r="L623" s="1" t="n">
        <v>23279.49</v>
      </c>
      <c r="M623" s="1" t="n">
        <v>2999.68</v>
      </c>
      <c r="N623" s="1" t="s">
        <v>41</v>
      </c>
      <c r="P623" s="1" t="n">
        <v>5</v>
      </c>
      <c r="Q623" s="1" t="s">
        <v>63</v>
      </c>
      <c r="R623" s="1" t="s">
        <v>140</v>
      </c>
      <c r="S623" s="6" t="n">
        <v>46202</v>
      </c>
    </row>
    <row r="624" customFormat="false" ht="14.25" hidden="false" customHeight="true" outlineLevel="0" collapsed="false">
      <c r="A624" s="1" t="s">
        <v>2176</v>
      </c>
      <c r="B624" s="1" t="s">
        <v>2177</v>
      </c>
      <c r="C624" s="1" t="s">
        <v>310</v>
      </c>
      <c r="D624" s="1" t="s">
        <v>1929</v>
      </c>
      <c r="E624" s="6" t="n">
        <v>46195</v>
      </c>
      <c r="F624" s="6" t="n">
        <v>46192</v>
      </c>
      <c r="G624" s="1" t="s">
        <v>49</v>
      </c>
      <c r="H624" s="1" t="s">
        <v>2178</v>
      </c>
      <c r="I624" s="1" t="s">
        <v>2179</v>
      </c>
      <c r="J624" s="1" t="n">
        <v>23504.43</v>
      </c>
      <c r="K624" s="1" t="n">
        <v>17526.59</v>
      </c>
      <c r="L624" s="1" t="n">
        <v>13642.42</v>
      </c>
      <c r="M624" s="1" t="n">
        <v>3884.17</v>
      </c>
      <c r="N624" s="1" t="s">
        <v>41</v>
      </c>
      <c r="P624" s="1" t="n">
        <v>7</v>
      </c>
      <c r="Q624" s="1" t="s">
        <v>42</v>
      </c>
      <c r="R624" s="1" t="s">
        <v>140</v>
      </c>
      <c r="S624" s="6" t="n">
        <v>46202</v>
      </c>
    </row>
    <row r="625" customFormat="false" ht="14.25" hidden="false" customHeight="true" outlineLevel="0" collapsed="false">
      <c r="A625" s="1" t="s">
        <v>2180</v>
      </c>
      <c r="B625" s="1" t="s">
        <v>547</v>
      </c>
      <c r="C625" s="1" t="s">
        <v>164</v>
      </c>
      <c r="D625" s="1" t="s">
        <v>520</v>
      </c>
      <c r="E625" s="6" t="n">
        <v>46032</v>
      </c>
      <c r="F625" s="6" t="n">
        <v>46030</v>
      </c>
      <c r="G625" s="1" t="s">
        <v>49</v>
      </c>
      <c r="H625" s="1" t="s">
        <v>2181</v>
      </c>
      <c r="I625" s="1" t="s">
        <v>2182</v>
      </c>
      <c r="J625" s="1" t="n">
        <v>11147.76</v>
      </c>
      <c r="K625" s="1" t="n">
        <v>10092.03</v>
      </c>
      <c r="L625" s="1" t="n">
        <v>8600.95</v>
      </c>
      <c r="M625" s="1" t="n">
        <v>1491.08</v>
      </c>
      <c r="N625" s="1" t="s">
        <v>41</v>
      </c>
      <c r="P625" s="1" t="n">
        <v>6</v>
      </c>
      <c r="Q625" s="1" t="s">
        <v>63</v>
      </c>
      <c r="R625" s="1" t="s">
        <v>43</v>
      </c>
      <c r="S625" s="6" t="n">
        <v>46038</v>
      </c>
    </row>
    <row r="626" customFormat="false" ht="14.25" hidden="false" customHeight="true" outlineLevel="0" collapsed="false">
      <c r="A626" s="1" t="s">
        <v>2183</v>
      </c>
      <c r="B626" s="1" t="s">
        <v>1318</v>
      </c>
      <c r="C626" s="1" t="s">
        <v>136</v>
      </c>
      <c r="D626" s="1" t="s">
        <v>79</v>
      </c>
      <c r="E626" s="6" t="n">
        <v>46089</v>
      </c>
      <c r="F626" s="6" t="n">
        <v>46089</v>
      </c>
      <c r="G626" s="1" t="s">
        <v>38</v>
      </c>
      <c r="H626" s="1" t="s">
        <v>2184</v>
      </c>
      <c r="I626" s="1" t="s">
        <v>2185</v>
      </c>
      <c r="J626" s="1" t="n">
        <v>36545.25</v>
      </c>
      <c r="K626" s="1" t="n">
        <v>27480.29</v>
      </c>
      <c r="L626" s="1" t="n">
        <v>26233.54</v>
      </c>
      <c r="M626" s="1" t="n">
        <v>1246.75</v>
      </c>
      <c r="N626" s="1" t="s">
        <v>41</v>
      </c>
      <c r="P626" s="1" t="n">
        <v>5</v>
      </c>
      <c r="Q626" s="1" t="s">
        <v>42</v>
      </c>
      <c r="R626" s="1" t="s">
        <v>54</v>
      </c>
      <c r="S626" s="6" t="n">
        <v>46094</v>
      </c>
    </row>
    <row r="627" customFormat="false" ht="14.25" hidden="false" customHeight="true" outlineLevel="0" collapsed="false">
      <c r="A627" s="1" t="s">
        <v>2186</v>
      </c>
      <c r="B627" s="1" t="s">
        <v>404</v>
      </c>
      <c r="C627" s="1" t="s">
        <v>310</v>
      </c>
      <c r="D627" s="1" t="s">
        <v>59</v>
      </c>
      <c r="E627" s="6" t="n">
        <v>46184</v>
      </c>
      <c r="F627" s="6" t="n">
        <v>46180</v>
      </c>
      <c r="G627" s="1" t="s">
        <v>70</v>
      </c>
      <c r="H627" s="1" t="s">
        <v>2187</v>
      </c>
      <c r="I627" s="1" t="s">
        <v>2188</v>
      </c>
      <c r="J627" s="1" t="n">
        <v>30445.58</v>
      </c>
      <c r="K627" s="1" t="n">
        <v>19971.57</v>
      </c>
      <c r="L627" s="1" t="n">
        <v>18584.69</v>
      </c>
      <c r="M627" s="1" t="n">
        <v>1386.88</v>
      </c>
      <c r="N627" s="1" t="s">
        <v>41</v>
      </c>
      <c r="P627" s="1" t="n">
        <v>7</v>
      </c>
      <c r="Q627" s="1" t="s">
        <v>42</v>
      </c>
      <c r="R627" s="1" t="s">
        <v>54</v>
      </c>
      <c r="S627" s="6" t="n">
        <v>46191</v>
      </c>
    </row>
    <row r="628" customFormat="false" ht="14.25" hidden="false" customHeight="true" outlineLevel="0" collapsed="false">
      <c r="A628" s="1" t="s">
        <v>2189</v>
      </c>
      <c r="B628" s="1" t="s">
        <v>589</v>
      </c>
      <c r="C628" s="1" t="s">
        <v>176</v>
      </c>
      <c r="D628" s="1" t="s">
        <v>1211</v>
      </c>
      <c r="E628" s="6" t="n">
        <v>46156</v>
      </c>
      <c r="F628" s="6" t="n">
        <v>46155</v>
      </c>
      <c r="G628" s="1" t="s">
        <v>70</v>
      </c>
      <c r="H628" s="1" t="s">
        <v>2190</v>
      </c>
      <c r="I628" s="1" t="s">
        <v>2191</v>
      </c>
      <c r="J628" s="1" t="n">
        <v>10322.77</v>
      </c>
      <c r="K628" s="1" t="n">
        <v>7195.98</v>
      </c>
      <c r="L628" s="1" t="n">
        <v>6360.7</v>
      </c>
      <c r="M628" s="1" t="n">
        <v>835.28</v>
      </c>
      <c r="N628" s="1" t="s">
        <v>41</v>
      </c>
      <c r="P628" s="1" t="n">
        <v>4</v>
      </c>
      <c r="Q628" s="1" t="s">
        <v>42</v>
      </c>
      <c r="R628" s="1" t="s">
        <v>74</v>
      </c>
      <c r="S628" s="6" t="n">
        <v>46160</v>
      </c>
    </row>
    <row r="629" customFormat="false" ht="14.25" hidden="false" customHeight="true" outlineLevel="0" collapsed="false">
      <c r="A629" s="1" t="s">
        <v>2192</v>
      </c>
      <c r="B629" s="1" t="s">
        <v>1201</v>
      </c>
      <c r="C629" s="1" t="s">
        <v>671</v>
      </c>
      <c r="D629" s="1" t="s">
        <v>431</v>
      </c>
      <c r="E629" s="6" t="n">
        <v>46086</v>
      </c>
      <c r="F629" s="6" t="n">
        <v>46086</v>
      </c>
      <c r="G629" s="1" t="s">
        <v>70</v>
      </c>
      <c r="H629" s="1" t="s">
        <v>1115</v>
      </c>
      <c r="I629" s="1" t="s">
        <v>2193</v>
      </c>
      <c r="J629" s="1" t="n">
        <v>1491.4</v>
      </c>
      <c r="K629" s="1" t="n">
        <v>1390.14</v>
      </c>
      <c r="L629" s="1" t="n">
        <v>1078.23</v>
      </c>
      <c r="M629" s="1" t="n">
        <v>311.91</v>
      </c>
      <c r="N629" s="1" t="s">
        <v>41</v>
      </c>
      <c r="P629" s="1" t="n">
        <v>7</v>
      </c>
      <c r="Q629" s="1" t="s">
        <v>155</v>
      </c>
      <c r="R629" s="1" t="s">
        <v>74</v>
      </c>
      <c r="S629" s="6" t="n">
        <v>46093</v>
      </c>
    </row>
    <row r="630" customFormat="false" ht="14.25" hidden="false" customHeight="true" outlineLevel="0" collapsed="false">
      <c r="A630" s="1" t="s">
        <v>2194</v>
      </c>
      <c r="B630" s="1" t="s">
        <v>220</v>
      </c>
      <c r="C630" s="1" t="s">
        <v>361</v>
      </c>
      <c r="D630" s="1" t="s">
        <v>595</v>
      </c>
      <c r="E630" s="6" t="n">
        <v>46225</v>
      </c>
      <c r="F630" s="6" t="n">
        <v>46220</v>
      </c>
      <c r="G630" s="1" t="s">
        <v>108</v>
      </c>
      <c r="H630" s="1" t="s">
        <v>2195</v>
      </c>
      <c r="I630" s="1" t="s">
        <v>2196</v>
      </c>
      <c r="J630" s="1" t="n">
        <v>13986.68</v>
      </c>
      <c r="K630" s="1" t="n">
        <v>9610.15</v>
      </c>
      <c r="L630" s="1" t="n">
        <v>9091.33</v>
      </c>
      <c r="M630" s="1" t="n">
        <v>518.82</v>
      </c>
      <c r="N630" s="1" t="s">
        <v>41</v>
      </c>
      <c r="P630" s="1" t="n">
        <v>7</v>
      </c>
      <c r="Q630" s="1" t="s">
        <v>42</v>
      </c>
      <c r="R630" s="1" t="s">
        <v>74</v>
      </c>
      <c r="S630" s="6" t="n">
        <v>46232</v>
      </c>
    </row>
    <row r="631" customFormat="false" ht="14.25" hidden="false" customHeight="true" outlineLevel="0" collapsed="false">
      <c r="A631" s="1" t="s">
        <v>2197</v>
      </c>
      <c r="B631" s="1" t="s">
        <v>1989</v>
      </c>
      <c r="C631" s="1" t="s">
        <v>361</v>
      </c>
      <c r="D631" s="1" t="s">
        <v>418</v>
      </c>
      <c r="E631" s="6" t="n">
        <v>46208</v>
      </c>
      <c r="F631" s="6" t="n">
        <v>46203</v>
      </c>
      <c r="G631" s="1" t="s">
        <v>49</v>
      </c>
      <c r="H631" s="1" t="s">
        <v>373</v>
      </c>
      <c r="I631" s="1" t="s">
        <v>2198</v>
      </c>
      <c r="J631" s="1" t="n">
        <v>1229.72</v>
      </c>
      <c r="K631" s="1" t="n">
        <v>1105.61</v>
      </c>
      <c r="L631" s="1" t="n">
        <v>996.4</v>
      </c>
      <c r="M631" s="1" t="n">
        <v>109.21</v>
      </c>
      <c r="N631" s="1" t="s">
        <v>41</v>
      </c>
      <c r="P631" s="1" t="n">
        <v>3</v>
      </c>
      <c r="Q631" s="1" t="s">
        <v>63</v>
      </c>
      <c r="R631" s="1" t="s">
        <v>43</v>
      </c>
      <c r="S631" s="6" t="n">
        <v>46211</v>
      </c>
    </row>
    <row r="632" customFormat="false" ht="14.25" hidden="false" customHeight="true" outlineLevel="0" collapsed="false">
      <c r="A632" s="1" t="s">
        <v>2199</v>
      </c>
      <c r="B632" s="1" t="s">
        <v>979</v>
      </c>
      <c r="C632" s="1" t="s">
        <v>376</v>
      </c>
      <c r="D632" s="1" t="s">
        <v>387</v>
      </c>
      <c r="E632" s="6" t="n">
        <v>46159</v>
      </c>
      <c r="F632" s="6" t="n">
        <v>46154</v>
      </c>
      <c r="G632" s="1" t="s">
        <v>108</v>
      </c>
      <c r="H632" s="1" t="s">
        <v>679</v>
      </c>
      <c r="I632" s="1" t="s">
        <v>2200</v>
      </c>
      <c r="J632" s="1" t="n">
        <v>14065.46</v>
      </c>
      <c r="K632" s="1" t="n">
        <v>9997.73</v>
      </c>
      <c r="L632" s="1" t="n">
        <v>8158.82</v>
      </c>
      <c r="M632" s="1" t="n">
        <v>1838.91</v>
      </c>
      <c r="N632" s="1" t="s">
        <v>41</v>
      </c>
      <c r="P632" s="1" t="n">
        <v>8</v>
      </c>
      <c r="Q632" s="1" t="s">
        <v>42</v>
      </c>
      <c r="R632" s="1" t="s">
        <v>102</v>
      </c>
      <c r="S632" s="6" t="n">
        <v>46167</v>
      </c>
    </row>
    <row r="633" customFormat="false" ht="14.25" hidden="false" customHeight="true" outlineLevel="0" collapsed="false">
      <c r="A633" s="1" t="s">
        <v>2201</v>
      </c>
      <c r="B633" s="1" t="s">
        <v>2202</v>
      </c>
      <c r="C633" s="1" t="s">
        <v>58</v>
      </c>
      <c r="D633" s="1" t="s">
        <v>208</v>
      </c>
      <c r="E633" s="6" t="n">
        <v>46148</v>
      </c>
      <c r="F633" s="6" t="n">
        <v>46146</v>
      </c>
      <c r="G633" s="1" t="s">
        <v>108</v>
      </c>
      <c r="H633" s="1" t="s">
        <v>2203</v>
      </c>
      <c r="I633" s="1" t="s">
        <v>2204</v>
      </c>
      <c r="J633" s="1" t="n">
        <v>26893.59</v>
      </c>
      <c r="K633" s="1" t="n">
        <v>19454.4</v>
      </c>
      <c r="L633" s="1" t="n">
        <v>0</v>
      </c>
      <c r="M633" s="1" t="n">
        <v>19454.4</v>
      </c>
      <c r="N633" s="1" t="s">
        <v>52</v>
      </c>
      <c r="O633" s="1" t="s">
        <v>62</v>
      </c>
      <c r="P633" s="1" t="n">
        <v>1</v>
      </c>
      <c r="Q633" s="1" t="s">
        <v>42</v>
      </c>
      <c r="R633" s="1" t="s">
        <v>54</v>
      </c>
    </row>
    <row r="634" customFormat="false" ht="14.25" hidden="false" customHeight="true" outlineLevel="0" collapsed="false">
      <c r="A634" s="1" t="s">
        <v>2205</v>
      </c>
      <c r="B634" s="1" t="s">
        <v>1786</v>
      </c>
      <c r="C634" s="1" t="s">
        <v>92</v>
      </c>
      <c r="D634" s="1" t="s">
        <v>315</v>
      </c>
      <c r="E634" s="6" t="n">
        <v>46125</v>
      </c>
      <c r="F634" s="6" t="n">
        <v>46124</v>
      </c>
      <c r="G634" s="1" t="s">
        <v>38</v>
      </c>
      <c r="H634" s="1" t="s">
        <v>2206</v>
      </c>
      <c r="I634" s="1" t="s">
        <v>2207</v>
      </c>
      <c r="J634" s="1" t="n">
        <v>24101.91</v>
      </c>
      <c r="K634" s="1" t="n">
        <v>16454</v>
      </c>
      <c r="L634" s="1" t="n">
        <v>13618.19</v>
      </c>
      <c r="M634" s="1" t="n">
        <v>2835.81</v>
      </c>
      <c r="N634" s="1" t="s">
        <v>41</v>
      </c>
      <c r="P634" s="1" t="n">
        <v>3</v>
      </c>
      <c r="Q634" s="1" t="s">
        <v>42</v>
      </c>
      <c r="R634" s="1" t="s">
        <v>140</v>
      </c>
      <c r="S634" s="6" t="n">
        <v>46128</v>
      </c>
    </row>
    <row r="635" customFormat="false" ht="14.25" hidden="false" customHeight="true" outlineLevel="0" collapsed="false">
      <c r="A635" s="1" t="s">
        <v>2208</v>
      </c>
      <c r="B635" s="1" t="s">
        <v>2209</v>
      </c>
      <c r="C635" s="1" t="s">
        <v>310</v>
      </c>
      <c r="D635" s="1" t="s">
        <v>1128</v>
      </c>
      <c r="E635" s="6" t="n">
        <v>46045</v>
      </c>
      <c r="F635" s="6" t="n">
        <v>46044</v>
      </c>
      <c r="G635" s="1" t="s">
        <v>70</v>
      </c>
      <c r="H635" s="1" t="s">
        <v>1010</v>
      </c>
      <c r="I635" s="1" t="s">
        <v>2210</v>
      </c>
      <c r="J635" s="1" t="n">
        <v>41984.48</v>
      </c>
      <c r="K635" s="1" t="n">
        <v>33882.39</v>
      </c>
      <c r="L635" s="1" t="n">
        <v>32524.13</v>
      </c>
      <c r="M635" s="1" t="n">
        <v>1358.26</v>
      </c>
      <c r="N635" s="1" t="s">
        <v>41</v>
      </c>
      <c r="P635" s="1" t="n">
        <v>4</v>
      </c>
      <c r="Q635" s="1" t="s">
        <v>42</v>
      </c>
      <c r="R635" s="1" t="s">
        <v>102</v>
      </c>
      <c r="S635" s="6" t="n">
        <v>46049</v>
      </c>
    </row>
    <row r="636" customFormat="false" ht="14.25" hidden="false" customHeight="true" outlineLevel="0" collapsed="false">
      <c r="A636" s="1" t="s">
        <v>2211</v>
      </c>
      <c r="B636" s="1" t="s">
        <v>330</v>
      </c>
      <c r="C636" s="1" t="s">
        <v>900</v>
      </c>
      <c r="D636" s="1" t="s">
        <v>400</v>
      </c>
      <c r="E636" s="6" t="n">
        <v>46061</v>
      </c>
      <c r="F636" s="6" t="n">
        <v>46061</v>
      </c>
      <c r="G636" s="1" t="s">
        <v>49</v>
      </c>
      <c r="H636" s="1" t="s">
        <v>2212</v>
      </c>
      <c r="I636" s="1" t="s">
        <v>2213</v>
      </c>
      <c r="J636" s="1" t="n">
        <v>28482.96</v>
      </c>
      <c r="K636" s="1" t="n">
        <v>21987.71</v>
      </c>
      <c r="L636" s="1" t="n">
        <v>16521.41</v>
      </c>
      <c r="M636" s="1" t="n">
        <v>5466.3</v>
      </c>
      <c r="N636" s="1" t="s">
        <v>41</v>
      </c>
      <c r="P636" s="1" t="n">
        <v>4</v>
      </c>
      <c r="Q636" s="1" t="s">
        <v>63</v>
      </c>
      <c r="R636" s="1" t="s">
        <v>43</v>
      </c>
      <c r="S636" s="6" t="n">
        <v>46065</v>
      </c>
    </row>
    <row r="637" customFormat="false" ht="14.25" hidden="false" customHeight="true" outlineLevel="0" collapsed="false">
      <c r="A637" s="1" t="s">
        <v>2214</v>
      </c>
      <c r="B637" s="1" t="s">
        <v>2215</v>
      </c>
      <c r="C637" s="1" t="s">
        <v>221</v>
      </c>
      <c r="D637" s="1" t="s">
        <v>876</v>
      </c>
      <c r="E637" s="6" t="n">
        <v>46207</v>
      </c>
      <c r="F637" s="6" t="n">
        <v>46204</v>
      </c>
      <c r="G637" s="1" t="s">
        <v>49</v>
      </c>
      <c r="H637" s="1" t="s">
        <v>2030</v>
      </c>
      <c r="I637" s="1" t="s">
        <v>2216</v>
      </c>
      <c r="J637" s="1" t="n">
        <v>43003.32</v>
      </c>
      <c r="K637" s="1" t="n">
        <v>40759.69</v>
      </c>
      <c r="L637" s="1" t="n">
        <v>31399.58</v>
      </c>
      <c r="M637" s="1" t="n">
        <v>9360.11</v>
      </c>
      <c r="N637" s="1" t="s">
        <v>41</v>
      </c>
      <c r="P637" s="1" t="n">
        <v>2</v>
      </c>
      <c r="Q637" s="1" t="s">
        <v>155</v>
      </c>
      <c r="R637" s="1" t="s">
        <v>64</v>
      </c>
      <c r="S637" s="6" t="n">
        <v>46209</v>
      </c>
    </row>
    <row r="638" customFormat="false" ht="14.25" hidden="false" customHeight="true" outlineLevel="0" collapsed="false">
      <c r="A638" s="1" t="s">
        <v>2217</v>
      </c>
      <c r="B638" s="1" t="s">
        <v>1244</v>
      </c>
      <c r="C638" s="1" t="s">
        <v>176</v>
      </c>
      <c r="D638" s="1" t="s">
        <v>320</v>
      </c>
      <c r="E638" s="6" t="n">
        <v>46214</v>
      </c>
      <c r="F638" s="6" t="n">
        <v>46214</v>
      </c>
      <c r="G638" s="1" t="s">
        <v>49</v>
      </c>
      <c r="H638" s="1" t="s">
        <v>2218</v>
      </c>
      <c r="I638" s="1" t="s">
        <v>2219</v>
      </c>
      <c r="J638" s="1" t="n">
        <v>22161.26</v>
      </c>
      <c r="K638" s="1" t="n">
        <v>20866.49</v>
      </c>
      <c r="L638" s="1" t="n">
        <v>15853.64</v>
      </c>
      <c r="M638" s="1" t="n">
        <v>5012.85</v>
      </c>
      <c r="N638" s="1" t="s">
        <v>41</v>
      </c>
      <c r="P638" s="1" t="n">
        <v>7</v>
      </c>
      <c r="Q638" s="1" t="s">
        <v>63</v>
      </c>
      <c r="R638" s="1" t="s">
        <v>43</v>
      </c>
      <c r="S638" s="6" t="n">
        <v>46221</v>
      </c>
    </row>
    <row r="639" customFormat="false" ht="14.25" hidden="false" customHeight="true" outlineLevel="0" collapsed="false">
      <c r="A639" s="1" t="s">
        <v>2220</v>
      </c>
      <c r="B639" s="1" t="s">
        <v>578</v>
      </c>
      <c r="C639" s="1" t="s">
        <v>386</v>
      </c>
      <c r="D639" s="1" t="s">
        <v>529</v>
      </c>
      <c r="E639" s="6" t="n">
        <v>46027</v>
      </c>
      <c r="F639" s="6" t="n">
        <v>46025</v>
      </c>
      <c r="G639" s="1" t="s">
        <v>70</v>
      </c>
      <c r="H639" s="1" t="s">
        <v>2221</v>
      </c>
      <c r="I639" s="1" t="s">
        <v>2222</v>
      </c>
      <c r="J639" s="1" t="n">
        <v>49789.34</v>
      </c>
      <c r="K639" s="1" t="n">
        <v>43116.72</v>
      </c>
      <c r="L639" s="1" t="n">
        <v>41825.66</v>
      </c>
      <c r="M639" s="1" t="n">
        <v>1291.06</v>
      </c>
      <c r="N639" s="1" t="s">
        <v>41</v>
      </c>
      <c r="P639" s="1" t="n">
        <v>5</v>
      </c>
      <c r="Q639" s="1" t="s">
        <v>155</v>
      </c>
      <c r="R639" s="1" t="s">
        <v>102</v>
      </c>
      <c r="S639" s="6" t="n">
        <v>46032</v>
      </c>
    </row>
    <row r="640" customFormat="false" ht="14.25" hidden="false" customHeight="true" outlineLevel="0" collapsed="false">
      <c r="A640" s="1" t="s">
        <v>2223</v>
      </c>
      <c r="B640" s="1" t="s">
        <v>787</v>
      </c>
      <c r="C640" s="1" t="s">
        <v>413</v>
      </c>
      <c r="D640" s="1" t="s">
        <v>145</v>
      </c>
      <c r="E640" s="6" t="n">
        <v>46161</v>
      </c>
      <c r="F640" s="6" t="n">
        <v>46156</v>
      </c>
      <c r="G640" s="1" t="s">
        <v>70</v>
      </c>
      <c r="H640" s="1" t="s">
        <v>649</v>
      </c>
      <c r="I640" s="1" t="s">
        <v>2224</v>
      </c>
      <c r="J640" s="1" t="n">
        <v>30892.99</v>
      </c>
      <c r="K640" s="1" t="n">
        <v>26702.12</v>
      </c>
      <c r="L640" s="1" t="n">
        <v>23493.73</v>
      </c>
      <c r="M640" s="1" t="n">
        <v>3208.39</v>
      </c>
      <c r="N640" s="1" t="s">
        <v>41</v>
      </c>
      <c r="P640" s="1" t="n">
        <v>5</v>
      </c>
      <c r="Q640" s="1" t="s">
        <v>155</v>
      </c>
      <c r="R640" s="1" t="s">
        <v>64</v>
      </c>
      <c r="S640" s="6" t="n">
        <v>46166</v>
      </c>
    </row>
    <row r="641" customFormat="false" ht="14.25" hidden="false" customHeight="true" outlineLevel="0" collapsed="false">
      <c r="A641" s="1" t="s">
        <v>2225</v>
      </c>
      <c r="B641" s="1" t="s">
        <v>46</v>
      </c>
      <c r="C641" s="1" t="s">
        <v>221</v>
      </c>
      <c r="D641" s="1" t="s">
        <v>732</v>
      </c>
      <c r="E641" s="6" t="n">
        <v>46209</v>
      </c>
      <c r="F641" s="6" t="n">
        <v>46206</v>
      </c>
      <c r="G641" s="1" t="s">
        <v>38</v>
      </c>
      <c r="H641" s="1" t="s">
        <v>498</v>
      </c>
      <c r="I641" s="1" t="s">
        <v>2226</v>
      </c>
      <c r="J641" s="1" t="n">
        <v>21107</v>
      </c>
      <c r="K641" s="1" t="n">
        <v>14671.58</v>
      </c>
      <c r="L641" s="1" t="n">
        <v>11249.61</v>
      </c>
      <c r="M641" s="1" t="n">
        <v>3421.97</v>
      </c>
      <c r="N641" s="1" t="s">
        <v>41</v>
      </c>
      <c r="P641" s="1" t="n">
        <v>1</v>
      </c>
      <c r="Q641" s="1" t="s">
        <v>42</v>
      </c>
      <c r="R641" s="1" t="s">
        <v>43</v>
      </c>
      <c r="S641" s="6" t="n">
        <v>46210</v>
      </c>
    </row>
    <row r="642" customFormat="false" ht="14.25" hidden="false" customHeight="true" outlineLevel="0" collapsed="false">
      <c r="A642" s="1" t="s">
        <v>2227</v>
      </c>
      <c r="B642" s="1" t="s">
        <v>2228</v>
      </c>
      <c r="C642" s="1" t="s">
        <v>286</v>
      </c>
      <c r="D642" s="1" t="s">
        <v>305</v>
      </c>
      <c r="E642" s="6" t="n">
        <v>46107</v>
      </c>
      <c r="F642" s="6" t="n">
        <v>46107</v>
      </c>
      <c r="G642" s="1" t="s">
        <v>38</v>
      </c>
      <c r="H642" s="1" t="s">
        <v>2229</v>
      </c>
      <c r="I642" s="1" t="s">
        <v>2230</v>
      </c>
      <c r="J642" s="1" t="n">
        <v>23700.36</v>
      </c>
      <c r="K642" s="1" t="n">
        <v>16517.63</v>
      </c>
      <c r="L642" s="1" t="n">
        <v>13835.38</v>
      </c>
      <c r="M642" s="1" t="n">
        <v>2682.25</v>
      </c>
      <c r="N642" s="1" t="s">
        <v>41</v>
      </c>
      <c r="P642" s="1" t="n">
        <v>4</v>
      </c>
      <c r="Q642" s="1" t="s">
        <v>63</v>
      </c>
      <c r="R642" s="1" t="s">
        <v>64</v>
      </c>
      <c r="S642" s="6" t="n">
        <v>46111</v>
      </c>
    </row>
    <row r="643" customFormat="false" ht="14.25" hidden="false" customHeight="true" outlineLevel="0" collapsed="false">
      <c r="A643" s="1" t="s">
        <v>2231</v>
      </c>
      <c r="B643" s="1" t="s">
        <v>1151</v>
      </c>
      <c r="C643" s="1" t="s">
        <v>430</v>
      </c>
      <c r="D643" s="1" t="s">
        <v>99</v>
      </c>
      <c r="E643" s="6" t="n">
        <v>46211</v>
      </c>
      <c r="F643" s="6" t="n">
        <v>46209</v>
      </c>
      <c r="G643" s="1" t="s">
        <v>108</v>
      </c>
      <c r="H643" s="1" t="s">
        <v>153</v>
      </c>
      <c r="I643" s="1" t="s">
        <v>2232</v>
      </c>
      <c r="J643" s="1" t="n">
        <v>38465.95</v>
      </c>
      <c r="K643" s="1" t="n">
        <v>35784.58</v>
      </c>
      <c r="L643" s="1" t="n">
        <v>31858.23</v>
      </c>
      <c r="M643" s="1" t="n">
        <v>3926.35</v>
      </c>
      <c r="N643" s="1" t="s">
        <v>41</v>
      </c>
      <c r="P643" s="1" t="n">
        <v>4</v>
      </c>
      <c r="Q643" s="1" t="s">
        <v>63</v>
      </c>
      <c r="R643" s="1" t="s">
        <v>140</v>
      </c>
      <c r="S643" s="6" t="n">
        <v>46215</v>
      </c>
    </row>
    <row r="644" customFormat="false" ht="14.25" hidden="false" customHeight="true" outlineLevel="0" collapsed="false">
      <c r="A644" s="1" t="s">
        <v>2233</v>
      </c>
      <c r="B644" s="1" t="s">
        <v>454</v>
      </c>
      <c r="C644" s="1" t="s">
        <v>310</v>
      </c>
      <c r="D644" s="1" t="s">
        <v>418</v>
      </c>
      <c r="E644" s="6" t="n">
        <v>46094</v>
      </c>
      <c r="F644" s="6" t="n">
        <v>46090</v>
      </c>
      <c r="G644" s="1" t="s">
        <v>70</v>
      </c>
      <c r="H644" s="1" t="s">
        <v>2234</v>
      </c>
      <c r="I644" s="1" t="s">
        <v>2235</v>
      </c>
      <c r="J644" s="1" t="n">
        <v>39945.78</v>
      </c>
      <c r="K644" s="1" t="n">
        <v>33003.01</v>
      </c>
      <c r="L644" s="1" t="n">
        <v>31072.78</v>
      </c>
      <c r="M644" s="1" t="n">
        <v>1930.23</v>
      </c>
      <c r="N644" s="1" t="s">
        <v>41</v>
      </c>
      <c r="P644" s="1" t="n">
        <v>6</v>
      </c>
      <c r="Q644" s="1" t="s">
        <v>155</v>
      </c>
      <c r="R644" s="1" t="s">
        <v>140</v>
      </c>
      <c r="S644" s="6" t="n">
        <v>46100</v>
      </c>
    </row>
    <row r="645" customFormat="false" ht="14.25" hidden="false" customHeight="true" outlineLevel="0" collapsed="false">
      <c r="A645" s="1" t="s">
        <v>2236</v>
      </c>
      <c r="B645" s="1" t="s">
        <v>2237</v>
      </c>
      <c r="C645" s="1" t="s">
        <v>176</v>
      </c>
      <c r="D645" s="1" t="s">
        <v>69</v>
      </c>
      <c r="E645" s="6" t="n">
        <v>46024</v>
      </c>
      <c r="F645" s="6" t="n">
        <v>46023</v>
      </c>
      <c r="G645" s="1" t="s">
        <v>108</v>
      </c>
      <c r="H645" s="1" t="s">
        <v>687</v>
      </c>
      <c r="I645" s="1" t="s">
        <v>2238</v>
      </c>
      <c r="J645" s="1" t="n">
        <v>5021.24</v>
      </c>
      <c r="K645" s="1" t="n">
        <v>4473.96</v>
      </c>
      <c r="L645" s="1" t="n">
        <v>0</v>
      </c>
      <c r="M645" s="1" t="n">
        <v>4473.96</v>
      </c>
      <c r="N645" s="1" t="s">
        <v>260</v>
      </c>
      <c r="P645" s="1" t="n">
        <v>3</v>
      </c>
      <c r="Q645" s="1" t="s">
        <v>155</v>
      </c>
      <c r="R645" s="1" t="s">
        <v>140</v>
      </c>
    </row>
    <row r="646" customFormat="false" ht="14.25" hidden="false" customHeight="true" outlineLevel="0" collapsed="false">
      <c r="A646" s="1" t="s">
        <v>2239</v>
      </c>
      <c r="B646" s="1" t="s">
        <v>1441</v>
      </c>
      <c r="C646" s="1" t="s">
        <v>106</v>
      </c>
      <c r="D646" s="1" t="s">
        <v>717</v>
      </c>
      <c r="E646" s="6" t="n">
        <v>46156</v>
      </c>
      <c r="F646" s="6" t="n">
        <v>46153</v>
      </c>
      <c r="G646" s="1" t="s">
        <v>49</v>
      </c>
      <c r="H646" s="1" t="s">
        <v>1331</v>
      </c>
      <c r="I646" s="1" t="s">
        <v>2240</v>
      </c>
      <c r="J646" s="1" t="n">
        <v>23848.61</v>
      </c>
      <c r="K646" s="1" t="n">
        <v>17666.28</v>
      </c>
      <c r="L646" s="1" t="n">
        <v>16606.34</v>
      </c>
      <c r="M646" s="1" t="n">
        <v>1059.94</v>
      </c>
      <c r="N646" s="1" t="s">
        <v>41</v>
      </c>
      <c r="P646" s="1" t="n">
        <v>4</v>
      </c>
      <c r="Q646" s="1" t="s">
        <v>63</v>
      </c>
      <c r="R646" s="1" t="s">
        <v>102</v>
      </c>
      <c r="S646" s="6" t="n">
        <v>46160</v>
      </c>
    </row>
    <row r="647" customFormat="false" ht="14.25" hidden="false" customHeight="true" outlineLevel="0" collapsed="false">
      <c r="A647" s="1" t="s">
        <v>2241</v>
      </c>
      <c r="B647" s="1" t="s">
        <v>2237</v>
      </c>
      <c r="C647" s="1" t="s">
        <v>279</v>
      </c>
      <c r="D647" s="1" t="s">
        <v>315</v>
      </c>
      <c r="E647" s="6" t="n">
        <v>46158</v>
      </c>
      <c r="F647" s="6" t="n">
        <v>46156</v>
      </c>
      <c r="G647" s="1" t="s">
        <v>49</v>
      </c>
      <c r="H647" s="1" t="s">
        <v>166</v>
      </c>
      <c r="I647" s="1" t="s">
        <v>2242</v>
      </c>
      <c r="J647" s="1" t="n">
        <v>44222.64</v>
      </c>
      <c r="K647" s="1" t="n">
        <v>39917.89</v>
      </c>
      <c r="L647" s="1" t="n">
        <v>39472.41</v>
      </c>
      <c r="M647" s="1" t="n">
        <v>445.48</v>
      </c>
      <c r="N647" s="1" t="s">
        <v>41</v>
      </c>
      <c r="P647" s="1" t="n">
        <v>5</v>
      </c>
      <c r="Q647" s="1" t="s">
        <v>42</v>
      </c>
      <c r="R647" s="1" t="s">
        <v>54</v>
      </c>
      <c r="S647" s="6" t="n">
        <v>46163</v>
      </c>
    </row>
    <row r="648" customFormat="false" ht="14.25" hidden="false" customHeight="true" outlineLevel="0" collapsed="false">
      <c r="A648" s="1" t="s">
        <v>2243</v>
      </c>
      <c r="B648" s="1" t="s">
        <v>493</v>
      </c>
      <c r="C648" s="1" t="s">
        <v>623</v>
      </c>
      <c r="D648" s="1" t="s">
        <v>387</v>
      </c>
      <c r="E648" s="6" t="n">
        <v>46168</v>
      </c>
      <c r="F648" s="6" t="n">
        <v>46165</v>
      </c>
      <c r="G648" s="1" t="s">
        <v>38</v>
      </c>
      <c r="H648" s="1" t="s">
        <v>839</v>
      </c>
      <c r="I648" s="1" t="s">
        <v>2244</v>
      </c>
      <c r="J648" s="1" t="n">
        <v>9311.61</v>
      </c>
      <c r="K648" s="1" t="n">
        <v>8472.09</v>
      </c>
      <c r="L648" s="1" t="n">
        <v>0</v>
      </c>
      <c r="M648" s="1" t="n">
        <v>8472.09</v>
      </c>
      <c r="N648" s="1" t="s">
        <v>111</v>
      </c>
      <c r="P648" s="1" t="n">
        <v>11</v>
      </c>
      <c r="Q648" s="1" t="s">
        <v>63</v>
      </c>
      <c r="R648" s="1" t="s">
        <v>102</v>
      </c>
    </row>
    <row r="649" customFormat="false" ht="14.25" hidden="false" customHeight="true" outlineLevel="0" collapsed="false">
      <c r="A649" s="1" t="s">
        <v>2245</v>
      </c>
      <c r="B649" s="1" t="s">
        <v>475</v>
      </c>
      <c r="C649" s="1" t="s">
        <v>430</v>
      </c>
      <c r="D649" s="1" t="s">
        <v>607</v>
      </c>
      <c r="E649" s="6" t="n">
        <v>46073</v>
      </c>
      <c r="F649" s="6" t="n">
        <v>46068</v>
      </c>
      <c r="G649" s="1" t="s">
        <v>70</v>
      </c>
      <c r="H649" s="1" t="s">
        <v>663</v>
      </c>
      <c r="I649" s="1" t="s">
        <v>2246</v>
      </c>
      <c r="J649" s="1" t="n">
        <v>10193.89</v>
      </c>
      <c r="K649" s="1" t="n">
        <v>7730</v>
      </c>
      <c r="L649" s="1" t="n">
        <v>0</v>
      </c>
      <c r="M649" s="1" t="n">
        <v>7730</v>
      </c>
      <c r="N649" s="1" t="s">
        <v>260</v>
      </c>
      <c r="P649" s="1" t="n">
        <v>4</v>
      </c>
      <c r="Q649" s="1" t="s">
        <v>63</v>
      </c>
      <c r="R649" s="1" t="s">
        <v>64</v>
      </c>
    </row>
    <row r="650" customFormat="false" ht="14.25" hidden="false" customHeight="true" outlineLevel="0" collapsed="false">
      <c r="A650" s="1" t="s">
        <v>2247</v>
      </c>
      <c r="B650" s="1" t="s">
        <v>1957</v>
      </c>
      <c r="C650" s="1" t="s">
        <v>286</v>
      </c>
      <c r="D650" s="1" t="s">
        <v>937</v>
      </c>
      <c r="E650" s="6" t="n">
        <v>46030</v>
      </c>
      <c r="F650" s="6" t="n">
        <v>46026</v>
      </c>
      <c r="G650" s="1" t="s">
        <v>108</v>
      </c>
      <c r="H650" s="1" t="s">
        <v>723</v>
      </c>
      <c r="I650" s="1" t="s">
        <v>2248</v>
      </c>
      <c r="J650" s="1" t="n">
        <v>32537.3</v>
      </c>
      <c r="K650" s="1" t="n">
        <v>27412.75</v>
      </c>
      <c r="L650" s="1" t="n">
        <v>23289.15</v>
      </c>
      <c r="M650" s="1" t="n">
        <v>4123.6</v>
      </c>
      <c r="N650" s="1" t="s">
        <v>41</v>
      </c>
      <c r="P650" s="1" t="n">
        <v>5</v>
      </c>
      <c r="Q650" s="1" t="s">
        <v>42</v>
      </c>
      <c r="R650" s="1" t="s">
        <v>74</v>
      </c>
      <c r="S650" s="6" t="n">
        <v>46035</v>
      </c>
    </row>
    <row r="651" customFormat="false" ht="14.25" hidden="false" customHeight="true" outlineLevel="0" collapsed="false">
      <c r="A651" s="1" t="s">
        <v>2249</v>
      </c>
      <c r="B651" s="1" t="s">
        <v>2164</v>
      </c>
      <c r="C651" s="1" t="s">
        <v>58</v>
      </c>
      <c r="D651" s="1" t="s">
        <v>1166</v>
      </c>
      <c r="E651" s="6" t="n">
        <v>46142</v>
      </c>
      <c r="F651" s="6" t="n">
        <v>46139</v>
      </c>
      <c r="G651" s="1" t="s">
        <v>38</v>
      </c>
      <c r="H651" s="1" t="s">
        <v>815</v>
      </c>
      <c r="I651" s="1" t="s">
        <v>2250</v>
      </c>
      <c r="J651" s="1" t="n">
        <v>37621.83</v>
      </c>
      <c r="K651" s="1" t="n">
        <v>31762.78</v>
      </c>
      <c r="L651" s="1" t="n">
        <v>28154.43</v>
      </c>
      <c r="M651" s="1" t="n">
        <v>3608.35</v>
      </c>
      <c r="N651" s="1" t="s">
        <v>41</v>
      </c>
      <c r="P651" s="1" t="n">
        <v>2</v>
      </c>
      <c r="Q651" s="1" t="s">
        <v>155</v>
      </c>
      <c r="R651" s="1" t="s">
        <v>54</v>
      </c>
      <c r="S651" s="6" t="n">
        <v>46144</v>
      </c>
    </row>
    <row r="652" customFormat="false" ht="14.25" hidden="false" customHeight="true" outlineLevel="0" collapsed="false">
      <c r="A652" s="1" t="s">
        <v>2251</v>
      </c>
      <c r="B652" s="1" t="s">
        <v>1466</v>
      </c>
      <c r="C652" s="1" t="s">
        <v>78</v>
      </c>
      <c r="D652" s="1" t="s">
        <v>529</v>
      </c>
      <c r="E652" s="6" t="n">
        <v>46130</v>
      </c>
      <c r="F652" s="6" t="n">
        <v>46130</v>
      </c>
      <c r="G652" s="1" t="s">
        <v>108</v>
      </c>
      <c r="H652" s="1" t="s">
        <v>2252</v>
      </c>
      <c r="I652" s="1" t="s">
        <v>792</v>
      </c>
      <c r="J652" s="1" t="n">
        <v>32055.17</v>
      </c>
      <c r="K652" s="1" t="n">
        <v>21435.22</v>
      </c>
      <c r="L652" s="1" t="n">
        <v>16598.77</v>
      </c>
      <c r="M652" s="1" t="n">
        <v>4836.45</v>
      </c>
      <c r="N652" s="1" t="s">
        <v>41</v>
      </c>
      <c r="P652" s="1" t="n">
        <v>5</v>
      </c>
      <c r="Q652" s="1" t="s">
        <v>42</v>
      </c>
      <c r="R652" s="1" t="s">
        <v>140</v>
      </c>
      <c r="S652" s="6" t="n">
        <v>46135</v>
      </c>
    </row>
    <row r="653" customFormat="false" ht="14.25" hidden="false" customHeight="true" outlineLevel="0" collapsed="false">
      <c r="A653" s="1" t="s">
        <v>2253</v>
      </c>
      <c r="B653" s="1" t="s">
        <v>869</v>
      </c>
      <c r="C653" s="1" t="s">
        <v>686</v>
      </c>
      <c r="D653" s="1" t="s">
        <v>732</v>
      </c>
      <c r="E653" s="6" t="n">
        <v>46178</v>
      </c>
      <c r="F653" s="6" t="n">
        <v>46173</v>
      </c>
      <c r="G653" s="1" t="s">
        <v>38</v>
      </c>
      <c r="H653" s="1" t="s">
        <v>2254</v>
      </c>
      <c r="I653" s="1" t="s">
        <v>2255</v>
      </c>
      <c r="J653" s="1" t="n">
        <v>26058.85</v>
      </c>
      <c r="K653" s="1" t="n">
        <v>24291.11</v>
      </c>
      <c r="L653" s="1" t="n">
        <v>0</v>
      </c>
      <c r="M653" s="1" t="n">
        <v>24291.11</v>
      </c>
      <c r="N653" s="1" t="s">
        <v>52</v>
      </c>
      <c r="O653" s="1" t="s">
        <v>62</v>
      </c>
      <c r="P653" s="1" t="n">
        <v>7</v>
      </c>
      <c r="Q653" s="1" t="s">
        <v>155</v>
      </c>
      <c r="R653" s="1" t="s">
        <v>140</v>
      </c>
    </row>
    <row r="654" customFormat="false" ht="14.25" hidden="false" customHeight="true" outlineLevel="0" collapsed="false">
      <c r="A654" s="1" t="s">
        <v>2256</v>
      </c>
      <c r="B654" s="1" t="s">
        <v>46</v>
      </c>
      <c r="C654" s="1" t="s">
        <v>144</v>
      </c>
      <c r="D654" s="1" t="s">
        <v>315</v>
      </c>
      <c r="E654" s="6" t="n">
        <v>46136</v>
      </c>
      <c r="F654" s="6" t="n">
        <v>46136</v>
      </c>
      <c r="G654" s="1" t="s">
        <v>70</v>
      </c>
      <c r="H654" s="1" t="s">
        <v>2257</v>
      </c>
      <c r="I654" s="1" t="s">
        <v>2258</v>
      </c>
      <c r="J654" s="1" t="n">
        <v>10334.83</v>
      </c>
      <c r="K654" s="1" t="n">
        <v>8284.81</v>
      </c>
      <c r="L654" s="1" t="n">
        <v>6571.86</v>
      </c>
      <c r="M654" s="1" t="n">
        <v>1712.95</v>
      </c>
      <c r="N654" s="1" t="s">
        <v>41</v>
      </c>
      <c r="P654" s="1" t="n">
        <v>1</v>
      </c>
      <c r="Q654" s="1" t="s">
        <v>63</v>
      </c>
      <c r="R654" s="1" t="s">
        <v>64</v>
      </c>
      <c r="S654" s="6" t="n">
        <v>46137</v>
      </c>
    </row>
    <row r="655" customFormat="false" ht="14.25" hidden="false" customHeight="true" outlineLevel="0" collapsed="false">
      <c r="A655" s="1" t="s">
        <v>2259</v>
      </c>
      <c r="B655" s="1" t="s">
        <v>814</v>
      </c>
      <c r="C655" s="1" t="s">
        <v>386</v>
      </c>
      <c r="D655" s="1" t="s">
        <v>418</v>
      </c>
      <c r="E655" s="6" t="n">
        <v>46201</v>
      </c>
      <c r="F655" s="6" t="n">
        <v>46201</v>
      </c>
      <c r="G655" s="1" t="s">
        <v>108</v>
      </c>
      <c r="H655" s="1" t="s">
        <v>2260</v>
      </c>
      <c r="I655" s="1" t="s">
        <v>2261</v>
      </c>
      <c r="J655" s="1" t="n">
        <v>23418.77</v>
      </c>
      <c r="K655" s="1" t="n">
        <v>16039.01</v>
      </c>
      <c r="L655" s="1" t="n">
        <v>12392.39</v>
      </c>
      <c r="M655" s="1" t="n">
        <v>3646.62</v>
      </c>
      <c r="N655" s="1" t="s">
        <v>41</v>
      </c>
      <c r="P655" s="1" t="n">
        <v>2</v>
      </c>
      <c r="Q655" s="1" t="s">
        <v>155</v>
      </c>
      <c r="R655" s="1" t="s">
        <v>140</v>
      </c>
      <c r="S655" s="6" t="n">
        <v>46203</v>
      </c>
    </row>
    <row r="656" customFormat="false" ht="14.25" hidden="false" customHeight="true" outlineLevel="0" collapsed="false">
      <c r="A656" s="1" t="s">
        <v>2262</v>
      </c>
      <c r="B656" s="1" t="s">
        <v>220</v>
      </c>
      <c r="C656" s="1" t="s">
        <v>543</v>
      </c>
      <c r="D656" s="1" t="s">
        <v>130</v>
      </c>
      <c r="E656" s="6" t="n">
        <v>46188</v>
      </c>
      <c r="F656" s="6" t="n">
        <v>46186</v>
      </c>
      <c r="G656" s="1" t="s">
        <v>49</v>
      </c>
      <c r="H656" s="1" t="s">
        <v>815</v>
      </c>
      <c r="I656" s="1" t="s">
        <v>2263</v>
      </c>
      <c r="J656" s="1" t="n">
        <v>43921.32</v>
      </c>
      <c r="K656" s="1" t="n">
        <v>40977.33</v>
      </c>
      <c r="L656" s="1" t="n">
        <v>33886.02</v>
      </c>
      <c r="M656" s="1" t="n">
        <v>7091.31</v>
      </c>
      <c r="N656" s="1" t="s">
        <v>41</v>
      </c>
      <c r="P656" s="1" t="n">
        <v>4</v>
      </c>
      <c r="Q656" s="1" t="s">
        <v>155</v>
      </c>
      <c r="R656" s="1" t="s">
        <v>102</v>
      </c>
      <c r="S656" s="6" t="n">
        <v>46192</v>
      </c>
    </row>
    <row r="657" customFormat="false" ht="14.25" hidden="false" customHeight="true" outlineLevel="0" collapsed="false">
      <c r="A657" s="1" t="s">
        <v>2264</v>
      </c>
      <c r="B657" s="1" t="s">
        <v>1021</v>
      </c>
      <c r="C657" s="1" t="s">
        <v>85</v>
      </c>
      <c r="D657" s="1" t="s">
        <v>485</v>
      </c>
      <c r="E657" s="6" t="n">
        <v>46062</v>
      </c>
      <c r="F657" s="6" t="n">
        <v>46058</v>
      </c>
      <c r="G657" s="1" t="s">
        <v>49</v>
      </c>
      <c r="H657" s="1" t="s">
        <v>2265</v>
      </c>
      <c r="I657" s="1" t="s">
        <v>2266</v>
      </c>
      <c r="J657" s="1" t="n">
        <v>11685.04</v>
      </c>
      <c r="K657" s="1" t="n">
        <v>8255.17</v>
      </c>
      <c r="L657" s="1" t="n">
        <v>8014.88</v>
      </c>
      <c r="M657" s="1" t="n">
        <v>240.29</v>
      </c>
      <c r="N657" s="1" t="s">
        <v>41</v>
      </c>
      <c r="P657" s="1" t="n">
        <v>3</v>
      </c>
      <c r="Q657" s="1" t="s">
        <v>63</v>
      </c>
      <c r="R657" s="1" t="s">
        <v>102</v>
      </c>
      <c r="S657" s="6" t="n">
        <v>46065</v>
      </c>
    </row>
    <row r="658" customFormat="false" ht="14.25" hidden="false" customHeight="true" outlineLevel="0" collapsed="false">
      <c r="A658" s="1" t="s">
        <v>2267</v>
      </c>
      <c r="B658" s="1" t="s">
        <v>806</v>
      </c>
      <c r="C658" s="1" t="s">
        <v>430</v>
      </c>
      <c r="D658" s="1" t="s">
        <v>107</v>
      </c>
      <c r="E658" s="6" t="n">
        <v>46173</v>
      </c>
      <c r="F658" s="6" t="n">
        <v>46171</v>
      </c>
      <c r="G658" s="1" t="s">
        <v>38</v>
      </c>
      <c r="H658" s="1" t="s">
        <v>2268</v>
      </c>
      <c r="I658" s="1" t="s">
        <v>2269</v>
      </c>
      <c r="J658" s="1" t="n">
        <v>32270.38</v>
      </c>
      <c r="K658" s="1" t="n">
        <v>25329.08</v>
      </c>
      <c r="L658" s="1" t="n">
        <v>22992.64</v>
      </c>
      <c r="M658" s="1" t="n">
        <v>2336.44</v>
      </c>
      <c r="N658" s="1" t="s">
        <v>41</v>
      </c>
      <c r="P658" s="1" t="n">
        <v>3</v>
      </c>
      <c r="Q658" s="1" t="s">
        <v>42</v>
      </c>
      <c r="R658" s="1" t="s">
        <v>43</v>
      </c>
      <c r="S658" s="6" t="n">
        <v>46176</v>
      </c>
    </row>
    <row r="659" customFormat="false" ht="14.25" hidden="false" customHeight="true" outlineLevel="0" collapsed="false">
      <c r="A659" s="1" t="s">
        <v>2270</v>
      </c>
      <c r="B659" s="1" t="s">
        <v>497</v>
      </c>
      <c r="C659" s="1" t="s">
        <v>310</v>
      </c>
      <c r="D659" s="1" t="s">
        <v>145</v>
      </c>
      <c r="E659" s="6" t="n">
        <v>46116</v>
      </c>
      <c r="F659" s="6" t="n">
        <v>46111</v>
      </c>
      <c r="G659" s="1" t="s">
        <v>70</v>
      </c>
      <c r="H659" s="1" t="s">
        <v>1103</v>
      </c>
      <c r="I659" s="1" t="s">
        <v>2271</v>
      </c>
      <c r="J659" s="1" t="n">
        <v>39915.43</v>
      </c>
      <c r="K659" s="1" t="n">
        <v>28429.13</v>
      </c>
      <c r="L659" s="1" t="n">
        <v>0</v>
      </c>
      <c r="M659" s="1" t="n">
        <v>28429.13</v>
      </c>
      <c r="N659" s="1" t="s">
        <v>52</v>
      </c>
      <c r="O659" s="1" t="s">
        <v>53</v>
      </c>
      <c r="P659" s="1" t="n">
        <v>5</v>
      </c>
      <c r="Q659" s="1" t="s">
        <v>63</v>
      </c>
      <c r="R659" s="1" t="s">
        <v>54</v>
      </c>
    </row>
    <row r="660" customFormat="false" ht="14.25" hidden="false" customHeight="true" outlineLevel="0" collapsed="false">
      <c r="A660" s="1" t="s">
        <v>2272</v>
      </c>
      <c r="B660" s="1" t="s">
        <v>622</v>
      </c>
      <c r="C660" s="1" t="s">
        <v>58</v>
      </c>
      <c r="D660" s="1" t="s">
        <v>137</v>
      </c>
      <c r="E660" s="6" t="n">
        <v>46056</v>
      </c>
      <c r="F660" s="6" t="n">
        <v>46052</v>
      </c>
      <c r="G660" s="1" t="s">
        <v>49</v>
      </c>
      <c r="H660" s="1" t="s">
        <v>2273</v>
      </c>
      <c r="I660" s="1" t="s">
        <v>2274</v>
      </c>
      <c r="J660" s="1" t="n">
        <v>9728.06</v>
      </c>
      <c r="K660" s="1" t="n">
        <v>6731.28</v>
      </c>
      <c r="L660" s="1" t="n">
        <v>0</v>
      </c>
      <c r="M660" s="1" t="n">
        <v>6731.28</v>
      </c>
      <c r="N660" s="1" t="s">
        <v>111</v>
      </c>
      <c r="P660" s="1" t="n">
        <v>13</v>
      </c>
      <c r="Q660" s="1" t="s">
        <v>63</v>
      </c>
      <c r="R660" s="1" t="s">
        <v>74</v>
      </c>
    </row>
    <row r="661" customFormat="false" ht="14.25" hidden="false" customHeight="true" outlineLevel="0" collapsed="false">
      <c r="A661" s="1" t="s">
        <v>2275</v>
      </c>
      <c r="B661" s="1" t="s">
        <v>381</v>
      </c>
      <c r="C661" s="1" t="s">
        <v>68</v>
      </c>
      <c r="D661" s="1" t="s">
        <v>291</v>
      </c>
      <c r="E661" s="6" t="n">
        <v>46054</v>
      </c>
      <c r="F661" s="6" t="n">
        <v>46049</v>
      </c>
      <c r="G661" s="1" t="s">
        <v>70</v>
      </c>
      <c r="H661" s="1" t="s">
        <v>2276</v>
      </c>
      <c r="I661" s="1" t="s">
        <v>2277</v>
      </c>
      <c r="J661" s="1" t="n">
        <v>45100.69</v>
      </c>
      <c r="K661" s="1" t="n">
        <v>31463.38</v>
      </c>
      <c r="L661" s="1" t="n">
        <v>27337.71</v>
      </c>
      <c r="M661" s="1" t="n">
        <v>4125.67</v>
      </c>
      <c r="N661" s="1" t="s">
        <v>41</v>
      </c>
      <c r="P661" s="1" t="n">
        <v>6</v>
      </c>
      <c r="Q661" s="1" t="s">
        <v>42</v>
      </c>
      <c r="R661" s="1" t="s">
        <v>140</v>
      </c>
      <c r="S661" s="6" t="n">
        <v>46060</v>
      </c>
    </row>
    <row r="662" customFormat="false" ht="14.25" hidden="false" customHeight="true" outlineLevel="0" collapsed="false">
      <c r="A662" s="1" t="s">
        <v>2278</v>
      </c>
      <c r="B662" s="1" t="s">
        <v>913</v>
      </c>
      <c r="C662" s="1" t="s">
        <v>198</v>
      </c>
      <c r="D662" s="1" t="s">
        <v>336</v>
      </c>
      <c r="E662" s="6" t="n">
        <v>46215</v>
      </c>
      <c r="F662" s="6" t="n">
        <v>46215</v>
      </c>
      <c r="G662" s="1" t="s">
        <v>70</v>
      </c>
      <c r="H662" s="1" t="s">
        <v>2178</v>
      </c>
      <c r="I662" s="1" t="s">
        <v>2279</v>
      </c>
      <c r="J662" s="1" t="n">
        <v>31022.31</v>
      </c>
      <c r="K662" s="1" t="n">
        <v>25688.72</v>
      </c>
      <c r="L662" s="1" t="n">
        <v>23726.73</v>
      </c>
      <c r="M662" s="1" t="n">
        <v>1961.99</v>
      </c>
      <c r="N662" s="1" t="s">
        <v>41</v>
      </c>
      <c r="P662" s="1" t="n">
        <v>7</v>
      </c>
      <c r="Q662" s="1" t="s">
        <v>63</v>
      </c>
      <c r="R662" s="1" t="s">
        <v>74</v>
      </c>
      <c r="S662" s="6" t="n">
        <v>46222</v>
      </c>
    </row>
    <row r="663" customFormat="false" ht="14.25" hidden="false" customHeight="true" outlineLevel="0" collapsed="false">
      <c r="A663" s="1" t="s">
        <v>2280</v>
      </c>
      <c r="B663" s="1" t="s">
        <v>187</v>
      </c>
      <c r="C663" s="1" t="s">
        <v>279</v>
      </c>
      <c r="D663" s="1" t="s">
        <v>558</v>
      </c>
      <c r="E663" s="6" t="n">
        <v>46127</v>
      </c>
      <c r="F663" s="6" t="n">
        <v>46125</v>
      </c>
      <c r="G663" s="1" t="s">
        <v>70</v>
      </c>
      <c r="H663" s="1" t="s">
        <v>1668</v>
      </c>
      <c r="I663" s="1" t="s">
        <v>2281</v>
      </c>
      <c r="J663" s="1" t="n">
        <v>46484.98</v>
      </c>
      <c r="K663" s="1" t="n">
        <v>33482.71</v>
      </c>
      <c r="L663" s="1" t="n">
        <v>32936.56</v>
      </c>
      <c r="M663" s="1" t="n">
        <v>546.15</v>
      </c>
      <c r="N663" s="1" t="s">
        <v>41</v>
      </c>
      <c r="P663" s="1" t="n">
        <v>2</v>
      </c>
      <c r="Q663" s="1" t="s">
        <v>42</v>
      </c>
      <c r="R663" s="1" t="s">
        <v>54</v>
      </c>
      <c r="S663" s="6" t="n">
        <v>46129</v>
      </c>
    </row>
    <row r="664" customFormat="false" ht="14.25" hidden="false" customHeight="true" outlineLevel="0" collapsed="false">
      <c r="A664" s="1" t="s">
        <v>2282</v>
      </c>
      <c r="B664" s="1" t="s">
        <v>842</v>
      </c>
      <c r="C664" s="1" t="s">
        <v>273</v>
      </c>
      <c r="D664" s="1" t="s">
        <v>165</v>
      </c>
      <c r="E664" s="6" t="n">
        <v>46068</v>
      </c>
      <c r="F664" s="6" t="n">
        <v>46064</v>
      </c>
      <c r="G664" s="1" t="s">
        <v>38</v>
      </c>
      <c r="H664" s="1" t="s">
        <v>2283</v>
      </c>
      <c r="I664" s="1" t="s">
        <v>1661</v>
      </c>
      <c r="J664" s="1" t="n">
        <v>15378.85</v>
      </c>
      <c r="K664" s="1" t="n">
        <v>12749.92</v>
      </c>
      <c r="L664" s="1" t="n">
        <v>11786.13</v>
      </c>
      <c r="M664" s="1" t="n">
        <v>963.79</v>
      </c>
      <c r="N664" s="1" t="s">
        <v>41</v>
      </c>
      <c r="P664" s="1" t="n">
        <v>4</v>
      </c>
      <c r="Q664" s="1" t="s">
        <v>155</v>
      </c>
      <c r="R664" s="1" t="s">
        <v>54</v>
      </c>
      <c r="S664" s="6" t="n">
        <v>46072</v>
      </c>
    </row>
    <row r="665" customFormat="false" ht="14.25" hidden="false" customHeight="true" outlineLevel="0" collapsed="false">
      <c r="A665" s="1" t="s">
        <v>2284</v>
      </c>
      <c r="B665" s="1" t="s">
        <v>1232</v>
      </c>
      <c r="C665" s="1" t="s">
        <v>68</v>
      </c>
      <c r="D665" s="1" t="s">
        <v>116</v>
      </c>
      <c r="E665" s="6" t="n">
        <v>46103</v>
      </c>
      <c r="F665" s="6" t="n">
        <v>46102</v>
      </c>
      <c r="G665" s="1" t="s">
        <v>70</v>
      </c>
      <c r="H665" s="1" t="s">
        <v>2285</v>
      </c>
      <c r="I665" s="1" t="s">
        <v>2286</v>
      </c>
      <c r="J665" s="1" t="n">
        <v>23206.32</v>
      </c>
      <c r="K665" s="1" t="n">
        <v>16235.2</v>
      </c>
      <c r="L665" s="1" t="n">
        <v>0</v>
      </c>
      <c r="M665" s="1" t="n">
        <v>16235.2</v>
      </c>
      <c r="N665" s="1" t="s">
        <v>52</v>
      </c>
      <c r="O665" s="1" t="s">
        <v>265</v>
      </c>
      <c r="P665" s="1" t="n">
        <v>1</v>
      </c>
      <c r="Q665" s="1" t="s">
        <v>155</v>
      </c>
      <c r="R665" s="1" t="s">
        <v>125</v>
      </c>
    </row>
    <row r="666" customFormat="false" ht="14.25" hidden="false" customHeight="true" outlineLevel="0" collapsed="false">
      <c r="A666" s="1" t="s">
        <v>2287</v>
      </c>
      <c r="B666" s="1" t="s">
        <v>475</v>
      </c>
      <c r="C666" s="1" t="s">
        <v>129</v>
      </c>
      <c r="D666" s="1" t="s">
        <v>431</v>
      </c>
      <c r="E666" s="6" t="n">
        <v>46078</v>
      </c>
      <c r="F666" s="6" t="n">
        <v>46075</v>
      </c>
      <c r="G666" s="1" t="s">
        <v>70</v>
      </c>
      <c r="H666" s="1" t="s">
        <v>1998</v>
      </c>
      <c r="I666" s="1" t="s">
        <v>2248</v>
      </c>
      <c r="J666" s="1" t="n">
        <v>12614.26</v>
      </c>
      <c r="K666" s="1" t="n">
        <v>10790.42</v>
      </c>
      <c r="L666" s="1" t="n">
        <v>10374.09</v>
      </c>
      <c r="M666" s="1" t="n">
        <v>416.33</v>
      </c>
      <c r="N666" s="1" t="s">
        <v>41</v>
      </c>
      <c r="P666" s="1" t="n">
        <v>6</v>
      </c>
      <c r="Q666" s="1" t="s">
        <v>42</v>
      </c>
      <c r="R666" s="1" t="s">
        <v>74</v>
      </c>
      <c r="S666" s="6" t="n">
        <v>46084</v>
      </c>
    </row>
    <row r="667" customFormat="false" ht="14.25" hidden="false" customHeight="true" outlineLevel="0" collapsed="false">
      <c r="A667" s="1" t="s">
        <v>2288</v>
      </c>
      <c r="B667" s="1" t="s">
        <v>340</v>
      </c>
      <c r="C667" s="1" t="s">
        <v>335</v>
      </c>
      <c r="D667" s="1" t="s">
        <v>984</v>
      </c>
      <c r="E667" s="6" t="n">
        <v>46128</v>
      </c>
      <c r="F667" s="6" t="n">
        <v>46123</v>
      </c>
      <c r="G667" s="1" t="s">
        <v>70</v>
      </c>
      <c r="H667" s="1" t="s">
        <v>2289</v>
      </c>
      <c r="I667" s="1" t="s">
        <v>1237</v>
      </c>
      <c r="J667" s="1" t="n">
        <v>23879.14</v>
      </c>
      <c r="K667" s="1" t="n">
        <v>18217.1</v>
      </c>
      <c r="L667" s="1" t="n">
        <v>15773.66</v>
      </c>
      <c r="M667" s="1" t="n">
        <v>2443.44</v>
      </c>
      <c r="N667" s="1" t="s">
        <v>41</v>
      </c>
      <c r="P667" s="1" t="n">
        <v>4</v>
      </c>
      <c r="Q667" s="1" t="s">
        <v>63</v>
      </c>
      <c r="R667" s="1" t="s">
        <v>125</v>
      </c>
      <c r="S667" s="6" t="n">
        <v>46132</v>
      </c>
    </row>
    <row r="668" customFormat="false" ht="14.25" hidden="false" customHeight="true" outlineLevel="0" collapsed="false">
      <c r="A668" s="1" t="s">
        <v>2290</v>
      </c>
      <c r="B668" s="1" t="s">
        <v>639</v>
      </c>
      <c r="C668" s="1" t="s">
        <v>356</v>
      </c>
      <c r="D668" s="1" t="s">
        <v>635</v>
      </c>
      <c r="E668" s="6" t="n">
        <v>46108</v>
      </c>
      <c r="F668" s="6" t="n">
        <v>46106</v>
      </c>
      <c r="G668" s="1" t="s">
        <v>108</v>
      </c>
      <c r="H668" s="1" t="s">
        <v>679</v>
      </c>
      <c r="I668" s="1" t="s">
        <v>2169</v>
      </c>
      <c r="J668" s="1" t="n">
        <v>36653.42</v>
      </c>
      <c r="K668" s="1" t="n">
        <v>28493.55</v>
      </c>
      <c r="L668" s="1" t="n">
        <v>0</v>
      </c>
      <c r="M668" s="1" t="n">
        <v>28493.55</v>
      </c>
      <c r="N668" s="1" t="s">
        <v>52</v>
      </c>
      <c r="O668" s="1" t="s">
        <v>73</v>
      </c>
      <c r="P668" s="1" t="n">
        <v>7</v>
      </c>
      <c r="Q668" s="1" t="s">
        <v>155</v>
      </c>
      <c r="R668" s="1" t="s">
        <v>102</v>
      </c>
    </row>
    <row r="669" customFormat="false" ht="14.25" hidden="false" customHeight="true" outlineLevel="0" collapsed="false">
      <c r="A669" s="1" t="s">
        <v>2291</v>
      </c>
      <c r="B669" s="1" t="s">
        <v>1000</v>
      </c>
      <c r="C669" s="1" t="s">
        <v>158</v>
      </c>
      <c r="D669" s="1" t="s">
        <v>1128</v>
      </c>
      <c r="E669" s="6" t="n">
        <v>46117</v>
      </c>
      <c r="F669" s="6" t="n">
        <v>46115</v>
      </c>
      <c r="G669" s="1" t="s">
        <v>38</v>
      </c>
      <c r="H669" s="1" t="s">
        <v>2292</v>
      </c>
      <c r="I669" s="1" t="s">
        <v>2293</v>
      </c>
      <c r="J669" s="1" t="n">
        <v>578.78</v>
      </c>
      <c r="K669" s="1" t="n">
        <v>480.24</v>
      </c>
      <c r="L669" s="1" t="n">
        <v>407.99</v>
      </c>
      <c r="M669" s="1" t="n">
        <v>72.25</v>
      </c>
      <c r="N669" s="1" t="s">
        <v>41</v>
      </c>
      <c r="P669" s="1" t="n">
        <v>2</v>
      </c>
      <c r="Q669" s="1" t="s">
        <v>63</v>
      </c>
      <c r="R669" s="1" t="s">
        <v>43</v>
      </c>
      <c r="S669" s="6" t="n">
        <v>46119</v>
      </c>
    </row>
    <row r="670" customFormat="false" ht="14.25" hidden="false" customHeight="true" outlineLevel="0" collapsed="false">
      <c r="A670" s="1" t="s">
        <v>2294</v>
      </c>
      <c r="B670" s="1" t="s">
        <v>569</v>
      </c>
      <c r="C670" s="1" t="s">
        <v>85</v>
      </c>
      <c r="D670" s="1" t="s">
        <v>274</v>
      </c>
      <c r="E670" s="6" t="n">
        <v>46048</v>
      </c>
      <c r="F670" s="6" t="n">
        <v>46046</v>
      </c>
      <c r="G670" s="1" t="s">
        <v>38</v>
      </c>
      <c r="H670" s="1" t="s">
        <v>2295</v>
      </c>
      <c r="I670" s="1" t="s">
        <v>2296</v>
      </c>
      <c r="J670" s="1" t="n">
        <v>9403.84</v>
      </c>
      <c r="K670" s="1" t="n">
        <v>6537.78</v>
      </c>
      <c r="L670" s="1" t="n">
        <v>5411.8</v>
      </c>
      <c r="M670" s="1" t="n">
        <v>1125.98</v>
      </c>
      <c r="N670" s="1" t="s">
        <v>41</v>
      </c>
      <c r="P670" s="1" t="n">
        <v>8</v>
      </c>
      <c r="Q670" s="1" t="s">
        <v>42</v>
      </c>
      <c r="R670" s="1" t="s">
        <v>64</v>
      </c>
      <c r="S670" s="6" t="n">
        <v>46056</v>
      </c>
    </row>
    <row r="671" customFormat="false" ht="14.25" hidden="false" customHeight="true" outlineLevel="0" collapsed="false">
      <c r="A671" s="1" t="s">
        <v>2297</v>
      </c>
      <c r="B671" s="1" t="s">
        <v>372</v>
      </c>
      <c r="C671" s="1" t="s">
        <v>386</v>
      </c>
      <c r="D671" s="1" t="s">
        <v>984</v>
      </c>
      <c r="E671" s="6" t="n">
        <v>46053</v>
      </c>
      <c r="F671" s="6" t="n">
        <v>46050</v>
      </c>
      <c r="G671" s="1" t="s">
        <v>49</v>
      </c>
      <c r="H671" s="1" t="s">
        <v>2298</v>
      </c>
      <c r="I671" s="1" t="s">
        <v>2299</v>
      </c>
      <c r="J671" s="1" t="n">
        <v>17641.2</v>
      </c>
      <c r="K671" s="1" t="n">
        <v>15344.34</v>
      </c>
      <c r="L671" s="1" t="n">
        <v>0</v>
      </c>
      <c r="M671" s="1" t="n">
        <v>15344.34</v>
      </c>
      <c r="N671" s="1" t="s">
        <v>52</v>
      </c>
      <c r="O671" s="1" t="s">
        <v>53</v>
      </c>
      <c r="P671" s="1" t="n">
        <v>7</v>
      </c>
      <c r="Q671" s="1" t="s">
        <v>155</v>
      </c>
      <c r="R671" s="1" t="s">
        <v>43</v>
      </c>
    </row>
    <row r="672" customFormat="false" ht="14.25" hidden="false" customHeight="true" outlineLevel="0" collapsed="false">
      <c r="A672" s="1" t="s">
        <v>2300</v>
      </c>
      <c r="B672" s="1" t="s">
        <v>351</v>
      </c>
      <c r="C672" s="1" t="s">
        <v>115</v>
      </c>
      <c r="D672" s="1" t="s">
        <v>1211</v>
      </c>
      <c r="E672" s="6" t="n">
        <v>46195</v>
      </c>
      <c r="F672" s="6" t="n">
        <v>46190</v>
      </c>
      <c r="G672" s="1" t="s">
        <v>49</v>
      </c>
      <c r="H672" s="1" t="s">
        <v>87</v>
      </c>
      <c r="I672" s="1" t="s">
        <v>2301</v>
      </c>
      <c r="J672" s="1" t="n">
        <v>38682.3</v>
      </c>
      <c r="K672" s="1" t="n">
        <v>28659.19</v>
      </c>
      <c r="L672" s="1" t="n">
        <v>23347.56</v>
      </c>
      <c r="M672" s="1" t="n">
        <v>5311.63</v>
      </c>
      <c r="N672" s="1" t="s">
        <v>41</v>
      </c>
      <c r="P672" s="1" t="n">
        <v>2</v>
      </c>
      <c r="Q672" s="1" t="s">
        <v>42</v>
      </c>
      <c r="R672" s="1" t="s">
        <v>102</v>
      </c>
      <c r="S672" s="6" t="n">
        <v>46197</v>
      </c>
    </row>
    <row r="673" customFormat="false" ht="14.25" hidden="false" customHeight="true" outlineLevel="0" collapsed="false">
      <c r="A673" s="1" t="s">
        <v>2302</v>
      </c>
      <c r="B673" s="1" t="s">
        <v>445</v>
      </c>
      <c r="C673" s="1" t="s">
        <v>151</v>
      </c>
      <c r="D673" s="1" t="s">
        <v>1628</v>
      </c>
      <c r="E673" s="6" t="n">
        <v>46052</v>
      </c>
      <c r="F673" s="6" t="n">
        <v>46051</v>
      </c>
      <c r="G673" s="1" t="s">
        <v>70</v>
      </c>
      <c r="H673" s="1" t="s">
        <v>2303</v>
      </c>
      <c r="I673" s="1" t="s">
        <v>998</v>
      </c>
      <c r="J673" s="1" t="n">
        <v>26819.73</v>
      </c>
      <c r="K673" s="1" t="n">
        <v>20518.21</v>
      </c>
      <c r="L673" s="1" t="n">
        <v>0</v>
      </c>
      <c r="M673" s="1" t="n">
        <v>20518.21</v>
      </c>
      <c r="N673" s="1" t="s">
        <v>260</v>
      </c>
      <c r="P673" s="1" t="n">
        <v>2</v>
      </c>
      <c r="Q673" s="1" t="s">
        <v>42</v>
      </c>
      <c r="R673" s="1" t="s">
        <v>74</v>
      </c>
    </row>
    <row r="674" customFormat="false" ht="14.25" hidden="false" customHeight="true" outlineLevel="0" collapsed="false">
      <c r="A674" s="1" t="s">
        <v>2304</v>
      </c>
      <c r="B674" s="1" t="s">
        <v>57</v>
      </c>
      <c r="C674" s="1" t="s">
        <v>446</v>
      </c>
      <c r="D674" s="1" t="s">
        <v>722</v>
      </c>
      <c r="E674" s="6" t="n">
        <v>46142</v>
      </c>
      <c r="F674" s="6" t="n">
        <v>46139</v>
      </c>
      <c r="G674" s="1" t="s">
        <v>70</v>
      </c>
      <c r="H674" s="1" t="s">
        <v>2305</v>
      </c>
      <c r="I674" s="1" t="s">
        <v>2306</v>
      </c>
      <c r="J674" s="1" t="n">
        <v>14444.84</v>
      </c>
      <c r="K674" s="1" t="n">
        <v>9915.88</v>
      </c>
      <c r="L674" s="1" t="n">
        <v>8650.67</v>
      </c>
      <c r="M674" s="1" t="n">
        <v>1265.21</v>
      </c>
      <c r="N674" s="1" t="s">
        <v>41</v>
      </c>
      <c r="P674" s="1" t="n">
        <v>6</v>
      </c>
      <c r="Q674" s="1" t="s">
        <v>63</v>
      </c>
      <c r="R674" s="1" t="s">
        <v>74</v>
      </c>
      <c r="S674" s="6" t="n">
        <v>46148</v>
      </c>
    </row>
    <row r="675" customFormat="false" ht="14.25" hidden="false" customHeight="true" outlineLevel="0" collapsed="false">
      <c r="A675" s="1" t="s">
        <v>2307</v>
      </c>
      <c r="B675" s="1" t="s">
        <v>98</v>
      </c>
      <c r="C675" s="1" t="s">
        <v>286</v>
      </c>
      <c r="D675" s="1" t="s">
        <v>152</v>
      </c>
      <c r="E675" s="6" t="n">
        <v>46098</v>
      </c>
      <c r="F675" s="6" t="n">
        <v>46098</v>
      </c>
      <c r="G675" s="1" t="s">
        <v>108</v>
      </c>
      <c r="H675" s="1" t="s">
        <v>1067</v>
      </c>
      <c r="I675" s="1" t="s">
        <v>1498</v>
      </c>
      <c r="J675" s="1" t="n">
        <v>9347.04</v>
      </c>
      <c r="K675" s="1" t="n">
        <v>7076.32</v>
      </c>
      <c r="L675" s="1" t="n">
        <v>5338.23</v>
      </c>
      <c r="M675" s="1" t="n">
        <v>1738.09</v>
      </c>
      <c r="N675" s="1" t="s">
        <v>41</v>
      </c>
      <c r="P675" s="1" t="n">
        <v>6</v>
      </c>
      <c r="Q675" s="1" t="s">
        <v>42</v>
      </c>
      <c r="R675" s="1" t="s">
        <v>74</v>
      </c>
      <c r="S675" s="6" t="n">
        <v>46104</v>
      </c>
    </row>
    <row r="676" customFormat="false" ht="14.25" hidden="false" customHeight="true" outlineLevel="0" collapsed="false">
      <c r="A676" s="1" t="s">
        <v>2308</v>
      </c>
      <c r="B676" s="1" t="s">
        <v>450</v>
      </c>
      <c r="C676" s="1" t="s">
        <v>144</v>
      </c>
      <c r="D676" s="1" t="s">
        <v>1170</v>
      </c>
      <c r="E676" s="6" t="n">
        <v>46125</v>
      </c>
      <c r="F676" s="6" t="n">
        <v>46124</v>
      </c>
      <c r="G676" s="1" t="s">
        <v>49</v>
      </c>
      <c r="H676" s="1" t="s">
        <v>2309</v>
      </c>
      <c r="I676" s="1" t="s">
        <v>2310</v>
      </c>
      <c r="J676" s="1" t="n">
        <v>26981.77</v>
      </c>
      <c r="K676" s="1" t="n">
        <v>18558.5</v>
      </c>
      <c r="L676" s="1" t="n">
        <v>14589.97</v>
      </c>
      <c r="M676" s="1" t="n">
        <v>3968.53</v>
      </c>
      <c r="N676" s="1" t="s">
        <v>41</v>
      </c>
      <c r="P676" s="1" t="n">
        <v>8</v>
      </c>
      <c r="Q676" s="1" t="s">
        <v>42</v>
      </c>
      <c r="R676" s="1" t="s">
        <v>125</v>
      </c>
      <c r="S676" s="6" t="n">
        <v>46133</v>
      </c>
    </row>
    <row r="677" customFormat="false" ht="14.25" hidden="false" customHeight="true" outlineLevel="0" collapsed="false">
      <c r="A677" s="1" t="s">
        <v>2311</v>
      </c>
      <c r="B677" s="1" t="s">
        <v>295</v>
      </c>
      <c r="C677" s="1" t="s">
        <v>115</v>
      </c>
      <c r="D677" s="1" t="s">
        <v>222</v>
      </c>
      <c r="E677" s="6" t="n">
        <v>46161</v>
      </c>
      <c r="F677" s="6" t="n">
        <v>46157</v>
      </c>
      <c r="G677" s="1" t="s">
        <v>108</v>
      </c>
      <c r="H677" s="1" t="s">
        <v>1328</v>
      </c>
      <c r="I677" s="1" t="s">
        <v>1086</v>
      </c>
      <c r="J677" s="1" t="n">
        <v>4288.54</v>
      </c>
      <c r="K677" s="1" t="n">
        <v>3267.18</v>
      </c>
      <c r="L677" s="1" t="n">
        <v>2570.25</v>
      </c>
      <c r="M677" s="1" t="n">
        <v>696.93</v>
      </c>
      <c r="N677" s="1" t="s">
        <v>41</v>
      </c>
      <c r="P677" s="1" t="n">
        <v>2</v>
      </c>
      <c r="Q677" s="1" t="s">
        <v>63</v>
      </c>
      <c r="R677" s="1" t="s">
        <v>43</v>
      </c>
      <c r="S677" s="6" t="n">
        <v>46163</v>
      </c>
    </row>
    <row r="678" customFormat="false" ht="14.25" hidden="false" customHeight="true" outlineLevel="0" collapsed="false">
      <c r="A678" s="1" t="s">
        <v>2312</v>
      </c>
      <c r="B678" s="1" t="s">
        <v>917</v>
      </c>
      <c r="C678" s="1" t="s">
        <v>367</v>
      </c>
      <c r="D678" s="1" t="s">
        <v>732</v>
      </c>
      <c r="E678" s="6" t="n">
        <v>46029</v>
      </c>
      <c r="F678" s="6" t="n">
        <v>46028</v>
      </c>
      <c r="G678" s="1" t="s">
        <v>70</v>
      </c>
      <c r="H678" s="1" t="s">
        <v>1780</v>
      </c>
      <c r="I678" s="1" t="s">
        <v>832</v>
      </c>
      <c r="J678" s="1" t="n">
        <v>13214.47</v>
      </c>
      <c r="K678" s="1" t="n">
        <v>11177.71</v>
      </c>
      <c r="L678" s="1" t="n">
        <v>0</v>
      </c>
      <c r="M678" s="1" t="n">
        <v>11177.71</v>
      </c>
      <c r="N678" s="1" t="s">
        <v>260</v>
      </c>
      <c r="P678" s="1" t="n">
        <v>2</v>
      </c>
      <c r="Q678" s="1" t="s">
        <v>42</v>
      </c>
      <c r="R678" s="1" t="s">
        <v>125</v>
      </c>
    </row>
    <row r="679" customFormat="false" ht="14.25" hidden="false" customHeight="true" outlineLevel="0" collapsed="false">
      <c r="A679" s="1" t="s">
        <v>2313</v>
      </c>
      <c r="B679" s="1" t="s">
        <v>1396</v>
      </c>
      <c r="C679" s="1" t="s">
        <v>144</v>
      </c>
      <c r="D679" s="1" t="s">
        <v>268</v>
      </c>
      <c r="E679" s="6" t="n">
        <v>46227</v>
      </c>
      <c r="F679" s="6" t="n">
        <v>46226</v>
      </c>
      <c r="G679" s="1" t="s">
        <v>38</v>
      </c>
      <c r="H679" s="1" t="s">
        <v>990</v>
      </c>
      <c r="I679" s="1" t="s">
        <v>2314</v>
      </c>
      <c r="J679" s="1" t="n">
        <v>2917.15</v>
      </c>
      <c r="K679" s="1" t="n">
        <v>2397.9</v>
      </c>
      <c r="L679" s="1" t="n">
        <v>0</v>
      </c>
      <c r="M679" s="1" t="n">
        <v>2397.9</v>
      </c>
      <c r="N679" s="1" t="s">
        <v>111</v>
      </c>
      <c r="P679" s="1" t="n">
        <v>7</v>
      </c>
      <c r="Q679" s="1" t="s">
        <v>42</v>
      </c>
      <c r="R679" s="1" t="s">
        <v>54</v>
      </c>
    </row>
    <row r="680" customFormat="false" ht="14.25" hidden="false" customHeight="true" outlineLevel="0" collapsed="false">
      <c r="A680" s="1" t="s">
        <v>2315</v>
      </c>
      <c r="B680" s="1" t="s">
        <v>249</v>
      </c>
      <c r="C680" s="1" t="s">
        <v>136</v>
      </c>
      <c r="D680" s="1" t="s">
        <v>933</v>
      </c>
      <c r="E680" s="6" t="n">
        <v>46180</v>
      </c>
      <c r="F680" s="6" t="n">
        <v>46177</v>
      </c>
      <c r="G680" s="1" t="s">
        <v>38</v>
      </c>
      <c r="H680" s="1" t="s">
        <v>2229</v>
      </c>
      <c r="I680" s="1" t="s">
        <v>2316</v>
      </c>
      <c r="J680" s="1" t="n">
        <v>34071.31</v>
      </c>
      <c r="K680" s="1" t="n">
        <v>24933.51</v>
      </c>
      <c r="L680" s="1" t="n">
        <v>0</v>
      </c>
      <c r="M680" s="1" t="n">
        <v>24933.51</v>
      </c>
      <c r="N680" s="1" t="s">
        <v>52</v>
      </c>
      <c r="O680" s="1" t="s">
        <v>265</v>
      </c>
      <c r="P680" s="1" t="n">
        <v>7</v>
      </c>
      <c r="Q680" s="1" t="s">
        <v>63</v>
      </c>
      <c r="R680" s="1" t="s">
        <v>64</v>
      </c>
    </row>
    <row r="681" customFormat="false" ht="14.25" hidden="false" customHeight="true" outlineLevel="0" collapsed="false">
      <c r="A681" s="1" t="s">
        <v>2317</v>
      </c>
      <c r="B681" s="1" t="s">
        <v>2318</v>
      </c>
      <c r="C681" s="1" t="s">
        <v>623</v>
      </c>
      <c r="D681" s="1" t="s">
        <v>481</v>
      </c>
      <c r="E681" s="6" t="n">
        <v>46230</v>
      </c>
      <c r="F681" s="6" t="n">
        <v>46225</v>
      </c>
      <c r="G681" s="1" t="s">
        <v>49</v>
      </c>
      <c r="H681" s="1" t="s">
        <v>1706</v>
      </c>
      <c r="I681" s="1" t="s">
        <v>2319</v>
      </c>
      <c r="J681" s="1" t="n">
        <v>11455.52</v>
      </c>
      <c r="K681" s="1" t="n">
        <v>7508.2</v>
      </c>
      <c r="L681" s="1" t="n">
        <v>6240.46</v>
      </c>
      <c r="M681" s="1" t="n">
        <v>1267.74</v>
      </c>
      <c r="N681" s="1" t="s">
        <v>41</v>
      </c>
      <c r="P681" s="1" t="n">
        <v>2</v>
      </c>
      <c r="Q681" s="1" t="s">
        <v>42</v>
      </c>
      <c r="R681" s="1" t="s">
        <v>64</v>
      </c>
      <c r="S681" s="6" t="n">
        <v>46232</v>
      </c>
    </row>
    <row r="682" customFormat="false" ht="14.25" hidden="false" customHeight="true" outlineLevel="0" collapsed="false">
      <c r="A682" s="1" t="s">
        <v>2320</v>
      </c>
      <c r="B682" s="1" t="s">
        <v>1132</v>
      </c>
      <c r="C682" s="1" t="s">
        <v>296</v>
      </c>
      <c r="D682" s="1" t="s">
        <v>391</v>
      </c>
      <c r="E682" s="6" t="n">
        <v>46111</v>
      </c>
      <c r="F682" s="6" t="n">
        <v>46107</v>
      </c>
      <c r="G682" s="1" t="s">
        <v>49</v>
      </c>
      <c r="H682" s="1" t="s">
        <v>1422</v>
      </c>
      <c r="I682" s="1" t="s">
        <v>2321</v>
      </c>
      <c r="J682" s="1" t="n">
        <v>46528.7</v>
      </c>
      <c r="K682" s="1" t="n">
        <v>30419.08</v>
      </c>
      <c r="L682" s="1" t="n">
        <v>25404.46</v>
      </c>
      <c r="M682" s="1" t="n">
        <v>5014.62</v>
      </c>
      <c r="N682" s="1" t="s">
        <v>41</v>
      </c>
      <c r="P682" s="1" t="n">
        <v>6</v>
      </c>
      <c r="Q682" s="1" t="s">
        <v>42</v>
      </c>
      <c r="R682" s="1" t="s">
        <v>140</v>
      </c>
      <c r="S682" s="6" t="n">
        <v>46117</v>
      </c>
    </row>
    <row r="683" customFormat="false" ht="14.25" hidden="false" customHeight="true" outlineLevel="0" collapsed="false">
      <c r="A683" s="1" t="s">
        <v>2322</v>
      </c>
      <c r="B683" s="1" t="s">
        <v>330</v>
      </c>
      <c r="C683" s="1" t="s">
        <v>356</v>
      </c>
      <c r="D683" s="1" t="s">
        <v>890</v>
      </c>
      <c r="E683" s="6" t="n">
        <v>46198</v>
      </c>
      <c r="F683" s="6" t="n">
        <v>46195</v>
      </c>
      <c r="G683" s="1" t="s">
        <v>38</v>
      </c>
      <c r="H683" s="1" t="s">
        <v>559</v>
      </c>
      <c r="I683" s="1" t="s">
        <v>2323</v>
      </c>
      <c r="J683" s="1" t="n">
        <v>2097.19</v>
      </c>
      <c r="K683" s="1" t="n">
        <v>1899.4</v>
      </c>
      <c r="L683" s="1" t="n">
        <v>1884.07</v>
      </c>
      <c r="M683" s="1" t="n">
        <v>15.33</v>
      </c>
      <c r="N683" s="1" t="s">
        <v>41</v>
      </c>
      <c r="P683" s="1" t="n">
        <v>8</v>
      </c>
      <c r="Q683" s="1" t="s">
        <v>63</v>
      </c>
      <c r="R683" s="1" t="s">
        <v>102</v>
      </c>
      <c r="S683" s="6" t="n">
        <v>46206</v>
      </c>
    </row>
    <row r="684" customFormat="false" ht="14.25" hidden="false" customHeight="true" outlineLevel="0" collapsed="false">
      <c r="A684" s="1" t="s">
        <v>2324</v>
      </c>
      <c r="B684" s="1" t="s">
        <v>2325</v>
      </c>
      <c r="C684" s="1" t="s">
        <v>279</v>
      </c>
      <c r="D684" s="1" t="s">
        <v>274</v>
      </c>
      <c r="E684" s="6" t="n">
        <v>46099</v>
      </c>
      <c r="F684" s="6" t="n">
        <v>46097</v>
      </c>
      <c r="G684" s="1" t="s">
        <v>108</v>
      </c>
      <c r="H684" s="1" t="s">
        <v>1849</v>
      </c>
      <c r="I684" s="1" t="s">
        <v>2326</v>
      </c>
      <c r="J684" s="1" t="n">
        <v>23635.32</v>
      </c>
      <c r="K684" s="1" t="n">
        <v>16468.39</v>
      </c>
      <c r="L684" s="1" t="n">
        <v>14759.53</v>
      </c>
      <c r="M684" s="1" t="n">
        <v>1708.86</v>
      </c>
      <c r="N684" s="1" t="s">
        <v>41</v>
      </c>
      <c r="P684" s="1" t="n">
        <v>6</v>
      </c>
      <c r="Q684" s="1" t="s">
        <v>42</v>
      </c>
      <c r="R684" s="1" t="s">
        <v>74</v>
      </c>
      <c r="S684" s="6" t="n">
        <v>46105</v>
      </c>
    </row>
    <row r="685" customFormat="false" ht="14.25" hidden="false" customHeight="true" outlineLevel="0" collapsed="false">
      <c r="A685" s="1" t="s">
        <v>2327</v>
      </c>
      <c r="B685" s="1" t="s">
        <v>340</v>
      </c>
      <c r="C685" s="1" t="s">
        <v>106</v>
      </c>
      <c r="D685" s="1" t="s">
        <v>287</v>
      </c>
      <c r="E685" s="6" t="n">
        <v>46149</v>
      </c>
      <c r="F685" s="6" t="n">
        <v>46148</v>
      </c>
      <c r="G685" s="1" t="s">
        <v>38</v>
      </c>
      <c r="H685" s="1" t="s">
        <v>1006</v>
      </c>
      <c r="I685" s="1" t="s">
        <v>2328</v>
      </c>
      <c r="J685" s="1" t="n">
        <v>27110.84</v>
      </c>
      <c r="K685" s="1" t="n">
        <v>20699.9</v>
      </c>
      <c r="L685" s="1" t="n">
        <v>20435.04</v>
      </c>
      <c r="M685" s="1" t="n">
        <v>264.86</v>
      </c>
      <c r="N685" s="1" t="s">
        <v>41</v>
      </c>
      <c r="P685" s="1" t="n">
        <v>2</v>
      </c>
      <c r="Q685" s="1" t="s">
        <v>155</v>
      </c>
      <c r="R685" s="1" t="s">
        <v>125</v>
      </c>
      <c r="S685" s="6" t="n">
        <v>46151</v>
      </c>
    </row>
    <row r="686" customFormat="false" ht="14.25" hidden="false" customHeight="true" outlineLevel="0" collapsed="false">
      <c r="A686" s="1" t="s">
        <v>2329</v>
      </c>
      <c r="B686" s="1" t="s">
        <v>105</v>
      </c>
      <c r="C686" s="1" t="s">
        <v>446</v>
      </c>
      <c r="D686" s="1" t="s">
        <v>712</v>
      </c>
      <c r="E686" s="6" t="n">
        <v>46068</v>
      </c>
      <c r="F686" s="6" t="n">
        <v>46063</v>
      </c>
      <c r="G686" s="1" t="s">
        <v>70</v>
      </c>
      <c r="H686" s="1" t="s">
        <v>2330</v>
      </c>
      <c r="I686" s="1" t="s">
        <v>2331</v>
      </c>
      <c r="J686" s="1" t="n">
        <v>27728.48</v>
      </c>
      <c r="K686" s="1" t="n">
        <v>20951.84</v>
      </c>
      <c r="L686" s="1" t="n">
        <v>0</v>
      </c>
      <c r="M686" s="1" t="n">
        <v>20951.84</v>
      </c>
      <c r="N686" s="1" t="s">
        <v>260</v>
      </c>
      <c r="P686" s="1" t="n">
        <v>4</v>
      </c>
      <c r="Q686" s="1" t="s">
        <v>42</v>
      </c>
      <c r="R686" s="1" t="s">
        <v>54</v>
      </c>
    </row>
    <row r="687" customFormat="false" ht="14.25" hidden="false" customHeight="true" outlineLevel="0" collapsed="false">
      <c r="A687" s="1" t="s">
        <v>2332</v>
      </c>
      <c r="B687" s="1" t="s">
        <v>739</v>
      </c>
      <c r="C687" s="1" t="s">
        <v>106</v>
      </c>
      <c r="D687" s="1" t="s">
        <v>1128</v>
      </c>
      <c r="E687" s="6" t="n">
        <v>46198</v>
      </c>
      <c r="F687" s="6" t="n">
        <v>46193</v>
      </c>
      <c r="G687" s="1" t="s">
        <v>49</v>
      </c>
      <c r="H687" s="1" t="s">
        <v>579</v>
      </c>
      <c r="I687" s="1" t="s">
        <v>2333</v>
      </c>
      <c r="J687" s="1" t="n">
        <v>38206.78</v>
      </c>
      <c r="K687" s="1" t="n">
        <v>28476.76</v>
      </c>
      <c r="L687" s="1" t="n">
        <v>0</v>
      </c>
      <c r="M687" s="1" t="n">
        <v>28476.76</v>
      </c>
      <c r="N687" s="1" t="s">
        <v>260</v>
      </c>
      <c r="P687" s="1" t="n">
        <v>7</v>
      </c>
      <c r="Q687" s="1" t="s">
        <v>155</v>
      </c>
      <c r="R687" s="1" t="s">
        <v>125</v>
      </c>
    </row>
    <row r="688" customFormat="false" ht="14.25" hidden="false" customHeight="true" outlineLevel="0" collapsed="false">
      <c r="A688" s="1" t="s">
        <v>2334</v>
      </c>
      <c r="B688" s="1" t="s">
        <v>2335</v>
      </c>
      <c r="C688" s="1" t="s">
        <v>335</v>
      </c>
      <c r="D688" s="1" t="s">
        <v>280</v>
      </c>
      <c r="E688" s="6" t="n">
        <v>46071</v>
      </c>
      <c r="F688" s="6" t="n">
        <v>46068</v>
      </c>
      <c r="G688" s="1" t="s">
        <v>49</v>
      </c>
      <c r="H688" s="1" t="s">
        <v>987</v>
      </c>
      <c r="I688" s="1" t="s">
        <v>2004</v>
      </c>
      <c r="J688" s="1" t="n">
        <v>26866.95</v>
      </c>
      <c r="K688" s="1" t="n">
        <v>20156.03</v>
      </c>
      <c r="L688" s="1" t="n">
        <v>17455.23</v>
      </c>
      <c r="M688" s="1" t="n">
        <v>2700.8</v>
      </c>
      <c r="N688" s="1" t="s">
        <v>41</v>
      </c>
      <c r="P688" s="1" t="n">
        <v>3</v>
      </c>
      <c r="Q688" s="1" t="s">
        <v>155</v>
      </c>
      <c r="R688" s="1" t="s">
        <v>74</v>
      </c>
      <c r="S688" s="6" t="n">
        <v>46074</v>
      </c>
    </row>
    <row r="689" customFormat="false" ht="14.25" hidden="false" customHeight="true" outlineLevel="0" collapsed="false">
      <c r="A689" s="1" t="s">
        <v>2336</v>
      </c>
      <c r="B689" s="1" t="s">
        <v>828</v>
      </c>
      <c r="C689" s="1" t="s">
        <v>386</v>
      </c>
      <c r="D689" s="1" t="s">
        <v>529</v>
      </c>
      <c r="E689" s="6" t="n">
        <v>46034</v>
      </c>
      <c r="F689" s="6" t="n">
        <v>46030</v>
      </c>
      <c r="G689" s="1" t="s">
        <v>38</v>
      </c>
      <c r="H689" s="1" t="s">
        <v>1774</v>
      </c>
      <c r="I689" s="1" t="s">
        <v>2337</v>
      </c>
      <c r="J689" s="1" t="n">
        <v>30680.45</v>
      </c>
      <c r="K689" s="1" t="n">
        <v>24575.3</v>
      </c>
      <c r="L689" s="1" t="n">
        <v>18926.09</v>
      </c>
      <c r="M689" s="1" t="n">
        <v>5649.21</v>
      </c>
      <c r="N689" s="1" t="s">
        <v>41</v>
      </c>
      <c r="P689" s="1" t="n">
        <v>7</v>
      </c>
      <c r="Q689" s="1" t="s">
        <v>42</v>
      </c>
      <c r="R689" s="1" t="s">
        <v>54</v>
      </c>
      <c r="S689" s="6" t="n">
        <v>46041</v>
      </c>
    </row>
    <row r="690" customFormat="false" ht="14.25" hidden="false" customHeight="true" outlineLevel="0" collapsed="false">
      <c r="A690" s="1" t="s">
        <v>2338</v>
      </c>
      <c r="B690" s="1" t="s">
        <v>440</v>
      </c>
      <c r="C690" s="1" t="s">
        <v>36</v>
      </c>
      <c r="D690" s="1" t="s">
        <v>431</v>
      </c>
      <c r="E690" s="6" t="n">
        <v>46117</v>
      </c>
      <c r="F690" s="6" t="n">
        <v>46117</v>
      </c>
      <c r="G690" s="1" t="s">
        <v>49</v>
      </c>
      <c r="H690" s="1" t="s">
        <v>1540</v>
      </c>
      <c r="I690" s="1" t="s">
        <v>2339</v>
      </c>
      <c r="J690" s="1" t="n">
        <v>44233.87</v>
      </c>
      <c r="K690" s="1" t="n">
        <v>37432.24</v>
      </c>
      <c r="L690" s="1" t="n">
        <v>0</v>
      </c>
      <c r="M690" s="1" t="n">
        <v>37432.24</v>
      </c>
      <c r="N690" s="1" t="s">
        <v>111</v>
      </c>
      <c r="P690" s="1" t="n">
        <v>12</v>
      </c>
      <c r="Q690" s="1" t="s">
        <v>155</v>
      </c>
      <c r="R690" s="1" t="s">
        <v>43</v>
      </c>
    </row>
    <row r="691" customFormat="false" ht="14.25" hidden="false" customHeight="true" outlineLevel="0" collapsed="false">
      <c r="A691" s="1" t="s">
        <v>2340</v>
      </c>
      <c r="B691" s="1" t="s">
        <v>2341</v>
      </c>
      <c r="C691" s="1" t="s">
        <v>198</v>
      </c>
      <c r="D691" s="1" t="s">
        <v>722</v>
      </c>
      <c r="E691" s="6" t="n">
        <v>46206</v>
      </c>
      <c r="F691" s="6" t="n">
        <v>46205</v>
      </c>
      <c r="G691" s="1" t="s">
        <v>49</v>
      </c>
      <c r="H691" s="1" t="s">
        <v>2342</v>
      </c>
      <c r="I691" s="1" t="s">
        <v>2343</v>
      </c>
      <c r="J691" s="1" t="n">
        <v>15002.6</v>
      </c>
      <c r="K691" s="1" t="n">
        <v>13777.39</v>
      </c>
      <c r="L691" s="1" t="n">
        <v>11046.05</v>
      </c>
      <c r="M691" s="1" t="n">
        <v>2731.34</v>
      </c>
      <c r="N691" s="1" t="s">
        <v>41</v>
      </c>
      <c r="P691" s="1" t="n">
        <v>8</v>
      </c>
      <c r="Q691" s="1" t="s">
        <v>63</v>
      </c>
      <c r="R691" s="1" t="s">
        <v>64</v>
      </c>
      <c r="S691" s="6" t="n">
        <v>46214</v>
      </c>
    </row>
    <row r="692" customFormat="false" ht="14.25" hidden="false" customHeight="true" outlineLevel="0" collapsed="false">
      <c r="A692" s="1" t="s">
        <v>2344</v>
      </c>
      <c r="B692" s="1" t="s">
        <v>1192</v>
      </c>
      <c r="C692" s="1" t="s">
        <v>623</v>
      </c>
      <c r="D692" s="1" t="s">
        <v>727</v>
      </c>
      <c r="E692" s="6" t="n">
        <v>46187</v>
      </c>
      <c r="F692" s="6" t="n">
        <v>46187</v>
      </c>
      <c r="G692" s="1" t="s">
        <v>108</v>
      </c>
      <c r="H692" s="1" t="s">
        <v>2345</v>
      </c>
      <c r="I692" s="1" t="s">
        <v>2346</v>
      </c>
      <c r="J692" s="1" t="n">
        <v>41974.83</v>
      </c>
      <c r="K692" s="1" t="n">
        <v>38265.33</v>
      </c>
      <c r="L692" s="1" t="n">
        <v>0</v>
      </c>
      <c r="M692" s="1" t="n">
        <v>38265.33</v>
      </c>
      <c r="N692" s="1" t="s">
        <v>52</v>
      </c>
      <c r="O692" s="1" t="s">
        <v>265</v>
      </c>
      <c r="P692" s="1" t="n">
        <v>3</v>
      </c>
      <c r="Q692" s="1" t="s">
        <v>42</v>
      </c>
      <c r="R692" s="1" t="s">
        <v>74</v>
      </c>
    </row>
    <row r="693" customFormat="false" ht="14.25" hidden="false" customHeight="true" outlineLevel="0" collapsed="false">
      <c r="A693" s="1" t="s">
        <v>2347</v>
      </c>
      <c r="B693" s="1" t="s">
        <v>547</v>
      </c>
      <c r="C693" s="1" t="s">
        <v>47</v>
      </c>
      <c r="D693" s="1" t="s">
        <v>326</v>
      </c>
      <c r="E693" s="6" t="n">
        <v>46131</v>
      </c>
      <c r="F693" s="6" t="n">
        <v>46127</v>
      </c>
      <c r="G693" s="1" t="s">
        <v>108</v>
      </c>
      <c r="H693" s="1" t="s">
        <v>596</v>
      </c>
      <c r="I693" s="1" t="s">
        <v>2348</v>
      </c>
      <c r="J693" s="1" t="n">
        <v>43177.36</v>
      </c>
      <c r="K693" s="1" t="n">
        <v>28976.74</v>
      </c>
      <c r="L693" s="1" t="n">
        <v>0</v>
      </c>
      <c r="M693" s="1" t="n">
        <v>28976.74</v>
      </c>
      <c r="N693" s="1" t="s">
        <v>260</v>
      </c>
      <c r="P693" s="1" t="n">
        <v>7</v>
      </c>
      <c r="Q693" s="1" t="s">
        <v>42</v>
      </c>
      <c r="R693" s="1" t="s">
        <v>54</v>
      </c>
    </row>
    <row r="694" customFormat="false" ht="14.25" hidden="false" customHeight="true" outlineLevel="0" collapsed="false">
      <c r="A694" s="1" t="s">
        <v>2349</v>
      </c>
      <c r="B694" s="1" t="s">
        <v>489</v>
      </c>
      <c r="C694" s="1" t="s">
        <v>47</v>
      </c>
      <c r="D694" s="1" t="s">
        <v>881</v>
      </c>
      <c r="E694" s="6" t="n">
        <v>46138</v>
      </c>
      <c r="F694" s="6" t="n">
        <v>46135</v>
      </c>
      <c r="G694" s="1" t="s">
        <v>49</v>
      </c>
      <c r="H694" s="1" t="s">
        <v>1992</v>
      </c>
      <c r="I694" s="1" t="s">
        <v>2350</v>
      </c>
      <c r="J694" s="1" t="n">
        <v>3459.42</v>
      </c>
      <c r="K694" s="1" t="n">
        <v>3090.99</v>
      </c>
      <c r="L694" s="1" t="n">
        <v>0</v>
      </c>
      <c r="M694" s="1" t="n">
        <v>3090.99</v>
      </c>
      <c r="N694" s="1" t="s">
        <v>52</v>
      </c>
      <c r="O694" s="1" t="s">
        <v>230</v>
      </c>
      <c r="P694" s="1" t="n">
        <v>1</v>
      </c>
      <c r="Q694" s="1" t="s">
        <v>155</v>
      </c>
      <c r="R694" s="1" t="s">
        <v>140</v>
      </c>
    </row>
    <row r="695" customFormat="false" ht="14.25" hidden="false" customHeight="true" outlineLevel="0" collapsed="false">
      <c r="A695" s="1" t="s">
        <v>2351</v>
      </c>
      <c r="B695" s="1" t="s">
        <v>366</v>
      </c>
      <c r="C695" s="1" t="s">
        <v>198</v>
      </c>
      <c r="D695" s="1" t="s">
        <v>1929</v>
      </c>
      <c r="E695" s="6" t="n">
        <v>46094</v>
      </c>
      <c r="F695" s="6" t="n">
        <v>46090</v>
      </c>
      <c r="G695" s="1" t="s">
        <v>38</v>
      </c>
      <c r="H695" s="1" t="s">
        <v>2265</v>
      </c>
      <c r="I695" s="1" t="s">
        <v>2352</v>
      </c>
      <c r="J695" s="1" t="n">
        <v>6033.29</v>
      </c>
      <c r="K695" s="1" t="n">
        <v>4227.44</v>
      </c>
      <c r="L695" s="1" t="n">
        <v>0</v>
      </c>
      <c r="M695" s="1" t="n">
        <v>4227.44</v>
      </c>
      <c r="N695" s="1" t="s">
        <v>52</v>
      </c>
      <c r="O695" s="1" t="s">
        <v>230</v>
      </c>
      <c r="P695" s="1" t="n">
        <v>7</v>
      </c>
      <c r="Q695" s="1" t="s">
        <v>63</v>
      </c>
      <c r="R695" s="1" t="s">
        <v>74</v>
      </c>
    </row>
    <row r="696" customFormat="false" ht="14.25" hidden="false" customHeight="true" outlineLevel="0" collapsed="false">
      <c r="A696" s="1" t="s">
        <v>2353</v>
      </c>
      <c r="B696" s="1" t="s">
        <v>1021</v>
      </c>
      <c r="C696" s="1" t="s">
        <v>221</v>
      </c>
      <c r="D696" s="1" t="s">
        <v>37</v>
      </c>
      <c r="E696" s="6" t="n">
        <v>46200</v>
      </c>
      <c r="F696" s="6" t="n">
        <v>46200</v>
      </c>
      <c r="G696" s="1" t="s">
        <v>70</v>
      </c>
      <c r="H696" s="1" t="s">
        <v>2354</v>
      </c>
      <c r="I696" s="1" t="s">
        <v>2355</v>
      </c>
      <c r="J696" s="1" t="n">
        <v>35599.6</v>
      </c>
      <c r="K696" s="1" t="n">
        <v>31176.38</v>
      </c>
      <c r="L696" s="1" t="n">
        <v>29282.26</v>
      </c>
      <c r="M696" s="1" t="n">
        <v>1894.12</v>
      </c>
      <c r="N696" s="1" t="s">
        <v>41</v>
      </c>
      <c r="P696" s="1" t="n">
        <v>6</v>
      </c>
      <c r="Q696" s="1" t="s">
        <v>42</v>
      </c>
      <c r="R696" s="1" t="s">
        <v>102</v>
      </c>
      <c r="S696" s="6" t="n">
        <v>46206</v>
      </c>
    </row>
    <row r="697" customFormat="false" ht="14.25" hidden="false" customHeight="true" outlineLevel="0" collapsed="false">
      <c r="A697" s="1" t="s">
        <v>2356</v>
      </c>
      <c r="B697" s="1" t="s">
        <v>1276</v>
      </c>
      <c r="C697" s="1" t="s">
        <v>244</v>
      </c>
      <c r="D697" s="1" t="s">
        <v>1211</v>
      </c>
      <c r="E697" s="6" t="n">
        <v>46170</v>
      </c>
      <c r="F697" s="6" t="n">
        <v>46168</v>
      </c>
      <c r="G697" s="1" t="s">
        <v>70</v>
      </c>
      <c r="H697" s="1" t="s">
        <v>2357</v>
      </c>
      <c r="I697" s="1" t="s">
        <v>2358</v>
      </c>
      <c r="J697" s="1" t="n">
        <v>38185.48</v>
      </c>
      <c r="K697" s="1" t="n">
        <v>26516.27</v>
      </c>
      <c r="L697" s="1" t="n">
        <v>0</v>
      </c>
      <c r="M697" s="1" t="n">
        <v>26516.27</v>
      </c>
      <c r="N697" s="1" t="s">
        <v>111</v>
      </c>
      <c r="P697" s="1" t="n">
        <v>8</v>
      </c>
      <c r="Q697" s="1" t="s">
        <v>63</v>
      </c>
      <c r="R697" s="1" t="s">
        <v>74</v>
      </c>
    </row>
    <row r="698" customFormat="false" ht="14.25" hidden="false" customHeight="true" outlineLevel="0" collapsed="false">
      <c r="A698" s="1" t="s">
        <v>2359</v>
      </c>
      <c r="B698" s="1" t="s">
        <v>565</v>
      </c>
      <c r="C698" s="1" t="s">
        <v>361</v>
      </c>
      <c r="D698" s="1" t="s">
        <v>183</v>
      </c>
      <c r="E698" s="6" t="n">
        <v>46067</v>
      </c>
      <c r="F698" s="6" t="n">
        <v>46063</v>
      </c>
      <c r="G698" s="1" t="s">
        <v>38</v>
      </c>
      <c r="H698" s="1" t="s">
        <v>1834</v>
      </c>
      <c r="I698" s="1" t="s">
        <v>2360</v>
      </c>
      <c r="J698" s="1" t="n">
        <v>24026.6</v>
      </c>
      <c r="K698" s="1" t="n">
        <v>18787.81</v>
      </c>
      <c r="L698" s="1" t="n">
        <v>0</v>
      </c>
      <c r="M698" s="1" t="n">
        <v>18787.81</v>
      </c>
      <c r="N698" s="1" t="s">
        <v>111</v>
      </c>
      <c r="P698" s="1" t="n">
        <v>8</v>
      </c>
      <c r="Q698" s="1" t="s">
        <v>63</v>
      </c>
      <c r="R698" s="1" t="s">
        <v>102</v>
      </c>
    </row>
    <row r="699" customFormat="false" ht="14.25" hidden="false" customHeight="true" outlineLevel="0" collapsed="false">
      <c r="A699" s="1" t="s">
        <v>2361</v>
      </c>
      <c r="B699" s="1" t="s">
        <v>385</v>
      </c>
      <c r="C699" s="1" t="s">
        <v>623</v>
      </c>
      <c r="D699" s="1" t="s">
        <v>881</v>
      </c>
      <c r="E699" s="6" t="n">
        <v>46187</v>
      </c>
      <c r="F699" s="6" t="n">
        <v>46186</v>
      </c>
      <c r="G699" s="1" t="s">
        <v>49</v>
      </c>
      <c r="H699" s="1" t="s">
        <v>2362</v>
      </c>
      <c r="I699" s="1" t="s">
        <v>2363</v>
      </c>
      <c r="J699" s="1" t="n">
        <v>10977.27</v>
      </c>
      <c r="K699" s="1" t="n">
        <v>8132.92</v>
      </c>
      <c r="L699" s="1" t="n">
        <v>7287.57</v>
      </c>
      <c r="M699" s="1" t="n">
        <v>845.35</v>
      </c>
      <c r="N699" s="1" t="s">
        <v>41</v>
      </c>
      <c r="P699" s="1" t="n">
        <v>5</v>
      </c>
      <c r="Q699" s="1" t="s">
        <v>63</v>
      </c>
      <c r="R699" s="1" t="s">
        <v>74</v>
      </c>
      <c r="S699" s="6" t="n">
        <v>46192</v>
      </c>
    </row>
    <row r="700" customFormat="false" ht="14.25" hidden="false" customHeight="true" outlineLevel="0" collapsed="false">
      <c r="A700" s="1" t="s">
        <v>2364</v>
      </c>
      <c r="B700" s="1" t="s">
        <v>924</v>
      </c>
      <c r="C700" s="1" t="s">
        <v>129</v>
      </c>
      <c r="D700" s="1" t="s">
        <v>648</v>
      </c>
      <c r="E700" s="6" t="n">
        <v>46066</v>
      </c>
      <c r="F700" s="6" t="n">
        <v>46062</v>
      </c>
      <c r="G700" s="1" t="s">
        <v>49</v>
      </c>
      <c r="H700" s="1" t="s">
        <v>2365</v>
      </c>
      <c r="I700" s="1" t="s">
        <v>2366</v>
      </c>
      <c r="J700" s="1" t="n">
        <v>16057.66</v>
      </c>
      <c r="K700" s="1" t="n">
        <v>12240.9</v>
      </c>
      <c r="L700" s="1" t="n">
        <v>0</v>
      </c>
      <c r="M700" s="1" t="n">
        <v>12240.9</v>
      </c>
      <c r="N700" s="1" t="s">
        <v>52</v>
      </c>
      <c r="O700" s="1" t="s">
        <v>265</v>
      </c>
      <c r="P700" s="1" t="n">
        <v>8</v>
      </c>
      <c r="Q700" s="1" t="s">
        <v>42</v>
      </c>
      <c r="R700" s="1" t="s">
        <v>54</v>
      </c>
    </row>
    <row r="701" customFormat="false" ht="14.25" hidden="false" customHeight="true" outlineLevel="0" collapsed="false">
      <c r="A701" s="1" t="s">
        <v>2367</v>
      </c>
      <c r="B701" s="1" t="s">
        <v>309</v>
      </c>
      <c r="C701" s="1" t="s">
        <v>356</v>
      </c>
      <c r="D701" s="1" t="s">
        <v>1128</v>
      </c>
      <c r="E701" s="6" t="n">
        <v>46111</v>
      </c>
      <c r="F701" s="6" t="n">
        <v>46110</v>
      </c>
      <c r="G701" s="1" t="s">
        <v>49</v>
      </c>
      <c r="H701" s="1" t="s">
        <v>2368</v>
      </c>
      <c r="I701" s="1" t="s">
        <v>2369</v>
      </c>
      <c r="J701" s="1" t="n">
        <v>11603.34</v>
      </c>
      <c r="K701" s="1" t="n">
        <v>8510.99</v>
      </c>
      <c r="L701" s="1" t="n">
        <v>8038.66</v>
      </c>
      <c r="M701" s="1" t="n">
        <v>472.33</v>
      </c>
      <c r="N701" s="1" t="s">
        <v>41</v>
      </c>
      <c r="P701" s="1" t="n">
        <v>2</v>
      </c>
      <c r="Q701" s="1" t="s">
        <v>42</v>
      </c>
      <c r="R701" s="1" t="s">
        <v>125</v>
      </c>
      <c r="S701" s="6" t="n">
        <v>46113</v>
      </c>
    </row>
    <row r="702" customFormat="false" ht="14.25" hidden="false" customHeight="true" outlineLevel="0" collapsed="false">
      <c r="A702" s="1" t="s">
        <v>2370</v>
      </c>
      <c r="B702" s="1" t="s">
        <v>2335</v>
      </c>
      <c r="C702" s="1" t="s">
        <v>215</v>
      </c>
      <c r="D702" s="1" t="s">
        <v>48</v>
      </c>
      <c r="E702" s="6" t="n">
        <v>46236</v>
      </c>
      <c r="F702" s="6" t="n">
        <v>46232</v>
      </c>
      <c r="G702" s="1" t="s">
        <v>108</v>
      </c>
      <c r="H702" s="1" t="s">
        <v>1100</v>
      </c>
      <c r="I702" s="1" t="s">
        <v>2108</v>
      </c>
      <c r="J702" s="1" t="n">
        <v>37198.2</v>
      </c>
      <c r="K702" s="1" t="n">
        <v>28235.97</v>
      </c>
      <c r="L702" s="1" t="n">
        <v>0</v>
      </c>
      <c r="M702" s="1" t="n">
        <v>28235.97</v>
      </c>
      <c r="N702" s="1" t="s">
        <v>52</v>
      </c>
      <c r="O702" s="1" t="s">
        <v>62</v>
      </c>
      <c r="P702" s="1" t="n">
        <v>1</v>
      </c>
      <c r="Q702" s="1" t="s">
        <v>42</v>
      </c>
      <c r="R702" s="1" t="s">
        <v>64</v>
      </c>
    </row>
    <row r="703" customFormat="false" ht="14.25" hidden="false" customHeight="true" outlineLevel="0" collapsed="false">
      <c r="A703" s="1" t="s">
        <v>2371</v>
      </c>
      <c r="B703" s="1" t="s">
        <v>1421</v>
      </c>
      <c r="C703" s="1" t="s">
        <v>244</v>
      </c>
      <c r="D703" s="1" t="s">
        <v>183</v>
      </c>
      <c r="E703" s="6" t="n">
        <v>46043</v>
      </c>
      <c r="F703" s="6" t="n">
        <v>46043</v>
      </c>
      <c r="G703" s="1" t="s">
        <v>49</v>
      </c>
      <c r="H703" s="1" t="s">
        <v>2372</v>
      </c>
      <c r="I703" s="1" t="s">
        <v>2373</v>
      </c>
      <c r="J703" s="1" t="n">
        <v>26385.97</v>
      </c>
      <c r="K703" s="1" t="n">
        <v>19087.81</v>
      </c>
      <c r="L703" s="1" t="n">
        <v>18120.39</v>
      </c>
      <c r="M703" s="1" t="n">
        <v>967.42</v>
      </c>
      <c r="N703" s="1" t="s">
        <v>41</v>
      </c>
      <c r="P703" s="1" t="n">
        <v>3</v>
      </c>
      <c r="Q703" s="1" t="s">
        <v>42</v>
      </c>
      <c r="R703" s="1" t="s">
        <v>102</v>
      </c>
      <c r="S703" s="6" t="n">
        <v>46046</v>
      </c>
    </row>
    <row r="704" customFormat="false" ht="14.25" hidden="false" customHeight="true" outlineLevel="0" collapsed="false">
      <c r="A704" s="1" t="s">
        <v>2374</v>
      </c>
      <c r="B704" s="1" t="s">
        <v>578</v>
      </c>
      <c r="C704" s="1" t="s">
        <v>543</v>
      </c>
      <c r="D704" s="1" t="s">
        <v>937</v>
      </c>
      <c r="E704" s="6" t="n">
        <v>46166</v>
      </c>
      <c r="F704" s="6" t="n">
        <v>46164</v>
      </c>
      <c r="G704" s="1" t="s">
        <v>38</v>
      </c>
      <c r="H704" s="1" t="s">
        <v>1001</v>
      </c>
      <c r="I704" s="1" t="s">
        <v>2375</v>
      </c>
      <c r="J704" s="1" t="n">
        <v>9905.7</v>
      </c>
      <c r="K704" s="1" t="n">
        <v>8907.28</v>
      </c>
      <c r="L704" s="1" t="n">
        <v>6822.24</v>
      </c>
      <c r="M704" s="1" t="n">
        <v>2085.04</v>
      </c>
      <c r="N704" s="1" t="s">
        <v>41</v>
      </c>
      <c r="P704" s="1" t="n">
        <v>3</v>
      </c>
      <c r="Q704" s="1" t="s">
        <v>42</v>
      </c>
      <c r="R704" s="1" t="s">
        <v>125</v>
      </c>
      <c r="S704" s="6" t="n">
        <v>46169</v>
      </c>
    </row>
    <row r="705" customFormat="false" ht="14.25" hidden="false" customHeight="true" outlineLevel="0" collapsed="false">
      <c r="A705" s="1" t="s">
        <v>2376</v>
      </c>
      <c r="B705" s="1" t="s">
        <v>309</v>
      </c>
      <c r="C705" s="1" t="s">
        <v>129</v>
      </c>
      <c r="D705" s="1" t="s">
        <v>501</v>
      </c>
      <c r="E705" s="6" t="n">
        <v>46174</v>
      </c>
      <c r="F705" s="6" t="n">
        <v>46171</v>
      </c>
      <c r="G705" s="1" t="s">
        <v>49</v>
      </c>
      <c r="H705" s="1" t="s">
        <v>2377</v>
      </c>
      <c r="I705" s="1" t="s">
        <v>2378</v>
      </c>
      <c r="J705" s="1" t="n">
        <v>27078.22</v>
      </c>
      <c r="K705" s="1" t="n">
        <v>23948.62</v>
      </c>
      <c r="L705" s="1" t="n">
        <v>19870.52</v>
      </c>
      <c r="M705" s="1" t="n">
        <v>4078.1</v>
      </c>
      <c r="N705" s="1" t="s">
        <v>41</v>
      </c>
      <c r="P705" s="1" t="n">
        <v>2</v>
      </c>
      <c r="Q705" s="1" t="s">
        <v>155</v>
      </c>
      <c r="R705" s="1" t="s">
        <v>54</v>
      </c>
      <c r="S705" s="6" t="n">
        <v>46176</v>
      </c>
    </row>
    <row r="706" customFormat="false" ht="14.25" hidden="false" customHeight="true" outlineLevel="0" collapsed="false">
      <c r="A706" s="1" t="s">
        <v>2379</v>
      </c>
      <c r="B706" s="1" t="s">
        <v>1108</v>
      </c>
      <c r="C706" s="1" t="s">
        <v>310</v>
      </c>
      <c r="D706" s="1" t="s">
        <v>239</v>
      </c>
      <c r="E706" s="6" t="n">
        <v>46165</v>
      </c>
      <c r="F706" s="6" t="n">
        <v>46161</v>
      </c>
      <c r="G706" s="1" t="s">
        <v>38</v>
      </c>
      <c r="H706" s="1" t="s">
        <v>2380</v>
      </c>
      <c r="I706" s="1" t="s">
        <v>2381</v>
      </c>
      <c r="J706" s="1" t="n">
        <v>24617.92</v>
      </c>
      <c r="K706" s="1" t="n">
        <v>20206.36</v>
      </c>
      <c r="L706" s="1" t="n">
        <v>18093.35</v>
      </c>
      <c r="M706" s="1" t="n">
        <v>2113.01</v>
      </c>
      <c r="N706" s="1" t="s">
        <v>41</v>
      </c>
      <c r="P706" s="1" t="n">
        <v>2</v>
      </c>
      <c r="Q706" s="1" t="s">
        <v>155</v>
      </c>
      <c r="R706" s="1" t="s">
        <v>102</v>
      </c>
      <c r="S706" s="6" t="n">
        <v>46167</v>
      </c>
    </row>
    <row r="707" customFormat="false" ht="14.25" hidden="false" customHeight="true" outlineLevel="0" collapsed="false">
      <c r="A707" s="1" t="s">
        <v>2382</v>
      </c>
      <c r="B707" s="1" t="s">
        <v>408</v>
      </c>
      <c r="C707" s="1" t="s">
        <v>115</v>
      </c>
      <c r="D707" s="1" t="s">
        <v>1077</v>
      </c>
      <c r="E707" s="6" t="n">
        <v>46219</v>
      </c>
      <c r="F707" s="6" t="n">
        <v>46216</v>
      </c>
      <c r="G707" s="1" t="s">
        <v>70</v>
      </c>
      <c r="H707" s="1" t="s">
        <v>2265</v>
      </c>
      <c r="I707" s="1" t="s">
        <v>2383</v>
      </c>
      <c r="J707" s="1" t="n">
        <v>24883.95</v>
      </c>
      <c r="K707" s="1" t="n">
        <v>17492.41</v>
      </c>
      <c r="L707" s="1" t="n">
        <v>0</v>
      </c>
      <c r="M707" s="1" t="n">
        <v>17492.41</v>
      </c>
      <c r="N707" s="1" t="s">
        <v>111</v>
      </c>
      <c r="P707" s="1" t="n">
        <v>12</v>
      </c>
      <c r="Q707" s="1" t="s">
        <v>155</v>
      </c>
      <c r="R707" s="1" t="s">
        <v>102</v>
      </c>
    </row>
    <row r="708" customFormat="false" ht="14.25" hidden="false" customHeight="true" outlineLevel="0" collapsed="false">
      <c r="A708" s="1" t="s">
        <v>2384</v>
      </c>
      <c r="B708" s="1" t="s">
        <v>542</v>
      </c>
      <c r="C708" s="1" t="s">
        <v>151</v>
      </c>
      <c r="D708" s="1" t="s">
        <v>520</v>
      </c>
      <c r="E708" s="6" t="n">
        <v>46098</v>
      </c>
      <c r="F708" s="6" t="n">
        <v>46093</v>
      </c>
      <c r="G708" s="1" t="s">
        <v>49</v>
      </c>
      <c r="H708" s="1" t="s">
        <v>1018</v>
      </c>
      <c r="I708" s="1" t="s">
        <v>2385</v>
      </c>
      <c r="J708" s="1" t="n">
        <v>15785.8</v>
      </c>
      <c r="K708" s="1" t="n">
        <v>12344.7</v>
      </c>
      <c r="L708" s="1" t="n">
        <v>12274.42</v>
      </c>
      <c r="M708" s="1" t="n">
        <v>70.28</v>
      </c>
      <c r="N708" s="1" t="s">
        <v>41</v>
      </c>
      <c r="P708" s="1" t="n">
        <v>3</v>
      </c>
      <c r="Q708" s="1" t="s">
        <v>155</v>
      </c>
      <c r="R708" s="1" t="s">
        <v>54</v>
      </c>
      <c r="S708" s="6" t="n">
        <v>46101</v>
      </c>
    </row>
    <row r="709" customFormat="false" ht="14.25" hidden="false" customHeight="true" outlineLevel="0" collapsed="false">
      <c r="A709" s="1" t="s">
        <v>2386</v>
      </c>
      <c r="B709" s="1" t="s">
        <v>395</v>
      </c>
      <c r="C709" s="1" t="s">
        <v>68</v>
      </c>
      <c r="D709" s="1" t="s">
        <v>732</v>
      </c>
      <c r="E709" s="6" t="n">
        <v>46220</v>
      </c>
      <c r="F709" s="6" t="n">
        <v>46217</v>
      </c>
      <c r="G709" s="1" t="s">
        <v>108</v>
      </c>
      <c r="H709" s="1" t="s">
        <v>2289</v>
      </c>
      <c r="I709" s="1" t="s">
        <v>2387</v>
      </c>
      <c r="J709" s="1" t="n">
        <v>5181.11</v>
      </c>
      <c r="K709" s="1" t="n">
        <v>4707.6</v>
      </c>
      <c r="L709" s="1" t="n">
        <v>0</v>
      </c>
      <c r="M709" s="1" t="n">
        <v>4707.6</v>
      </c>
      <c r="N709" s="1" t="s">
        <v>111</v>
      </c>
      <c r="P709" s="1" t="n">
        <v>9</v>
      </c>
      <c r="Q709" s="1" t="s">
        <v>155</v>
      </c>
      <c r="R709" s="1" t="s">
        <v>102</v>
      </c>
    </row>
    <row r="710" customFormat="false" ht="14.25" hidden="false" customHeight="true" outlineLevel="0" collapsed="false">
      <c r="A710" s="1" t="s">
        <v>2388</v>
      </c>
      <c r="B710" s="1" t="s">
        <v>748</v>
      </c>
      <c r="C710" s="1" t="s">
        <v>164</v>
      </c>
      <c r="D710" s="1" t="s">
        <v>99</v>
      </c>
      <c r="E710" s="6" t="n">
        <v>46153</v>
      </c>
      <c r="F710" s="6" t="n">
        <v>46151</v>
      </c>
      <c r="G710" s="1" t="s">
        <v>70</v>
      </c>
      <c r="H710" s="1" t="s">
        <v>2389</v>
      </c>
      <c r="I710" s="1" t="s">
        <v>2390</v>
      </c>
      <c r="J710" s="1" t="n">
        <v>26754.78</v>
      </c>
      <c r="K710" s="1" t="n">
        <v>18216.66</v>
      </c>
      <c r="L710" s="1" t="n">
        <v>15029.02</v>
      </c>
      <c r="M710" s="1" t="n">
        <v>3187.64</v>
      </c>
      <c r="N710" s="1" t="s">
        <v>41</v>
      </c>
      <c r="P710" s="1" t="n">
        <v>4</v>
      </c>
      <c r="Q710" s="1" t="s">
        <v>63</v>
      </c>
      <c r="R710" s="1" t="s">
        <v>125</v>
      </c>
      <c r="S710" s="6" t="n">
        <v>46157</v>
      </c>
    </row>
    <row r="711" customFormat="false" ht="14.25" hidden="false" customHeight="true" outlineLevel="0" collapsed="false">
      <c r="A711" s="1" t="s">
        <v>2391</v>
      </c>
      <c r="B711" s="1" t="s">
        <v>2392</v>
      </c>
      <c r="C711" s="1" t="s">
        <v>310</v>
      </c>
      <c r="D711" s="1" t="s">
        <v>222</v>
      </c>
      <c r="E711" s="6" t="n">
        <v>46067</v>
      </c>
      <c r="F711" s="6" t="n">
        <v>46066</v>
      </c>
      <c r="G711" s="1" t="s">
        <v>70</v>
      </c>
      <c r="H711" s="1" t="s">
        <v>1755</v>
      </c>
      <c r="I711" s="1" t="s">
        <v>2393</v>
      </c>
      <c r="J711" s="1" t="n">
        <v>8278.07</v>
      </c>
      <c r="K711" s="1" t="n">
        <v>7756.65</v>
      </c>
      <c r="L711" s="1" t="n">
        <v>0</v>
      </c>
      <c r="M711" s="1" t="n">
        <v>7756.65</v>
      </c>
      <c r="N711" s="1" t="s">
        <v>111</v>
      </c>
      <c r="P711" s="1" t="n">
        <v>11</v>
      </c>
      <c r="Q711" s="1" t="s">
        <v>63</v>
      </c>
      <c r="R711" s="1" t="s">
        <v>125</v>
      </c>
    </row>
    <row r="712" customFormat="false" ht="14.25" hidden="false" customHeight="true" outlineLevel="0" collapsed="false">
      <c r="A712" s="1" t="s">
        <v>2394</v>
      </c>
      <c r="B712" s="1" t="s">
        <v>1553</v>
      </c>
      <c r="C712" s="1" t="s">
        <v>279</v>
      </c>
      <c r="D712" s="1" t="s">
        <v>137</v>
      </c>
      <c r="E712" s="6" t="n">
        <v>46102</v>
      </c>
      <c r="F712" s="6" t="n">
        <v>46100</v>
      </c>
      <c r="G712" s="1" t="s">
        <v>49</v>
      </c>
      <c r="H712" s="1" t="s">
        <v>1384</v>
      </c>
      <c r="I712" s="1" t="s">
        <v>2395</v>
      </c>
      <c r="J712" s="1" t="n">
        <v>17019.25</v>
      </c>
      <c r="K712" s="1" t="n">
        <v>12869.62</v>
      </c>
      <c r="L712" s="1" t="n">
        <v>12049.87</v>
      </c>
      <c r="M712" s="1" t="n">
        <v>819.75</v>
      </c>
      <c r="N712" s="1" t="s">
        <v>41</v>
      </c>
      <c r="P712" s="1" t="n">
        <v>8</v>
      </c>
      <c r="Q712" s="1" t="s">
        <v>155</v>
      </c>
      <c r="R712" s="1" t="s">
        <v>125</v>
      </c>
      <c r="S712" s="6" t="n">
        <v>46110</v>
      </c>
    </row>
    <row r="713" customFormat="false" ht="14.25" hidden="false" customHeight="true" outlineLevel="0" collapsed="false">
      <c r="A713" s="1" t="s">
        <v>2396</v>
      </c>
      <c r="B713" s="1" t="s">
        <v>1957</v>
      </c>
      <c r="C713" s="1" t="s">
        <v>346</v>
      </c>
      <c r="D713" s="1" t="s">
        <v>59</v>
      </c>
      <c r="E713" s="6" t="n">
        <v>46126</v>
      </c>
      <c r="F713" s="6" t="n">
        <v>46126</v>
      </c>
      <c r="G713" s="1" t="s">
        <v>38</v>
      </c>
      <c r="H713" s="1" t="s">
        <v>2397</v>
      </c>
      <c r="I713" s="1" t="s">
        <v>2398</v>
      </c>
      <c r="J713" s="1" t="n">
        <v>18003.79</v>
      </c>
      <c r="K713" s="1" t="n">
        <v>16052.38</v>
      </c>
      <c r="L713" s="1" t="n">
        <v>0</v>
      </c>
      <c r="M713" s="1" t="n">
        <v>16052.38</v>
      </c>
      <c r="N713" s="1" t="s">
        <v>260</v>
      </c>
      <c r="P713" s="1" t="n">
        <v>8</v>
      </c>
      <c r="Q713" s="1" t="s">
        <v>63</v>
      </c>
      <c r="R713" s="1" t="s">
        <v>125</v>
      </c>
    </row>
    <row r="714" customFormat="false" ht="14.25" hidden="false" customHeight="true" outlineLevel="0" collapsed="false">
      <c r="A714" s="1" t="s">
        <v>2399</v>
      </c>
      <c r="B714" s="1" t="s">
        <v>818</v>
      </c>
      <c r="C714" s="1" t="s">
        <v>516</v>
      </c>
      <c r="D714" s="1" t="s">
        <v>48</v>
      </c>
      <c r="E714" s="6" t="n">
        <v>46118</v>
      </c>
      <c r="F714" s="6" t="n">
        <v>46118</v>
      </c>
      <c r="G714" s="1" t="s">
        <v>49</v>
      </c>
      <c r="H714" s="1" t="s">
        <v>929</v>
      </c>
      <c r="I714" s="1" t="s">
        <v>2400</v>
      </c>
      <c r="J714" s="1" t="n">
        <v>39650.54</v>
      </c>
      <c r="K714" s="1" t="n">
        <v>29646.93</v>
      </c>
      <c r="L714" s="1" t="n">
        <v>26385.56</v>
      </c>
      <c r="M714" s="1" t="n">
        <v>3261.37</v>
      </c>
      <c r="N714" s="1" t="s">
        <v>41</v>
      </c>
      <c r="P714" s="1" t="n">
        <v>4</v>
      </c>
      <c r="Q714" s="1" t="s">
        <v>155</v>
      </c>
      <c r="R714" s="1" t="s">
        <v>54</v>
      </c>
      <c r="S714" s="6" t="n">
        <v>46122</v>
      </c>
    </row>
    <row r="715" customFormat="false" ht="14.25" hidden="false" customHeight="true" outlineLevel="0" collapsed="false">
      <c r="A715" s="1" t="s">
        <v>2401</v>
      </c>
      <c r="B715" s="1" t="s">
        <v>606</v>
      </c>
      <c r="C715" s="1" t="s">
        <v>221</v>
      </c>
      <c r="D715" s="1" t="s">
        <v>59</v>
      </c>
      <c r="E715" s="6" t="n">
        <v>46086</v>
      </c>
      <c r="F715" s="6" t="n">
        <v>46085</v>
      </c>
      <c r="G715" s="1" t="s">
        <v>49</v>
      </c>
      <c r="H715" s="1" t="s">
        <v>2402</v>
      </c>
      <c r="I715" s="1" t="s">
        <v>2403</v>
      </c>
      <c r="J715" s="1" t="n">
        <v>24244.29</v>
      </c>
      <c r="K715" s="1" t="n">
        <v>21004.75</v>
      </c>
      <c r="L715" s="1" t="n">
        <v>18220.95</v>
      </c>
      <c r="M715" s="1" t="n">
        <v>2783.8</v>
      </c>
      <c r="N715" s="1" t="s">
        <v>41</v>
      </c>
      <c r="P715" s="1" t="n">
        <v>1</v>
      </c>
      <c r="Q715" s="1" t="s">
        <v>42</v>
      </c>
      <c r="R715" s="1" t="s">
        <v>64</v>
      </c>
      <c r="S715" s="6" t="n">
        <v>46087</v>
      </c>
    </row>
    <row r="716" customFormat="false" ht="14.25" hidden="false" customHeight="true" outlineLevel="0" collapsed="false">
      <c r="A716" s="1" t="s">
        <v>2404</v>
      </c>
      <c r="B716" s="1" t="s">
        <v>1760</v>
      </c>
      <c r="C716" s="1" t="s">
        <v>129</v>
      </c>
      <c r="D716" s="1" t="s">
        <v>165</v>
      </c>
      <c r="E716" s="6" t="n">
        <v>46119</v>
      </c>
      <c r="F716" s="6" t="n">
        <v>46119</v>
      </c>
      <c r="G716" s="1" t="s">
        <v>108</v>
      </c>
      <c r="H716" s="1" t="s">
        <v>612</v>
      </c>
      <c r="I716" s="1" t="s">
        <v>2405</v>
      </c>
      <c r="J716" s="1" t="n">
        <v>32161.62</v>
      </c>
      <c r="K716" s="1" t="n">
        <v>23568.48</v>
      </c>
      <c r="L716" s="1" t="n">
        <v>19853.2</v>
      </c>
      <c r="M716" s="1" t="n">
        <v>3715.28</v>
      </c>
      <c r="N716" s="1" t="s">
        <v>41</v>
      </c>
      <c r="P716" s="1" t="n">
        <v>5</v>
      </c>
      <c r="Q716" s="1" t="s">
        <v>155</v>
      </c>
      <c r="R716" s="1" t="s">
        <v>125</v>
      </c>
      <c r="S716" s="6" t="n">
        <v>46124</v>
      </c>
    </row>
    <row r="717" customFormat="false" ht="14.25" hidden="false" customHeight="true" outlineLevel="0" collapsed="false">
      <c r="A717" s="1" t="s">
        <v>2406</v>
      </c>
      <c r="B717" s="1" t="s">
        <v>778</v>
      </c>
      <c r="C717" s="1" t="s">
        <v>233</v>
      </c>
      <c r="D717" s="1" t="s">
        <v>1084</v>
      </c>
      <c r="E717" s="6" t="n">
        <v>46065</v>
      </c>
      <c r="F717" s="6" t="n">
        <v>46061</v>
      </c>
      <c r="G717" s="1" t="s">
        <v>108</v>
      </c>
      <c r="H717" s="1" t="s">
        <v>2218</v>
      </c>
      <c r="I717" s="1" t="s">
        <v>2407</v>
      </c>
      <c r="J717" s="1" t="n">
        <v>10399.72</v>
      </c>
      <c r="K717" s="1" t="n">
        <v>7034.39</v>
      </c>
      <c r="L717" s="1" t="n">
        <v>5707.05</v>
      </c>
      <c r="M717" s="1" t="n">
        <v>1327.34</v>
      </c>
      <c r="N717" s="1" t="s">
        <v>41</v>
      </c>
      <c r="P717" s="1" t="n">
        <v>5</v>
      </c>
      <c r="Q717" s="1" t="s">
        <v>42</v>
      </c>
      <c r="R717" s="1" t="s">
        <v>74</v>
      </c>
      <c r="S717" s="6" t="n">
        <v>46070</v>
      </c>
    </row>
    <row r="718" customFormat="false" ht="14.25" hidden="false" customHeight="true" outlineLevel="0" collapsed="false">
      <c r="A718" s="1" t="s">
        <v>2408</v>
      </c>
      <c r="B718" s="1" t="s">
        <v>627</v>
      </c>
      <c r="C718" s="1" t="s">
        <v>386</v>
      </c>
      <c r="D718" s="1" t="s">
        <v>391</v>
      </c>
      <c r="E718" s="6" t="n">
        <v>46214</v>
      </c>
      <c r="F718" s="6" t="n">
        <v>46212</v>
      </c>
      <c r="G718" s="1" t="s">
        <v>38</v>
      </c>
      <c r="H718" s="1" t="s">
        <v>2409</v>
      </c>
      <c r="I718" s="1" t="s">
        <v>2410</v>
      </c>
      <c r="J718" s="1" t="n">
        <v>18380.87</v>
      </c>
      <c r="K718" s="1" t="n">
        <v>16208.45</v>
      </c>
      <c r="L718" s="1" t="n">
        <v>0</v>
      </c>
      <c r="M718" s="1" t="n">
        <v>16208.45</v>
      </c>
      <c r="N718" s="1" t="s">
        <v>260</v>
      </c>
      <c r="P718" s="1" t="n">
        <v>4</v>
      </c>
      <c r="Q718" s="1" t="s">
        <v>63</v>
      </c>
      <c r="R718" s="1" t="s">
        <v>140</v>
      </c>
    </row>
    <row r="719" customFormat="false" ht="14.25" hidden="false" customHeight="true" outlineLevel="0" collapsed="false">
      <c r="A719" s="1" t="s">
        <v>2411</v>
      </c>
      <c r="B719" s="1" t="s">
        <v>2086</v>
      </c>
      <c r="C719" s="1" t="s">
        <v>106</v>
      </c>
      <c r="D719" s="1" t="s">
        <v>635</v>
      </c>
      <c r="E719" s="6" t="n">
        <v>46201</v>
      </c>
      <c r="F719" s="6" t="n">
        <v>46196</v>
      </c>
      <c r="G719" s="1" t="s">
        <v>108</v>
      </c>
      <c r="H719" s="1" t="s">
        <v>1722</v>
      </c>
      <c r="I719" s="1" t="s">
        <v>2412</v>
      </c>
      <c r="J719" s="1" t="n">
        <v>30379.04</v>
      </c>
      <c r="K719" s="1" t="n">
        <v>28246.56</v>
      </c>
      <c r="L719" s="1" t="n">
        <v>22175.46</v>
      </c>
      <c r="M719" s="1" t="n">
        <v>6071.1</v>
      </c>
      <c r="N719" s="1" t="s">
        <v>41</v>
      </c>
      <c r="P719" s="1" t="n">
        <v>7</v>
      </c>
      <c r="Q719" s="1" t="s">
        <v>155</v>
      </c>
      <c r="R719" s="1" t="s">
        <v>64</v>
      </c>
      <c r="S719" s="6" t="n">
        <v>46208</v>
      </c>
    </row>
    <row r="720" customFormat="false" ht="14.25" hidden="false" customHeight="true" outlineLevel="0" collapsed="false">
      <c r="A720" s="1" t="s">
        <v>2413</v>
      </c>
      <c r="B720" s="1" t="s">
        <v>395</v>
      </c>
      <c r="C720" s="1" t="s">
        <v>900</v>
      </c>
      <c r="D720" s="1" t="s">
        <v>1077</v>
      </c>
      <c r="E720" s="6" t="n">
        <v>46118</v>
      </c>
      <c r="F720" s="6" t="n">
        <v>46118</v>
      </c>
      <c r="G720" s="1" t="s">
        <v>70</v>
      </c>
      <c r="H720" s="1" t="s">
        <v>363</v>
      </c>
      <c r="I720" s="1" t="s">
        <v>2414</v>
      </c>
      <c r="J720" s="1" t="n">
        <v>49784.9</v>
      </c>
      <c r="K720" s="1" t="n">
        <v>46695.07</v>
      </c>
      <c r="L720" s="1" t="n">
        <v>45213.45</v>
      </c>
      <c r="M720" s="1" t="n">
        <v>1481.62</v>
      </c>
      <c r="N720" s="1" t="s">
        <v>41</v>
      </c>
      <c r="P720" s="1" t="n">
        <v>6</v>
      </c>
      <c r="Q720" s="1" t="s">
        <v>42</v>
      </c>
      <c r="R720" s="1" t="s">
        <v>54</v>
      </c>
      <c r="S720" s="6" t="n">
        <v>46124</v>
      </c>
    </row>
    <row r="721" customFormat="false" ht="14.25" hidden="false" customHeight="true" outlineLevel="0" collapsed="false">
      <c r="A721" s="1" t="s">
        <v>2415</v>
      </c>
      <c r="B721" s="1" t="s">
        <v>429</v>
      </c>
      <c r="C721" s="1" t="s">
        <v>413</v>
      </c>
      <c r="D721" s="1" t="s">
        <v>529</v>
      </c>
      <c r="E721" s="6" t="n">
        <v>46167</v>
      </c>
      <c r="F721" s="6" t="n">
        <v>46167</v>
      </c>
      <c r="G721" s="1" t="s">
        <v>38</v>
      </c>
      <c r="H721" s="1" t="s">
        <v>1849</v>
      </c>
      <c r="I721" s="1" t="s">
        <v>2416</v>
      </c>
      <c r="J721" s="1" t="n">
        <v>39139.12</v>
      </c>
      <c r="K721" s="1" t="n">
        <v>31684.24</v>
      </c>
      <c r="L721" s="1" t="n">
        <v>0</v>
      </c>
      <c r="M721" s="1" t="n">
        <v>31684.24</v>
      </c>
      <c r="N721" s="1" t="s">
        <v>260</v>
      </c>
      <c r="P721" s="1" t="n">
        <v>2</v>
      </c>
      <c r="Q721" s="1" t="s">
        <v>42</v>
      </c>
      <c r="R721" s="1" t="s">
        <v>43</v>
      </c>
    </row>
    <row r="722" customFormat="false" ht="14.25" hidden="false" customHeight="true" outlineLevel="0" collapsed="false">
      <c r="A722" s="1" t="s">
        <v>2417</v>
      </c>
      <c r="B722" s="1" t="s">
        <v>355</v>
      </c>
      <c r="C722" s="1" t="s">
        <v>68</v>
      </c>
      <c r="D722" s="1" t="s">
        <v>239</v>
      </c>
      <c r="E722" s="6" t="n">
        <v>46234</v>
      </c>
      <c r="F722" s="6" t="n">
        <v>46232</v>
      </c>
      <c r="G722" s="1" t="s">
        <v>70</v>
      </c>
      <c r="H722" s="1" t="s">
        <v>442</v>
      </c>
      <c r="I722" s="1" t="s">
        <v>2418</v>
      </c>
      <c r="J722" s="1" t="n">
        <v>44523.11</v>
      </c>
      <c r="K722" s="1" t="n">
        <v>42221.48</v>
      </c>
      <c r="L722" s="1" t="n">
        <v>33272.69</v>
      </c>
      <c r="M722" s="1" t="n">
        <v>8948.79</v>
      </c>
      <c r="N722" s="1" t="s">
        <v>41</v>
      </c>
      <c r="P722" s="1" t="n">
        <v>6</v>
      </c>
      <c r="Q722" s="1" t="s">
        <v>42</v>
      </c>
      <c r="R722" s="1" t="s">
        <v>74</v>
      </c>
      <c r="S722" s="6" t="n">
        <v>46240</v>
      </c>
    </row>
    <row r="723" customFormat="false" ht="14.25" hidden="false" customHeight="true" outlineLevel="0" collapsed="false">
      <c r="A723" s="1" t="s">
        <v>2419</v>
      </c>
      <c r="B723" s="1" t="s">
        <v>1311</v>
      </c>
      <c r="C723" s="1" t="s">
        <v>244</v>
      </c>
      <c r="D723" s="1" t="s">
        <v>550</v>
      </c>
      <c r="E723" s="6" t="n">
        <v>46235</v>
      </c>
      <c r="F723" s="6" t="n">
        <v>46232</v>
      </c>
      <c r="G723" s="1" t="s">
        <v>49</v>
      </c>
      <c r="H723" s="1" t="s">
        <v>2420</v>
      </c>
      <c r="I723" s="1" t="s">
        <v>2421</v>
      </c>
      <c r="J723" s="1" t="n">
        <v>20372.57</v>
      </c>
      <c r="K723" s="1" t="n">
        <v>15037.89</v>
      </c>
      <c r="L723" s="1" t="n">
        <v>0</v>
      </c>
      <c r="M723" s="1" t="n">
        <v>15037.89</v>
      </c>
      <c r="N723" s="1" t="s">
        <v>52</v>
      </c>
      <c r="O723" s="1" t="s">
        <v>53</v>
      </c>
      <c r="P723" s="1" t="n">
        <v>7</v>
      </c>
      <c r="Q723" s="1" t="s">
        <v>155</v>
      </c>
      <c r="R723" s="1" t="s">
        <v>64</v>
      </c>
    </row>
    <row r="724" customFormat="false" ht="14.25" hidden="false" customHeight="true" outlineLevel="0" collapsed="false">
      <c r="A724" s="1" t="s">
        <v>2422</v>
      </c>
      <c r="B724" s="1" t="s">
        <v>1009</v>
      </c>
      <c r="C724" s="1" t="s">
        <v>296</v>
      </c>
      <c r="D724" s="1" t="s">
        <v>732</v>
      </c>
      <c r="E724" s="6" t="n">
        <v>46197</v>
      </c>
      <c r="F724" s="6" t="n">
        <v>46195</v>
      </c>
      <c r="G724" s="1" t="s">
        <v>38</v>
      </c>
      <c r="H724" s="1" t="s">
        <v>2423</v>
      </c>
      <c r="I724" s="1" t="s">
        <v>2424</v>
      </c>
      <c r="J724" s="1" t="n">
        <v>32853.83</v>
      </c>
      <c r="K724" s="1" t="n">
        <v>23329.49</v>
      </c>
      <c r="L724" s="1" t="n">
        <v>22288.56</v>
      </c>
      <c r="M724" s="1" t="n">
        <v>1040.93</v>
      </c>
      <c r="N724" s="1" t="s">
        <v>41</v>
      </c>
      <c r="P724" s="1" t="n">
        <v>6</v>
      </c>
      <c r="Q724" s="1" t="s">
        <v>155</v>
      </c>
      <c r="R724" s="1" t="s">
        <v>54</v>
      </c>
      <c r="S724" s="6" t="n">
        <v>46203</v>
      </c>
    </row>
    <row r="725" customFormat="false" ht="14.25" hidden="false" customHeight="true" outlineLevel="0" collapsed="false">
      <c r="A725" s="1" t="s">
        <v>2425</v>
      </c>
      <c r="B725" s="1" t="s">
        <v>850</v>
      </c>
      <c r="C725" s="1" t="s">
        <v>686</v>
      </c>
      <c r="D725" s="1" t="s">
        <v>550</v>
      </c>
      <c r="E725" s="6" t="n">
        <v>46033</v>
      </c>
      <c r="F725" s="6" t="n">
        <v>46029</v>
      </c>
      <c r="G725" s="1" t="s">
        <v>70</v>
      </c>
      <c r="H725" s="1" t="s">
        <v>423</v>
      </c>
      <c r="I725" s="1" t="s">
        <v>2426</v>
      </c>
      <c r="J725" s="1" t="n">
        <v>42312.57</v>
      </c>
      <c r="K725" s="1" t="n">
        <v>37397.5</v>
      </c>
      <c r="L725" s="1" t="n">
        <v>0</v>
      </c>
      <c r="M725" s="1" t="n">
        <v>37397.5</v>
      </c>
      <c r="N725" s="1" t="s">
        <v>111</v>
      </c>
      <c r="P725" s="1" t="n">
        <v>12</v>
      </c>
      <c r="Q725" s="1" t="s">
        <v>155</v>
      </c>
      <c r="R725" s="1" t="s">
        <v>102</v>
      </c>
    </row>
    <row r="726" customFormat="false" ht="14.25" hidden="false" customHeight="true" outlineLevel="0" collapsed="false">
      <c r="A726" s="1" t="s">
        <v>2427</v>
      </c>
      <c r="B726" s="1" t="s">
        <v>1276</v>
      </c>
      <c r="C726" s="1" t="s">
        <v>158</v>
      </c>
      <c r="D726" s="1" t="s">
        <v>37</v>
      </c>
      <c r="E726" s="6" t="n">
        <v>46067</v>
      </c>
      <c r="F726" s="6" t="n">
        <v>46064</v>
      </c>
      <c r="G726" s="1" t="s">
        <v>108</v>
      </c>
      <c r="H726" s="1" t="s">
        <v>644</v>
      </c>
      <c r="I726" s="1" t="s">
        <v>2428</v>
      </c>
      <c r="J726" s="1" t="n">
        <v>12032.45</v>
      </c>
      <c r="K726" s="1" t="n">
        <v>11141.61</v>
      </c>
      <c r="L726" s="1" t="n">
        <v>0</v>
      </c>
      <c r="M726" s="1" t="n">
        <v>11141.61</v>
      </c>
      <c r="N726" s="1" t="s">
        <v>260</v>
      </c>
      <c r="P726" s="1" t="n">
        <v>6</v>
      </c>
      <c r="Q726" s="1" t="s">
        <v>155</v>
      </c>
      <c r="R726" s="1" t="s">
        <v>43</v>
      </c>
    </row>
    <row r="727" customFormat="false" ht="14.25" hidden="false" customHeight="true" outlineLevel="0" collapsed="false">
      <c r="A727" s="1" t="s">
        <v>2429</v>
      </c>
      <c r="B727" s="1" t="s">
        <v>764</v>
      </c>
      <c r="C727" s="1" t="s">
        <v>436</v>
      </c>
      <c r="D727" s="1" t="s">
        <v>648</v>
      </c>
      <c r="E727" s="6" t="n">
        <v>46218</v>
      </c>
      <c r="F727" s="6" t="n">
        <v>46213</v>
      </c>
      <c r="G727" s="1" t="s">
        <v>108</v>
      </c>
      <c r="H727" s="1" t="s">
        <v>2276</v>
      </c>
      <c r="I727" s="1" t="s">
        <v>2430</v>
      </c>
      <c r="J727" s="1" t="n">
        <v>2936.11</v>
      </c>
      <c r="K727" s="1" t="n">
        <v>2294.76</v>
      </c>
      <c r="L727" s="1" t="n">
        <v>1835.03</v>
      </c>
      <c r="M727" s="1" t="n">
        <v>459.73</v>
      </c>
      <c r="N727" s="1" t="s">
        <v>41</v>
      </c>
      <c r="P727" s="1" t="n">
        <v>7</v>
      </c>
      <c r="Q727" s="1" t="s">
        <v>155</v>
      </c>
      <c r="R727" s="1" t="s">
        <v>43</v>
      </c>
      <c r="S727" s="6" t="n">
        <v>46225</v>
      </c>
    </row>
    <row r="728" customFormat="false" ht="14.25" hidden="false" customHeight="true" outlineLevel="0" collapsed="false">
      <c r="A728" s="1" t="s">
        <v>2431</v>
      </c>
      <c r="B728" s="1" t="s">
        <v>243</v>
      </c>
      <c r="C728" s="1" t="s">
        <v>58</v>
      </c>
      <c r="D728" s="1" t="s">
        <v>1929</v>
      </c>
      <c r="E728" s="6" t="n">
        <v>46216</v>
      </c>
      <c r="F728" s="6" t="n">
        <v>46212</v>
      </c>
      <c r="G728" s="1" t="s">
        <v>70</v>
      </c>
      <c r="H728" s="1" t="s">
        <v>281</v>
      </c>
      <c r="I728" s="1" t="s">
        <v>2432</v>
      </c>
      <c r="J728" s="1" t="n">
        <v>49770.2</v>
      </c>
      <c r="K728" s="1" t="n">
        <v>38548.93</v>
      </c>
      <c r="L728" s="1" t="n">
        <v>30938.67</v>
      </c>
      <c r="M728" s="1" t="n">
        <v>7610.26</v>
      </c>
      <c r="N728" s="1" t="s">
        <v>41</v>
      </c>
      <c r="P728" s="1" t="n">
        <v>2</v>
      </c>
      <c r="Q728" s="1" t="s">
        <v>63</v>
      </c>
      <c r="R728" s="1" t="s">
        <v>54</v>
      </c>
      <c r="S728" s="6" t="n">
        <v>46218</v>
      </c>
    </row>
    <row r="729" customFormat="false" ht="14.25" hidden="false" customHeight="true" outlineLevel="0" collapsed="false">
      <c r="A729" s="1" t="s">
        <v>2433</v>
      </c>
      <c r="B729" s="1" t="s">
        <v>770</v>
      </c>
      <c r="C729" s="1" t="s">
        <v>686</v>
      </c>
      <c r="D729" s="1" t="s">
        <v>538</v>
      </c>
      <c r="E729" s="6" t="n">
        <v>46027</v>
      </c>
      <c r="F729" s="6" t="n">
        <v>46024</v>
      </c>
      <c r="G729" s="1" t="s">
        <v>70</v>
      </c>
      <c r="H729" s="1" t="s">
        <v>1755</v>
      </c>
      <c r="I729" s="1" t="s">
        <v>2434</v>
      </c>
      <c r="J729" s="1" t="n">
        <v>20315.26</v>
      </c>
      <c r="K729" s="1" t="n">
        <v>18430.98</v>
      </c>
      <c r="L729" s="1" t="n">
        <v>0</v>
      </c>
      <c r="M729" s="1" t="n">
        <v>18430.98</v>
      </c>
      <c r="N729" s="1" t="s">
        <v>52</v>
      </c>
      <c r="O729" s="1" t="s">
        <v>230</v>
      </c>
      <c r="P729" s="1" t="n">
        <v>6</v>
      </c>
      <c r="Q729" s="1" t="s">
        <v>42</v>
      </c>
      <c r="R729" s="1" t="s">
        <v>74</v>
      </c>
    </row>
    <row r="730" customFormat="false" ht="14.25" hidden="false" customHeight="true" outlineLevel="0" collapsed="false">
      <c r="A730" s="1" t="s">
        <v>2435</v>
      </c>
      <c r="B730" s="1" t="s">
        <v>366</v>
      </c>
      <c r="C730" s="1" t="s">
        <v>198</v>
      </c>
      <c r="D730" s="1" t="s">
        <v>648</v>
      </c>
      <c r="E730" s="6" t="n">
        <v>46233</v>
      </c>
      <c r="F730" s="6" t="n">
        <v>46230</v>
      </c>
      <c r="G730" s="1" t="s">
        <v>108</v>
      </c>
      <c r="H730" s="1" t="s">
        <v>1167</v>
      </c>
      <c r="I730" s="1" t="s">
        <v>2436</v>
      </c>
      <c r="J730" s="1" t="n">
        <v>1284.58</v>
      </c>
      <c r="K730" s="1" t="n">
        <v>1206.57</v>
      </c>
      <c r="L730" s="1" t="n">
        <v>0</v>
      </c>
      <c r="M730" s="1" t="n">
        <v>1206.57</v>
      </c>
      <c r="N730" s="1" t="s">
        <v>52</v>
      </c>
      <c r="O730" s="1" t="s">
        <v>53</v>
      </c>
      <c r="P730" s="1" t="n">
        <v>6</v>
      </c>
      <c r="Q730" s="1" t="s">
        <v>155</v>
      </c>
      <c r="R730" s="1" t="s">
        <v>140</v>
      </c>
    </row>
    <row r="731" customFormat="false" ht="14.25" hidden="false" customHeight="true" outlineLevel="0" collapsed="false">
      <c r="A731" s="1" t="s">
        <v>2437</v>
      </c>
      <c r="B731" s="1" t="s">
        <v>324</v>
      </c>
      <c r="C731" s="1" t="s">
        <v>176</v>
      </c>
      <c r="D731" s="1" t="s">
        <v>274</v>
      </c>
      <c r="E731" s="6" t="n">
        <v>46203</v>
      </c>
      <c r="F731" s="6" t="n">
        <v>46200</v>
      </c>
      <c r="G731" s="1" t="s">
        <v>38</v>
      </c>
      <c r="H731" s="1" t="s">
        <v>2438</v>
      </c>
      <c r="I731" s="1" t="s">
        <v>2439</v>
      </c>
      <c r="J731" s="1" t="n">
        <v>3528.48</v>
      </c>
      <c r="K731" s="1" t="n">
        <v>3142.87</v>
      </c>
      <c r="L731" s="1" t="n">
        <v>0</v>
      </c>
      <c r="M731" s="1" t="n">
        <v>3142.87</v>
      </c>
      <c r="N731" s="1" t="s">
        <v>52</v>
      </c>
      <c r="O731" s="1" t="s">
        <v>230</v>
      </c>
      <c r="P731" s="1" t="n">
        <v>5</v>
      </c>
      <c r="Q731" s="1" t="s">
        <v>155</v>
      </c>
      <c r="R731" s="1" t="s">
        <v>74</v>
      </c>
    </row>
    <row r="732" customFormat="false" ht="14.25" hidden="false" customHeight="true" outlineLevel="0" collapsed="false">
      <c r="A732" s="1" t="s">
        <v>2440</v>
      </c>
      <c r="B732" s="1" t="s">
        <v>696</v>
      </c>
      <c r="C732" s="1" t="s">
        <v>543</v>
      </c>
      <c r="D732" s="1" t="s">
        <v>250</v>
      </c>
      <c r="E732" s="6" t="n">
        <v>46235</v>
      </c>
      <c r="F732" s="6" t="n">
        <v>46230</v>
      </c>
      <c r="G732" s="1" t="s">
        <v>70</v>
      </c>
      <c r="H732" s="1" t="s">
        <v>1293</v>
      </c>
      <c r="I732" s="1" t="s">
        <v>2441</v>
      </c>
      <c r="J732" s="1" t="n">
        <v>44014.33</v>
      </c>
      <c r="K732" s="1" t="n">
        <v>30053.75</v>
      </c>
      <c r="L732" s="1" t="n">
        <v>23760.3</v>
      </c>
      <c r="M732" s="1" t="n">
        <v>6293.45</v>
      </c>
      <c r="N732" s="1" t="s">
        <v>41</v>
      </c>
      <c r="P732" s="1" t="n">
        <v>8</v>
      </c>
      <c r="Q732" s="1" t="s">
        <v>42</v>
      </c>
      <c r="R732" s="1" t="s">
        <v>102</v>
      </c>
      <c r="S732" s="6" t="n">
        <v>46243</v>
      </c>
    </row>
    <row r="733" customFormat="false" ht="14.25" hidden="false" customHeight="true" outlineLevel="0" collapsed="false">
      <c r="A733" s="1" t="s">
        <v>2442</v>
      </c>
      <c r="B733" s="1" t="s">
        <v>1298</v>
      </c>
      <c r="C733" s="1" t="s">
        <v>325</v>
      </c>
      <c r="D733" s="1" t="s">
        <v>717</v>
      </c>
      <c r="E733" s="6" t="n">
        <v>46030</v>
      </c>
      <c r="F733" s="6" t="n">
        <v>46030</v>
      </c>
      <c r="G733" s="1" t="s">
        <v>38</v>
      </c>
      <c r="H733" s="1" t="s">
        <v>2443</v>
      </c>
      <c r="I733" s="1" t="s">
        <v>2444</v>
      </c>
      <c r="J733" s="1" t="n">
        <v>44496.61</v>
      </c>
      <c r="K733" s="1" t="n">
        <v>29379.64</v>
      </c>
      <c r="L733" s="1" t="n">
        <v>28439.7</v>
      </c>
      <c r="M733" s="1" t="n">
        <v>939.94</v>
      </c>
      <c r="N733" s="1" t="s">
        <v>41</v>
      </c>
      <c r="P733" s="1" t="n">
        <v>7</v>
      </c>
      <c r="Q733" s="1" t="s">
        <v>155</v>
      </c>
      <c r="R733" s="1" t="s">
        <v>102</v>
      </c>
      <c r="S733" s="6" t="n">
        <v>46037</v>
      </c>
    </row>
    <row r="734" customFormat="false" ht="14.25" hidden="false" customHeight="true" outlineLevel="0" collapsed="false">
      <c r="A734" s="1" t="s">
        <v>2445</v>
      </c>
      <c r="B734" s="1" t="s">
        <v>810</v>
      </c>
      <c r="C734" s="1" t="s">
        <v>300</v>
      </c>
      <c r="D734" s="1" t="s">
        <v>165</v>
      </c>
      <c r="E734" s="6" t="n">
        <v>46080</v>
      </c>
      <c r="F734" s="6" t="n">
        <v>46080</v>
      </c>
      <c r="G734" s="1" t="s">
        <v>108</v>
      </c>
      <c r="H734" s="1" t="s">
        <v>1469</v>
      </c>
      <c r="I734" s="1" t="s">
        <v>2446</v>
      </c>
      <c r="J734" s="1" t="n">
        <v>3783.12</v>
      </c>
      <c r="K734" s="1" t="n">
        <v>3558.48</v>
      </c>
      <c r="L734" s="1" t="n">
        <v>3082.03</v>
      </c>
      <c r="M734" s="1" t="n">
        <v>476.45</v>
      </c>
      <c r="N734" s="1" t="s">
        <v>41</v>
      </c>
      <c r="P734" s="1" t="n">
        <v>7</v>
      </c>
      <c r="Q734" s="1" t="s">
        <v>63</v>
      </c>
      <c r="R734" s="1" t="s">
        <v>102</v>
      </c>
      <c r="S734" s="6" t="n">
        <v>46087</v>
      </c>
    </row>
    <row r="735" customFormat="false" ht="14.25" hidden="false" customHeight="true" outlineLevel="0" collapsed="false">
      <c r="A735" s="1" t="s">
        <v>2447</v>
      </c>
      <c r="B735" s="1" t="s">
        <v>340</v>
      </c>
      <c r="C735" s="1" t="s">
        <v>129</v>
      </c>
      <c r="D735" s="1" t="s">
        <v>1128</v>
      </c>
      <c r="E735" s="6" t="n">
        <v>46057</v>
      </c>
      <c r="F735" s="6" t="n">
        <v>46055</v>
      </c>
      <c r="G735" s="1" t="s">
        <v>38</v>
      </c>
      <c r="H735" s="1" t="s">
        <v>617</v>
      </c>
      <c r="I735" s="1" t="s">
        <v>2448</v>
      </c>
      <c r="J735" s="1" t="n">
        <v>18596.34</v>
      </c>
      <c r="K735" s="1" t="n">
        <v>15510.89</v>
      </c>
      <c r="L735" s="1" t="n">
        <v>0</v>
      </c>
      <c r="M735" s="1" t="n">
        <v>15510.89</v>
      </c>
      <c r="N735" s="1" t="s">
        <v>111</v>
      </c>
      <c r="P735" s="1" t="n">
        <v>15</v>
      </c>
      <c r="Q735" s="1" t="s">
        <v>42</v>
      </c>
      <c r="R735" s="1" t="s">
        <v>140</v>
      </c>
    </row>
    <row r="736" customFormat="false" ht="14.25" hidden="false" customHeight="true" outlineLevel="0" collapsed="false">
      <c r="A736" s="1" t="s">
        <v>2449</v>
      </c>
      <c r="B736" s="1" t="s">
        <v>515</v>
      </c>
      <c r="C736" s="1" t="s">
        <v>244</v>
      </c>
      <c r="D736" s="1" t="s">
        <v>336</v>
      </c>
      <c r="E736" s="6" t="n">
        <v>46230</v>
      </c>
      <c r="F736" s="6" t="n">
        <v>46229</v>
      </c>
      <c r="G736" s="1" t="s">
        <v>38</v>
      </c>
      <c r="H736" s="1" t="s">
        <v>2450</v>
      </c>
      <c r="I736" s="1" t="s">
        <v>2451</v>
      </c>
      <c r="J736" s="1" t="n">
        <v>4568.35</v>
      </c>
      <c r="K736" s="1" t="n">
        <v>3099.34</v>
      </c>
      <c r="L736" s="1" t="n">
        <v>2637.41</v>
      </c>
      <c r="M736" s="1" t="n">
        <v>461.93</v>
      </c>
      <c r="N736" s="1" t="s">
        <v>41</v>
      </c>
      <c r="P736" s="1" t="n">
        <v>2</v>
      </c>
      <c r="Q736" s="1" t="s">
        <v>63</v>
      </c>
      <c r="R736" s="1" t="s">
        <v>74</v>
      </c>
      <c r="S736" s="6" t="n">
        <v>46232</v>
      </c>
    </row>
    <row r="737" customFormat="false" ht="14.25" hidden="false" customHeight="true" outlineLevel="0" collapsed="false">
      <c r="A737" s="1" t="s">
        <v>2452</v>
      </c>
      <c r="B737" s="1" t="s">
        <v>220</v>
      </c>
      <c r="C737" s="1" t="s">
        <v>386</v>
      </c>
      <c r="D737" s="1" t="s">
        <v>387</v>
      </c>
      <c r="E737" s="6" t="n">
        <v>46146</v>
      </c>
      <c r="F737" s="6" t="n">
        <v>46141</v>
      </c>
      <c r="G737" s="1" t="s">
        <v>70</v>
      </c>
      <c r="H737" s="1" t="s">
        <v>1171</v>
      </c>
      <c r="I737" s="1" t="s">
        <v>2453</v>
      </c>
      <c r="J737" s="1" t="n">
        <v>26086.77</v>
      </c>
      <c r="K737" s="1" t="n">
        <v>24685.72</v>
      </c>
      <c r="L737" s="1" t="n">
        <v>0</v>
      </c>
      <c r="M737" s="1" t="n">
        <v>24685.72</v>
      </c>
      <c r="N737" s="1" t="s">
        <v>111</v>
      </c>
      <c r="P737" s="1" t="n">
        <v>8</v>
      </c>
      <c r="Q737" s="1" t="s">
        <v>42</v>
      </c>
      <c r="R737" s="1" t="s">
        <v>74</v>
      </c>
    </row>
    <row r="738" customFormat="false" ht="14.25" hidden="false" customHeight="true" outlineLevel="0" collapsed="false">
      <c r="A738" s="1" t="s">
        <v>2454</v>
      </c>
      <c r="B738" s="1" t="s">
        <v>968</v>
      </c>
      <c r="C738" s="1" t="s">
        <v>296</v>
      </c>
      <c r="D738" s="1" t="s">
        <v>590</v>
      </c>
      <c r="E738" s="6" t="n">
        <v>46036</v>
      </c>
      <c r="F738" s="6" t="n">
        <v>46031</v>
      </c>
      <c r="G738" s="1" t="s">
        <v>108</v>
      </c>
      <c r="H738" s="1" t="s">
        <v>2455</v>
      </c>
      <c r="I738" s="1" t="s">
        <v>2456</v>
      </c>
      <c r="J738" s="1" t="n">
        <v>19558.99</v>
      </c>
      <c r="K738" s="1" t="n">
        <v>12995.1</v>
      </c>
      <c r="L738" s="1" t="n">
        <v>0</v>
      </c>
      <c r="M738" s="1" t="n">
        <v>12995.1</v>
      </c>
      <c r="N738" s="1" t="s">
        <v>52</v>
      </c>
      <c r="O738" s="1" t="s">
        <v>265</v>
      </c>
      <c r="P738" s="1" t="n">
        <v>4</v>
      </c>
      <c r="Q738" s="1" t="s">
        <v>155</v>
      </c>
      <c r="R738" s="1" t="s">
        <v>43</v>
      </c>
    </row>
    <row r="739" customFormat="false" ht="14.25" hidden="false" customHeight="true" outlineLevel="0" collapsed="false">
      <c r="A739" s="1" t="s">
        <v>2457</v>
      </c>
      <c r="B739" s="1" t="s">
        <v>143</v>
      </c>
      <c r="C739" s="1" t="s">
        <v>510</v>
      </c>
      <c r="D739" s="1" t="s">
        <v>347</v>
      </c>
      <c r="E739" s="6" t="n">
        <v>46105</v>
      </c>
      <c r="F739" s="6" t="n">
        <v>46105</v>
      </c>
      <c r="G739" s="1" t="s">
        <v>70</v>
      </c>
      <c r="H739" s="1" t="s">
        <v>2458</v>
      </c>
      <c r="I739" s="1" t="s">
        <v>2459</v>
      </c>
      <c r="J739" s="1" t="n">
        <v>24450.32</v>
      </c>
      <c r="K739" s="1" t="n">
        <v>18415.26</v>
      </c>
      <c r="L739" s="1" t="n">
        <v>16705.92</v>
      </c>
      <c r="M739" s="1" t="n">
        <v>1709.34</v>
      </c>
      <c r="N739" s="1" t="s">
        <v>41</v>
      </c>
      <c r="P739" s="1" t="n">
        <v>7</v>
      </c>
      <c r="Q739" s="1" t="s">
        <v>155</v>
      </c>
      <c r="R739" s="1" t="s">
        <v>74</v>
      </c>
      <c r="S739" s="6" t="n">
        <v>46112</v>
      </c>
    </row>
    <row r="740" customFormat="false" ht="14.25" hidden="false" customHeight="true" outlineLevel="0" collapsed="false">
      <c r="A740" s="1" t="s">
        <v>2460</v>
      </c>
      <c r="B740" s="1" t="s">
        <v>822</v>
      </c>
      <c r="C740" s="1" t="s">
        <v>900</v>
      </c>
      <c r="D740" s="1" t="s">
        <v>341</v>
      </c>
      <c r="E740" s="6" t="n">
        <v>46099</v>
      </c>
      <c r="F740" s="6" t="n">
        <v>46094</v>
      </c>
      <c r="G740" s="1" t="s">
        <v>49</v>
      </c>
      <c r="H740" s="1" t="s">
        <v>2283</v>
      </c>
      <c r="I740" s="1" t="s">
        <v>2461</v>
      </c>
      <c r="J740" s="1" t="n">
        <v>46232.34</v>
      </c>
      <c r="K740" s="1" t="n">
        <v>34728.64</v>
      </c>
      <c r="L740" s="1" t="n">
        <v>0</v>
      </c>
      <c r="M740" s="1" t="n">
        <v>34728.64</v>
      </c>
      <c r="N740" s="1" t="s">
        <v>52</v>
      </c>
      <c r="O740" s="1" t="s">
        <v>230</v>
      </c>
      <c r="P740" s="1" t="n">
        <v>3</v>
      </c>
      <c r="Q740" s="1" t="s">
        <v>42</v>
      </c>
      <c r="R740" s="1" t="s">
        <v>125</v>
      </c>
    </row>
    <row r="741" customFormat="false" ht="14.25" hidden="false" customHeight="true" outlineLevel="0" collapsed="false">
      <c r="A741" s="1" t="s">
        <v>2462</v>
      </c>
      <c r="B741" s="1" t="s">
        <v>1989</v>
      </c>
      <c r="C741" s="1" t="s">
        <v>244</v>
      </c>
      <c r="D741" s="1" t="s">
        <v>347</v>
      </c>
      <c r="E741" s="6" t="n">
        <v>46114</v>
      </c>
      <c r="F741" s="6" t="n">
        <v>46110</v>
      </c>
      <c r="G741" s="1" t="s">
        <v>108</v>
      </c>
      <c r="H741" s="1" t="s">
        <v>2463</v>
      </c>
      <c r="I741" s="1" t="s">
        <v>2464</v>
      </c>
      <c r="J741" s="1" t="n">
        <v>39206.74</v>
      </c>
      <c r="K741" s="1" t="n">
        <v>30501.05</v>
      </c>
      <c r="L741" s="1" t="n">
        <v>23069.58</v>
      </c>
      <c r="M741" s="1" t="n">
        <v>7431.47</v>
      </c>
      <c r="N741" s="1" t="s">
        <v>41</v>
      </c>
      <c r="P741" s="1" t="n">
        <v>3</v>
      </c>
      <c r="Q741" s="1" t="s">
        <v>155</v>
      </c>
      <c r="R741" s="1" t="s">
        <v>125</v>
      </c>
      <c r="S741" s="6" t="n">
        <v>46117</v>
      </c>
    </row>
    <row r="742" customFormat="false" ht="14.25" hidden="false" customHeight="true" outlineLevel="0" collapsed="false">
      <c r="A742" s="1" t="s">
        <v>2465</v>
      </c>
      <c r="B742" s="1" t="s">
        <v>1073</v>
      </c>
      <c r="C742" s="1" t="s">
        <v>115</v>
      </c>
      <c r="D742" s="1" t="s">
        <v>732</v>
      </c>
      <c r="E742" s="6" t="n">
        <v>46113</v>
      </c>
      <c r="F742" s="6" t="n">
        <v>46111</v>
      </c>
      <c r="G742" s="1" t="s">
        <v>38</v>
      </c>
      <c r="H742" s="1" t="s">
        <v>117</v>
      </c>
      <c r="I742" s="1" t="s">
        <v>2466</v>
      </c>
      <c r="J742" s="1" t="n">
        <v>27888.28</v>
      </c>
      <c r="K742" s="1" t="n">
        <v>25988.1</v>
      </c>
      <c r="L742" s="1" t="n">
        <v>25769.1</v>
      </c>
      <c r="M742" s="1" t="n">
        <v>219</v>
      </c>
      <c r="N742" s="1" t="s">
        <v>41</v>
      </c>
      <c r="P742" s="1" t="n">
        <v>3</v>
      </c>
      <c r="Q742" s="1" t="s">
        <v>155</v>
      </c>
      <c r="R742" s="1" t="s">
        <v>140</v>
      </c>
      <c r="S742" s="6" t="n">
        <v>46116</v>
      </c>
    </row>
    <row r="743" customFormat="false" ht="14.25" hidden="false" customHeight="true" outlineLevel="0" collapsed="false">
      <c r="A743" s="1" t="s">
        <v>2467</v>
      </c>
      <c r="B743" s="1" t="s">
        <v>2468</v>
      </c>
      <c r="C743" s="1" t="s">
        <v>58</v>
      </c>
      <c r="D743" s="1" t="s">
        <v>400</v>
      </c>
      <c r="E743" s="6" t="n">
        <v>46215</v>
      </c>
      <c r="F743" s="6" t="n">
        <v>46210</v>
      </c>
      <c r="G743" s="1" t="s">
        <v>38</v>
      </c>
      <c r="H743" s="1" t="s">
        <v>498</v>
      </c>
      <c r="I743" s="1" t="s">
        <v>2469</v>
      </c>
      <c r="J743" s="1" t="n">
        <v>30246.35</v>
      </c>
      <c r="K743" s="1" t="n">
        <v>21037.28</v>
      </c>
      <c r="L743" s="1" t="n">
        <v>20300.59</v>
      </c>
      <c r="M743" s="1" t="n">
        <v>736.69</v>
      </c>
      <c r="N743" s="1" t="s">
        <v>41</v>
      </c>
      <c r="P743" s="1" t="n">
        <v>1</v>
      </c>
      <c r="Q743" s="1" t="s">
        <v>155</v>
      </c>
      <c r="R743" s="1" t="s">
        <v>102</v>
      </c>
      <c r="S743" s="6" t="n">
        <v>46216</v>
      </c>
    </row>
    <row r="744" customFormat="false" ht="14.25" hidden="false" customHeight="true" outlineLevel="0" collapsed="false">
      <c r="A744" s="1" t="s">
        <v>2470</v>
      </c>
      <c r="B744" s="1" t="s">
        <v>731</v>
      </c>
      <c r="C744" s="1" t="s">
        <v>325</v>
      </c>
      <c r="D744" s="1" t="s">
        <v>529</v>
      </c>
      <c r="E744" s="6" t="n">
        <v>46063</v>
      </c>
      <c r="F744" s="6" t="n">
        <v>46063</v>
      </c>
      <c r="G744" s="1" t="s">
        <v>49</v>
      </c>
      <c r="H744" s="1" t="s">
        <v>2471</v>
      </c>
      <c r="I744" s="1" t="s">
        <v>2472</v>
      </c>
      <c r="J744" s="1" t="n">
        <v>31927.91</v>
      </c>
      <c r="K744" s="1" t="n">
        <v>28980.4</v>
      </c>
      <c r="L744" s="1" t="n">
        <v>0</v>
      </c>
      <c r="M744" s="1" t="n">
        <v>28980.4</v>
      </c>
      <c r="N744" s="1" t="s">
        <v>111</v>
      </c>
      <c r="P744" s="1" t="n">
        <v>7</v>
      </c>
      <c r="Q744" s="1" t="s">
        <v>63</v>
      </c>
      <c r="R744" s="1" t="s">
        <v>54</v>
      </c>
    </row>
    <row r="745" customFormat="false" ht="14.25" hidden="false" customHeight="true" outlineLevel="0" collapsed="false">
      <c r="A745" s="1" t="s">
        <v>2473</v>
      </c>
      <c r="B745" s="1" t="s">
        <v>360</v>
      </c>
      <c r="C745" s="1" t="s">
        <v>623</v>
      </c>
      <c r="D745" s="1" t="s">
        <v>116</v>
      </c>
      <c r="E745" s="6" t="n">
        <v>46127</v>
      </c>
      <c r="F745" s="6" t="n">
        <v>46125</v>
      </c>
      <c r="G745" s="1" t="s">
        <v>108</v>
      </c>
      <c r="H745" s="1" t="s">
        <v>1694</v>
      </c>
      <c r="I745" s="1" t="s">
        <v>2474</v>
      </c>
      <c r="J745" s="1" t="n">
        <v>26326.55</v>
      </c>
      <c r="K745" s="1" t="n">
        <v>20439.39</v>
      </c>
      <c r="L745" s="1" t="n">
        <v>17764.62</v>
      </c>
      <c r="M745" s="1" t="n">
        <v>2674.77</v>
      </c>
      <c r="N745" s="1" t="s">
        <v>41</v>
      </c>
      <c r="P745" s="1" t="n">
        <v>6</v>
      </c>
      <c r="Q745" s="1" t="s">
        <v>42</v>
      </c>
      <c r="R745" s="1" t="s">
        <v>64</v>
      </c>
      <c r="S745" s="6" t="n">
        <v>46133</v>
      </c>
    </row>
    <row r="746" customFormat="false" ht="14.25" hidden="false" customHeight="true" outlineLevel="0" collapsed="false">
      <c r="A746" s="1" t="s">
        <v>2475</v>
      </c>
      <c r="B746" s="1" t="s">
        <v>267</v>
      </c>
      <c r="C746" s="1" t="s">
        <v>296</v>
      </c>
      <c r="D746" s="1" t="s">
        <v>1929</v>
      </c>
      <c r="E746" s="6" t="n">
        <v>46196</v>
      </c>
      <c r="F746" s="6" t="n">
        <v>46194</v>
      </c>
      <c r="G746" s="1" t="s">
        <v>38</v>
      </c>
      <c r="H746" s="1" t="s">
        <v>2476</v>
      </c>
      <c r="I746" s="1" t="s">
        <v>2477</v>
      </c>
      <c r="J746" s="1" t="n">
        <v>36806.29</v>
      </c>
      <c r="K746" s="1" t="n">
        <v>30482.8</v>
      </c>
      <c r="L746" s="1" t="n">
        <v>23371.28</v>
      </c>
      <c r="M746" s="1" t="n">
        <v>7111.52</v>
      </c>
      <c r="N746" s="1" t="s">
        <v>41</v>
      </c>
      <c r="P746" s="1" t="n">
        <v>7</v>
      </c>
      <c r="Q746" s="1" t="s">
        <v>63</v>
      </c>
      <c r="R746" s="1" t="s">
        <v>125</v>
      </c>
      <c r="S746" s="6" t="n">
        <v>46203</v>
      </c>
    </row>
    <row r="747" customFormat="false" ht="14.25" hidden="false" customHeight="true" outlineLevel="0" collapsed="false">
      <c r="A747" s="1" t="s">
        <v>2478</v>
      </c>
      <c r="B747" s="1" t="s">
        <v>936</v>
      </c>
      <c r="C747" s="1" t="s">
        <v>158</v>
      </c>
      <c r="D747" s="1" t="s">
        <v>250</v>
      </c>
      <c r="E747" s="6" t="n">
        <v>46068</v>
      </c>
      <c r="F747" s="6" t="n">
        <v>46063</v>
      </c>
      <c r="G747" s="1" t="s">
        <v>108</v>
      </c>
      <c r="H747" s="1" t="s">
        <v>2479</v>
      </c>
      <c r="I747" s="1" t="s">
        <v>2480</v>
      </c>
      <c r="J747" s="1" t="n">
        <v>29775.11</v>
      </c>
      <c r="K747" s="1" t="n">
        <v>21574.21</v>
      </c>
      <c r="L747" s="1" t="n">
        <v>18070.6</v>
      </c>
      <c r="M747" s="1" t="n">
        <v>3503.61</v>
      </c>
      <c r="N747" s="1" t="s">
        <v>41</v>
      </c>
      <c r="P747" s="1" t="n">
        <v>4</v>
      </c>
      <c r="Q747" s="1" t="s">
        <v>155</v>
      </c>
      <c r="R747" s="1" t="s">
        <v>43</v>
      </c>
      <c r="S747" s="6" t="n">
        <v>46072</v>
      </c>
    </row>
    <row r="748" customFormat="false" ht="14.25" hidden="false" customHeight="true" outlineLevel="0" collapsed="false">
      <c r="A748" s="1" t="s">
        <v>2481</v>
      </c>
      <c r="B748" s="1" t="s">
        <v>787</v>
      </c>
      <c r="C748" s="1" t="s">
        <v>244</v>
      </c>
      <c r="D748" s="1" t="s">
        <v>933</v>
      </c>
      <c r="E748" s="6" t="n">
        <v>46064</v>
      </c>
      <c r="F748" s="6" t="n">
        <v>46059</v>
      </c>
      <c r="G748" s="1" t="s">
        <v>49</v>
      </c>
      <c r="H748" s="1" t="s">
        <v>2482</v>
      </c>
      <c r="I748" s="1" t="s">
        <v>2483</v>
      </c>
      <c r="J748" s="1" t="n">
        <v>16709.74</v>
      </c>
      <c r="K748" s="1" t="n">
        <v>14053.34</v>
      </c>
      <c r="L748" s="1" t="n">
        <v>12369.12</v>
      </c>
      <c r="M748" s="1" t="n">
        <v>1684.22</v>
      </c>
      <c r="N748" s="1" t="s">
        <v>41</v>
      </c>
      <c r="P748" s="1" t="n">
        <v>2</v>
      </c>
      <c r="Q748" s="1" t="s">
        <v>42</v>
      </c>
      <c r="R748" s="1" t="s">
        <v>74</v>
      </c>
      <c r="S748" s="6" t="n">
        <v>46066</v>
      </c>
    </row>
    <row r="749" customFormat="false" ht="14.25" hidden="false" customHeight="true" outlineLevel="0" collapsed="false">
      <c r="A749" s="1" t="s">
        <v>2484</v>
      </c>
      <c r="B749" s="1" t="s">
        <v>1269</v>
      </c>
      <c r="C749" s="1" t="s">
        <v>335</v>
      </c>
      <c r="D749" s="1" t="s">
        <v>336</v>
      </c>
      <c r="E749" s="6" t="n">
        <v>46182</v>
      </c>
      <c r="F749" s="6" t="n">
        <v>46179</v>
      </c>
      <c r="G749" s="1" t="s">
        <v>108</v>
      </c>
      <c r="H749" s="1" t="s">
        <v>342</v>
      </c>
      <c r="I749" s="1" t="s">
        <v>2485</v>
      </c>
      <c r="J749" s="1" t="n">
        <v>44071.23</v>
      </c>
      <c r="K749" s="1" t="n">
        <v>38618.52</v>
      </c>
      <c r="L749" s="1" t="n">
        <v>35915.29</v>
      </c>
      <c r="M749" s="1" t="n">
        <v>2703.23</v>
      </c>
      <c r="N749" s="1" t="s">
        <v>41</v>
      </c>
      <c r="P749" s="1" t="n">
        <v>5</v>
      </c>
      <c r="Q749" s="1" t="s">
        <v>63</v>
      </c>
      <c r="R749" s="1" t="s">
        <v>64</v>
      </c>
      <c r="S749" s="6" t="n">
        <v>46187</v>
      </c>
    </row>
    <row r="750" customFormat="false" ht="14.25" hidden="false" customHeight="true" outlineLevel="0" collapsed="false">
      <c r="A750" s="1" t="s">
        <v>2486</v>
      </c>
      <c r="B750" s="1" t="s">
        <v>578</v>
      </c>
      <c r="C750" s="1" t="s">
        <v>92</v>
      </c>
      <c r="D750" s="1" t="s">
        <v>122</v>
      </c>
      <c r="E750" s="6" t="n">
        <v>46071</v>
      </c>
      <c r="F750" s="6" t="n">
        <v>46066</v>
      </c>
      <c r="G750" s="1" t="s">
        <v>70</v>
      </c>
      <c r="H750" s="1" t="s">
        <v>2342</v>
      </c>
      <c r="I750" s="1" t="s">
        <v>2487</v>
      </c>
      <c r="J750" s="1" t="n">
        <v>39825.55</v>
      </c>
      <c r="K750" s="1" t="n">
        <v>34948.43</v>
      </c>
      <c r="L750" s="1" t="n">
        <v>0</v>
      </c>
      <c r="M750" s="1" t="n">
        <v>34948.43</v>
      </c>
      <c r="N750" s="1" t="s">
        <v>111</v>
      </c>
      <c r="P750" s="1" t="n">
        <v>7</v>
      </c>
      <c r="Q750" s="1" t="s">
        <v>42</v>
      </c>
      <c r="R750" s="1" t="s">
        <v>43</v>
      </c>
    </row>
    <row r="751" customFormat="false" ht="14.25" hidden="false" customHeight="true" outlineLevel="0" collapsed="false">
      <c r="A751" s="1" t="s">
        <v>2488</v>
      </c>
      <c r="B751" s="1" t="s">
        <v>936</v>
      </c>
      <c r="C751" s="1" t="s">
        <v>85</v>
      </c>
      <c r="D751" s="1" t="s">
        <v>590</v>
      </c>
      <c r="E751" s="6" t="n">
        <v>46130</v>
      </c>
      <c r="F751" s="6" t="n">
        <v>46130</v>
      </c>
      <c r="G751" s="1" t="s">
        <v>70</v>
      </c>
      <c r="H751" s="1" t="s">
        <v>2174</v>
      </c>
      <c r="I751" s="1" t="s">
        <v>2489</v>
      </c>
      <c r="J751" s="1" t="n">
        <v>43325.78</v>
      </c>
      <c r="K751" s="1" t="n">
        <v>31803.77</v>
      </c>
      <c r="L751" s="1" t="n">
        <v>0</v>
      </c>
      <c r="M751" s="1" t="n">
        <v>31803.77</v>
      </c>
      <c r="N751" s="1" t="s">
        <v>111</v>
      </c>
      <c r="P751" s="1" t="n">
        <v>15</v>
      </c>
      <c r="Q751" s="1" t="s">
        <v>63</v>
      </c>
      <c r="R751" s="1" t="s">
        <v>54</v>
      </c>
    </row>
    <row r="752" customFormat="false" ht="14.25" hidden="false" customHeight="true" outlineLevel="0" collapsed="false">
      <c r="A752" s="1" t="s">
        <v>2490</v>
      </c>
      <c r="B752" s="1" t="s">
        <v>163</v>
      </c>
      <c r="C752" s="1" t="s">
        <v>188</v>
      </c>
      <c r="D752" s="1" t="s">
        <v>595</v>
      </c>
      <c r="E752" s="6" t="n">
        <v>46026</v>
      </c>
      <c r="F752" s="6" t="n">
        <v>46026</v>
      </c>
      <c r="G752" s="1" t="s">
        <v>108</v>
      </c>
      <c r="H752" s="1" t="s">
        <v>2491</v>
      </c>
      <c r="I752" s="1" t="s">
        <v>2492</v>
      </c>
      <c r="J752" s="1" t="n">
        <v>24534.66</v>
      </c>
      <c r="K752" s="1" t="n">
        <v>20259.13</v>
      </c>
      <c r="L752" s="1" t="n">
        <v>0</v>
      </c>
      <c r="M752" s="1" t="n">
        <v>20259.13</v>
      </c>
      <c r="N752" s="1" t="s">
        <v>111</v>
      </c>
      <c r="P752" s="1" t="n">
        <v>7</v>
      </c>
      <c r="Q752" s="1" t="s">
        <v>42</v>
      </c>
      <c r="R752" s="1" t="s">
        <v>64</v>
      </c>
    </row>
    <row r="753" customFormat="false" ht="14.25" hidden="false" customHeight="true" outlineLevel="0" collapsed="false">
      <c r="A753" s="1" t="s">
        <v>2493</v>
      </c>
      <c r="B753" s="1" t="s">
        <v>272</v>
      </c>
      <c r="C753" s="1" t="s">
        <v>430</v>
      </c>
      <c r="D753" s="1" t="s">
        <v>239</v>
      </c>
      <c r="E753" s="6" t="n">
        <v>46170</v>
      </c>
      <c r="F753" s="6" t="n">
        <v>46167</v>
      </c>
      <c r="G753" s="1" t="s">
        <v>108</v>
      </c>
      <c r="H753" s="1" t="s">
        <v>1233</v>
      </c>
      <c r="I753" s="1" t="s">
        <v>2494</v>
      </c>
      <c r="J753" s="1" t="n">
        <v>43584.48</v>
      </c>
      <c r="K753" s="1" t="n">
        <v>37058.45</v>
      </c>
      <c r="L753" s="1" t="n">
        <v>0</v>
      </c>
      <c r="M753" s="1" t="n">
        <v>37058.45</v>
      </c>
      <c r="N753" s="1" t="s">
        <v>111</v>
      </c>
      <c r="P753" s="1" t="n">
        <v>4</v>
      </c>
      <c r="Q753" s="1" t="s">
        <v>155</v>
      </c>
      <c r="R753" s="1" t="s">
        <v>125</v>
      </c>
    </row>
    <row r="754" customFormat="false" ht="14.25" hidden="false" customHeight="true" outlineLevel="0" collapsed="false">
      <c r="A754" s="1" t="s">
        <v>2495</v>
      </c>
      <c r="B754" s="1" t="s">
        <v>1269</v>
      </c>
      <c r="C754" s="1" t="s">
        <v>356</v>
      </c>
      <c r="D754" s="1" t="s">
        <v>239</v>
      </c>
      <c r="E754" s="6" t="n">
        <v>46086</v>
      </c>
      <c r="F754" s="6" t="n">
        <v>46084</v>
      </c>
      <c r="G754" s="1" t="s">
        <v>49</v>
      </c>
      <c r="H754" s="1" t="s">
        <v>1902</v>
      </c>
      <c r="I754" s="1" t="s">
        <v>2496</v>
      </c>
      <c r="J754" s="1" t="n">
        <v>35610.61</v>
      </c>
      <c r="K754" s="1" t="n">
        <v>29597.46</v>
      </c>
      <c r="L754" s="1" t="n">
        <v>0</v>
      </c>
      <c r="M754" s="1" t="n">
        <v>29597.46</v>
      </c>
      <c r="N754" s="1" t="s">
        <v>111</v>
      </c>
      <c r="P754" s="1" t="n">
        <v>10</v>
      </c>
      <c r="Q754" s="1" t="s">
        <v>42</v>
      </c>
      <c r="R754" s="1" t="s">
        <v>125</v>
      </c>
    </row>
    <row r="755" customFormat="false" ht="14.25" hidden="false" customHeight="true" outlineLevel="0" collapsed="false">
      <c r="A755" s="1" t="s">
        <v>2497</v>
      </c>
      <c r="B755" s="1" t="s">
        <v>818</v>
      </c>
      <c r="C755" s="1" t="s">
        <v>459</v>
      </c>
      <c r="D755" s="1" t="s">
        <v>216</v>
      </c>
      <c r="E755" s="6" t="n">
        <v>46156</v>
      </c>
      <c r="F755" s="6" t="n">
        <v>46156</v>
      </c>
      <c r="G755" s="1" t="s">
        <v>108</v>
      </c>
      <c r="H755" s="1" t="s">
        <v>2498</v>
      </c>
      <c r="I755" s="1" t="s">
        <v>2499</v>
      </c>
      <c r="J755" s="1" t="n">
        <v>40751.45</v>
      </c>
      <c r="K755" s="1" t="n">
        <v>34167.46</v>
      </c>
      <c r="L755" s="1" t="n">
        <v>0</v>
      </c>
      <c r="M755" s="1" t="n">
        <v>34167.46</v>
      </c>
      <c r="N755" s="1" t="s">
        <v>52</v>
      </c>
      <c r="O755" s="1" t="s">
        <v>53</v>
      </c>
      <c r="P755" s="1" t="n">
        <v>7</v>
      </c>
      <c r="Q755" s="1" t="s">
        <v>155</v>
      </c>
      <c r="R755" s="1" t="s">
        <v>102</v>
      </c>
    </row>
    <row r="756" customFormat="false" ht="14.25" hidden="false" customHeight="true" outlineLevel="0" collapsed="false">
      <c r="A756" s="1" t="s">
        <v>2500</v>
      </c>
      <c r="B756" s="1" t="s">
        <v>2228</v>
      </c>
      <c r="C756" s="1" t="s">
        <v>356</v>
      </c>
      <c r="D756" s="1" t="s">
        <v>1448</v>
      </c>
      <c r="E756" s="6" t="n">
        <v>46128</v>
      </c>
      <c r="F756" s="6" t="n">
        <v>46128</v>
      </c>
      <c r="G756" s="1" t="s">
        <v>70</v>
      </c>
      <c r="H756" s="1" t="s">
        <v>2501</v>
      </c>
      <c r="I756" s="1" t="s">
        <v>2502</v>
      </c>
      <c r="J756" s="1" t="n">
        <v>42546.79</v>
      </c>
      <c r="K756" s="1" t="n">
        <v>30891.28</v>
      </c>
      <c r="L756" s="1" t="n">
        <v>0</v>
      </c>
      <c r="M756" s="1" t="n">
        <v>30891.28</v>
      </c>
      <c r="N756" s="1" t="s">
        <v>111</v>
      </c>
      <c r="P756" s="1" t="n">
        <v>14</v>
      </c>
      <c r="Q756" s="1" t="s">
        <v>63</v>
      </c>
      <c r="R756" s="1" t="s">
        <v>43</v>
      </c>
    </row>
    <row r="757" customFormat="false" ht="14.25" hidden="false" customHeight="true" outlineLevel="0" collapsed="false">
      <c r="A757" s="1" t="s">
        <v>2503</v>
      </c>
      <c r="B757" s="1" t="s">
        <v>1066</v>
      </c>
      <c r="C757" s="1" t="s">
        <v>273</v>
      </c>
      <c r="D757" s="1" t="s">
        <v>1170</v>
      </c>
      <c r="E757" s="6" t="n">
        <v>46206</v>
      </c>
      <c r="F757" s="6" t="n">
        <v>46201</v>
      </c>
      <c r="G757" s="1" t="s">
        <v>38</v>
      </c>
      <c r="H757" s="1" t="s">
        <v>223</v>
      </c>
      <c r="I757" s="1" t="s">
        <v>2504</v>
      </c>
      <c r="J757" s="1" t="n">
        <v>39785.23</v>
      </c>
      <c r="K757" s="1" t="n">
        <v>28359.48</v>
      </c>
      <c r="L757" s="1" t="n">
        <v>26734.54</v>
      </c>
      <c r="M757" s="1" t="n">
        <v>1624.94</v>
      </c>
      <c r="N757" s="1" t="s">
        <v>41</v>
      </c>
      <c r="P757" s="1" t="n">
        <v>6</v>
      </c>
      <c r="Q757" s="1" t="s">
        <v>155</v>
      </c>
      <c r="R757" s="1" t="s">
        <v>102</v>
      </c>
      <c r="S757" s="6" t="n">
        <v>46212</v>
      </c>
    </row>
    <row r="758" customFormat="false" ht="14.25" hidden="false" customHeight="true" outlineLevel="0" collapsed="false">
      <c r="A758" s="1" t="s">
        <v>2505</v>
      </c>
      <c r="B758" s="1" t="s">
        <v>381</v>
      </c>
      <c r="C758" s="1" t="s">
        <v>623</v>
      </c>
      <c r="D758" s="1" t="s">
        <v>122</v>
      </c>
      <c r="E758" s="6" t="n">
        <v>46117</v>
      </c>
      <c r="F758" s="6" t="n">
        <v>46113</v>
      </c>
      <c r="G758" s="1" t="s">
        <v>49</v>
      </c>
      <c r="H758" s="1" t="s">
        <v>2212</v>
      </c>
      <c r="I758" s="1" t="s">
        <v>2506</v>
      </c>
      <c r="J758" s="1" t="n">
        <v>40355.21</v>
      </c>
      <c r="K758" s="1" t="n">
        <v>37924.66</v>
      </c>
      <c r="L758" s="1" t="n">
        <v>31444.61</v>
      </c>
      <c r="M758" s="1" t="n">
        <v>6480.05</v>
      </c>
      <c r="N758" s="1" t="s">
        <v>41</v>
      </c>
      <c r="P758" s="1" t="n">
        <v>5</v>
      </c>
      <c r="Q758" s="1" t="s">
        <v>42</v>
      </c>
      <c r="R758" s="1" t="s">
        <v>140</v>
      </c>
      <c r="S758" s="6" t="n">
        <v>46122</v>
      </c>
    </row>
    <row r="759" customFormat="false" ht="14.25" hidden="false" customHeight="true" outlineLevel="0" collapsed="false">
      <c r="A759" s="1" t="s">
        <v>2507</v>
      </c>
      <c r="B759" s="1" t="s">
        <v>1671</v>
      </c>
      <c r="C759" s="1" t="s">
        <v>273</v>
      </c>
      <c r="D759" s="1" t="s">
        <v>431</v>
      </c>
      <c r="E759" s="6" t="n">
        <v>46219</v>
      </c>
      <c r="F759" s="6" t="n">
        <v>46216</v>
      </c>
      <c r="G759" s="1" t="s">
        <v>38</v>
      </c>
      <c r="H759" s="1" t="s">
        <v>631</v>
      </c>
      <c r="I759" s="1" t="s">
        <v>2508</v>
      </c>
      <c r="J759" s="1" t="n">
        <v>42870.81</v>
      </c>
      <c r="K759" s="1" t="n">
        <v>34109.4</v>
      </c>
      <c r="L759" s="1" t="n">
        <v>28455.78</v>
      </c>
      <c r="M759" s="1" t="n">
        <v>5653.62</v>
      </c>
      <c r="N759" s="1" t="s">
        <v>41</v>
      </c>
      <c r="P759" s="1" t="n">
        <v>8</v>
      </c>
      <c r="Q759" s="1" t="s">
        <v>155</v>
      </c>
      <c r="R759" s="1" t="s">
        <v>140</v>
      </c>
      <c r="S759" s="6" t="n">
        <v>46227</v>
      </c>
    </row>
    <row r="760" customFormat="false" ht="14.25" hidden="false" customHeight="true" outlineLevel="0" collapsed="false">
      <c r="A760" s="1" t="s">
        <v>2509</v>
      </c>
      <c r="B760" s="1" t="s">
        <v>2510</v>
      </c>
      <c r="C760" s="1" t="s">
        <v>36</v>
      </c>
      <c r="D760" s="1" t="s">
        <v>122</v>
      </c>
      <c r="E760" s="6" t="n">
        <v>46173</v>
      </c>
      <c r="F760" s="6" t="n">
        <v>46171</v>
      </c>
      <c r="G760" s="1" t="s">
        <v>108</v>
      </c>
      <c r="H760" s="1" t="s">
        <v>178</v>
      </c>
      <c r="I760" s="1" t="s">
        <v>2511</v>
      </c>
      <c r="J760" s="1" t="n">
        <v>35161.3</v>
      </c>
      <c r="K760" s="1" t="n">
        <v>28767.06</v>
      </c>
      <c r="L760" s="1" t="n">
        <v>0</v>
      </c>
      <c r="M760" s="1" t="n">
        <v>28767.06</v>
      </c>
      <c r="N760" s="1" t="s">
        <v>52</v>
      </c>
      <c r="O760" s="1" t="s">
        <v>62</v>
      </c>
      <c r="P760" s="1" t="n">
        <v>3</v>
      </c>
      <c r="Q760" s="1" t="s">
        <v>63</v>
      </c>
      <c r="R760" s="1" t="s">
        <v>140</v>
      </c>
    </row>
    <row r="761" customFormat="false" ht="14.25" hidden="false" customHeight="true" outlineLevel="0" collapsed="false">
      <c r="A761" s="1" t="s">
        <v>2512</v>
      </c>
      <c r="B761" s="1" t="s">
        <v>647</v>
      </c>
      <c r="C761" s="1" t="s">
        <v>436</v>
      </c>
      <c r="D761" s="1" t="s">
        <v>550</v>
      </c>
      <c r="E761" s="6" t="n">
        <v>46208</v>
      </c>
      <c r="F761" s="6" t="n">
        <v>46206</v>
      </c>
      <c r="G761" s="1" t="s">
        <v>38</v>
      </c>
      <c r="H761" s="1" t="s">
        <v>2513</v>
      </c>
      <c r="I761" s="1" t="s">
        <v>2514</v>
      </c>
      <c r="J761" s="1" t="n">
        <v>20139.46</v>
      </c>
      <c r="K761" s="1" t="n">
        <v>18656.74</v>
      </c>
      <c r="L761" s="1" t="n">
        <v>14475.89</v>
      </c>
      <c r="M761" s="1" t="n">
        <v>4180.85</v>
      </c>
      <c r="N761" s="1" t="s">
        <v>41</v>
      </c>
      <c r="P761" s="1" t="n">
        <v>5</v>
      </c>
      <c r="Q761" s="1" t="s">
        <v>155</v>
      </c>
      <c r="R761" s="1" t="s">
        <v>64</v>
      </c>
      <c r="S761" s="6" t="n">
        <v>46213</v>
      </c>
    </row>
    <row r="762" customFormat="false" ht="14.25" hidden="false" customHeight="true" outlineLevel="0" collapsed="false">
      <c r="A762" s="1" t="s">
        <v>2515</v>
      </c>
      <c r="B762" s="1" t="s">
        <v>1421</v>
      </c>
      <c r="C762" s="1" t="s">
        <v>244</v>
      </c>
      <c r="D762" s="1" t="s">
        <v>37</v>
      </c>
      <c r="E762" s="6" t="n">
        <v>46067</v>
      </c>
      <c r="F762" s="6" t="n">
        <v>46062</v>
      </c>
      <c r="G762" s="1" t="s">
        <v>38</v>
      </c>
      <c r="H762" s="1" t="s">
        <v>2516</v>
      </c>
      <c r="I762" s="1" t="s">
        <v>2517</v>
      </c>
      <c r="J762" s="1" t="n">
        <v>1804.78</v>
      </c>
      <c r="K762" s="1" t="n">
        <v>1294.64</v>
      </c>
      <c r="L762" s="1" t="n">
        <v>0</v>
      </c>
      <c r="M762" s="1" t="n">
        <v>1294.64</v>
      </c>
      <c r="N762" s="1" t="s">
        <v>260</v>
      </c>
      <c r="P762" s="1" t="n">
        <v>4</v>
      </c>
      <c r="Q762" s="1" t="s">
        <v>63</v>
      </c>
      <c r="R762" s="1" t="s">
        <v>140</v>
      </c>
    </row>
    <row r="763" customFormat="false" ht="14.25" hidden="false" customHeight="true" outlineLevel="0" collapsed="false">
      <c r="A763" s="1" t="s">
        <v>2518</v>
      </c>
      <c r="B763" s="1" t="s">
        <v>798</v>
      </c>
      <c r="C763" s="1" t="s">
        <v>68</v>
      </c>
      <c r="D763" s="1" t="s">
        <v>234</v>
      </c>
      <c r="E763" s="6" t="n">
        <v>46032</v>
      </c>
      <c r="F763" s="6" t="n">
        <v>46028</v>
      </c>
      <c r="G763" s="1" t="s">
        <v>49</v>
      </c>
      <c r="H763" s="1" t="s">
        <v>1809</v>
      </c>
      <c r="I763" s="1" t="s">
        <v>2519</v>
      </c>
      <c r="J763" s="1" t="n">
        <v>22228.02</v>
      </c>
      <c r="K763" s="1" t="n">
        <v>18158</v>
      </c>
      <c r="L763" s="1" t="n">
        <v>18150.61</v>
      </c>
      <c r="M763" s="1" t="n">
        <v>7.39</v>
      </c>
      <c r="N763" s="1" t="s">
        <v>41</v>
      </c>
      <c r="P763" s="1" t="n">
        <v>4</v>
      </c>
      <c r="Q763" s="1" t="s">
        <v>42</v>
      </c>
      <c r="R763" s="1" t="s">
        <v>102</v>
      </c>
      <c r="S763" s="6" t="n">
        <v>46036</v>
      </c>
    </row>
    <row r="764" customFormat="false" ht="14.25" hidden="false" customHeight="true" outlineLevel="0" collapsed="false">
      <c r="A764" s="1" t="s">
        <v>2520</v>
      </c>
      <c r="B764" s="1" t="s">
        <v>960</v>
      </c>
      <c r="C764" s="1" t="s">
        <v>356</v>
      </c>
      <c r="D764" s="1" t="s">
        <v>876</v>
      </c>
      <c r="E764" s="6" t="n">
        <v>46205</v>
      </c>
      <c r="F764" s="6" t="n">
        <v>46203</v>
      </c>
      <c r="G764" s="1" t="s">
        <v>38</v>
      </c>
      <c r="H764" s="1" t="s">
        <v>2521</v>
      </c>
      <c r="I764" s="1" t="s">
        <v>2522</v>
      </c>
      <c r="J764" s="1" t="n">
        <v>13546.09</v>
      </c>
      <c r="K764" s="1" t="n">
        <v>10309.5</v>
      </c>
      <c r="L764" s="1" t="n">
        <v>0</v>
      </c>
      <c r="M764" s="1" t="n">
        <v>10309.5</v>
      </c>
      <c r="N764" s="1" t="s">
        <v>52</v>
      </c>
      <c r="O764" s="1" t="s">
        <v>230</v>
      </c>
      <c r="P764" s="1" t="n">
        <v>4</v>
      </c>
      <c r="Q764" s="1" t="s">
        <v>42</v>
      </c>
      <c r="R764" s="1" t="s">
        <v>64</v>
      </c>
    </row>
    <row r="765" customFormat="false" ht="14.25" hidden="false" customHeight="true" outlineLevel="0" collapsed="false">
      <c r="A765" s="1" t="s">
        <v>2523</v>
      </c>
      <c r="B765" s="1" t="s">
        <v>810</v>
      </c>
      <c r="C765" s="1" t="s">
        <v>386</v>
      </c>
      <c r="D765" s="1" t="s">
        <v>159</v>
      </c>
      <c r="E765" s="6" t="n">
        <v>46055</v>
      </c>
      <c r="F765" s="6" t="n">
        <v>46055</v>
      </c>
      <c r="G765" s="1" t="s">
        <v>38</v>
      </c>
      <c r="H765" s="1" t="s">
        <v>2524</v>
      </c>
      <c r="I765" s="1" t="s">
        <v>2525</v>
      </c>
      <c r="J765" s="1" t="n">
        <v>39318.82</v>
      </c>
      <c r="K765" s="1" t="n">
        <v>31542.98</v>
      </c>
      <c r="L765" s="1" t="n">
        <v>0</v>
      </c>
      <c r="M765" s="1" t="n">
        <v>31542.98</v>
      </c>
      <c r="N765" s="1" t="s">
        <v>260</v>
      </c>
      <c r="P765" s="1" t="n">
        <v>8</v>
      </c>
      <c r="Q765" s="1" t="s">
        <v>42</v>
      </c>
      <c r="R765" s="1" t="s">
        <v>74</v>
      </c>
    </row>
    <row r="766" customFormat="false" ht="14.25" hidden="false" customHeight="true" outlineLevel="0" collapsed="false">
      <c r="A766" s="1" t="s">
        <v>2526</v>
      </c>
      <c r="B766" s="1" t="s">
        <v>2527</v>
      </c>
      <c r="C766" s="1" t="s">
        <v>900</v>
      </c>
      <c r="D766" s="1" t="s">
        <v>418</v>
      </c>
      <c r="E766" s="6" t="n">
        <v>46192</v>
      </c>
      <c r="F766" s="6" t="n">
        <v>46188</v>
      </c>
      <c r="G766" s="1" t="s">
        <v>49</v>
      </c>
      <c r="H766" s="1" t="s">
        <v>2528</v>
      </c>
      <c r="I766" s="1" t="s">
        <v>2529</v>
      </c>
      <c r="J766" s="1" t="n">
        <v>11586.21</v>
      </c>
      <c r="K766" s="1" t="n">
        <v>8466.51</v>
      </c>
      <c r="L766" s="1" t="n">
        <v>0</v>
      </c>
      <c r="M766" s="1" t="n">
        <v>8466.51</v>
      </c>
      <c r="N766" s="1" t="s">
        <v>52</v>
      </c>
      <c r="O766" s="1" t="s">
        <v>62</v>
      </c>
      <c r="P766" s="1" t="n">
        <v>1</v>
      </c>
      <c r="Q766" s="1" t="s">
        <v>155</v>
      </c>
      <c r="R766" s="1" t="s">
        <v>64</v>
      </c>
    </row>
    <row r="767" customFormat="false" ht="14.25" hidden="false" customHeight="true" outlineLevel="0" collapsed="false">
      <c r="A767" s="1" t="s">
        <v>2530</v>
      </c>
      <c r="B767" s="1" t="s">
        <v>1368</v>
      </c>
      <c r="C767" s="1" t="s">
        <v>686</v>
      </c>
      <c r="D767" s="1" t="s">
        <v>722</v>
      </c>
      <c r="E767" s="6" t="n">
        <v>46141</v>
      </c>
      <c r="F767" s="6" t="n">
        <v>46137</v>
      </c>
      <c r="G767" s="1" t="s">
        <v>70</v>
      </c>
      <c r="H767" s="1" t="s">
        <v>2528</v>
      </c>
      <c r="I767" s="1" t="s">
        <v>2531</v>
      </c>
      <c r="J767" s="1" t="n">
        <v>44844.16</v>
      </c>
      <c r="K767" s="1" t="n">
        <v>35560.88</v>
      </c>
      <c r="L767" s="1" t="n">
        <v>0</v>
      </c>
      <c r="M767" s="1" t="n">
        <v>35560.88</v>
      </c>
      <c r="N767" s="1" t="s">
        <v>111</v>
      </c>
      <c r="P767" s="1" t="n">
        <v>15</v>
      </c>
      <c r="Q767" s="1" t="s">
        <v>42</v>
      </c>
      <c r="R767" s="1" t="s">
        <v>102</v>
      </c>
    </row>
    <row r="768" customFormat="false" ht="14.25" hidden="false" customHeight="true" outlineLevel="0" collapsed="false">
      <c r="A768" s="1" t="s">
        <v>2532</v>
      </c>
      <c r="B768" s="1" t="s">
        <v>1136</v>
      </c>
      <c r="C768" s="1" t="s">
        <v>510</v>
      </c>
      <c r="D768" s="1" t="s">
        <v>933</v>
      </c>
      <c r="E768" s="6" t="n">
        <v>46209</v>
      </c>
      <c r="F768" s="6" t="n">
        <v>46209</v>
      </c>
      <c r="G768" s="1" t="s">
        <v>49</v>
      </c>
      <c r="H768" s="1" t="s">
        <v>2533</v>
      </c>
      <c r="I768" s="1" t="s">
        <v>2534</v>
      </c>
      <c r="J768" s="1" t="n">
        <v>24795.09</v>
      </c>
      <c r="K768" s="1" t="n">
        <v>21355.15</v>
      </c>
      <c r="L768" s="1" t="n">
        <v>0</v>
      </c>
      <c r="M768" s="1" t="n">
        <v>21355.15</v>
      </c>
      <c r="N768" s="1" t="s">
        <v>111</v>
      </c>
      <c r="P768" s="1" t="n">
        <v>6</v>
      </c>
      <c r="Q768" s="1" t="s">
        <v>42</v>
      </c>
      <c r="R768" s="1" t="s">
        <v>74</v>
      </c>
    </row>
    <row r="769" customFormat="false" ht="14.25" hidden="false" customHeight="true" outlineLevel="0" collapsed="false">
      <c r="A769" s="1" t="s">
        <v>2535</v>
      </c>
      <c r="B769" s="1" t="s">
        <v>458</v>
      </c>
      <c r="C769" s="1" t="s">
        <v>516</v>
      </c>
      <c r="D769" s="1" t="s">
        <v>130</v>
      </c>
      <c r="E769" s="6" t="n">
        <v>46102</v>
      </c>
      <c r="F769" s="6" t="n">
        <v>46100</v>
      </c>
      <c r="G769" s="1" t="s">
        <v>70</v>
      </c>
      <c r="H769" s="1" t="s">
        <v>2536</v>
      </c>
      <c r="I769" s="1" t="s">
        <v>2537</v>
      </c>
      <c r="J769" s="1" t="n">
        <v>40021.61</v>
      </c>
      <c r="K769" s="1" t="n">
        <v>32112.8</v>
      </c>
      <c r="L769" s="1" t="n">
        <v>27353.22</v>
      </c>
      <c r="M769" s="1" t="n">
        <v>4759.58</v>
      </c>
      <c r="N769" s="1" t="s">
        <v>41</v>
      </c>
      <c r="P769" s="1" t="n">
        <v>6</v>
      </c>
      <c r="Q769" s="1" t="s">
        <v>155</v>
      </c>
      <c r="R769" s="1" t="s">
        <v>64</v>
      </c>
      <c r="S769" s="6" t="n">
        <v>46108</v>
      </c>
    </row>
    <row r="770" customFormat="false" ht="14.25" hidden="false" customHeight="true" outlineLevel="0" collapsed="false">
      <c r="A770" s="1" t="s">
        <v>2538</v>
      </c>
      <c r="B770" s="1" t="s">
        <v>880</v>
      </c>
      <c r="C770" s="1" t="s">
        <v>346</v>
      </c>
      <c r="D770" s="1" t="s">
        <v>331</v>
      </c>
      <c r="E770" s="6" t="n">
        <v>46043</v>
      </c>
      <c r="F770" s="6" t="n">
        <v>46039</v>
      </c>
      <c r="G770" s="1" t="s">
        <v>49</v>
      </c>
      <c r="H770" s="1" t="s">
        <v>2254</v>
      </c>
      <c r="I770" s="1" t="s">
        <v>2539</v>
      </c>
      <c r="J770" s="1" t="n">
        <v>8479.76</v>
      </c>
      <c r="K770" s="1" t="n">
        <v>6006.94</v>
      </c>
      <c r="L770" s="1" t="n">
        <v>5976.58</v>
      </c>
      <c r="M770" s="1" t="n">
        <v>30.36</v>
      </c>
      <c r="N770" s="1" t="s">
        <v>41</v>
      </c>
      <c r="P770" s="1" t="n">
        <v>3</v>
      </c>
      <c r="Q770" s="1" t="s">
        <v>63</v>
      </c>
      <c r="R770" s="1" t="s">
        <v>54</v>
      </c>
      <c r="S770" s="6" t="n">
        <v>46046</v>
      </c>
    </row>
    <row r="771" customFormat="false" ht="14.25" hidden="false" customHeight="true" outlineLevel="0" collapsed="false">
      <c r="A771" s="1" t="s">
        <v>2540</v>
      </c>
      <c r="B771" s="1" t="s">
        <v>1025</v>
      </c>
      <c r="C771" s="1" t="s">
        <v>215</v>
      </c>
      <c r="D771" s="1" t="s">
        <v>216</v>
      </c>
      <c r="E771" s="6" t="n">
        <v>46050</v>
      </c>
      <c r="F771" s="6" t="n">
        <v>46047</v>
      </c>
      <c r="G771" s="1" t="s">
        <v>108</v>
      </c>
      <c r="H771" s="1" t="s">
        <v>1469</v>
      </c>
      <c r="I771" s="1" t="s">
        <v>2541</v>
      </c>
      <c r="J771" s="1" t="n">
        <v>47476.98</v>
      </c>
      <c r="K771" s="1" t="n">
        <v>36378.54</v>
      </c>
      <c r="L771" s="1" t="n">
        <v>30990.64</v>
      </c>
      <c r="M771" s="1" t="n">
        <v>5387.9</v>
      </c>
      <c r="N771" s="1" t="s">
        <v>41</v>
      </c>
      <c r="P771" s="1" t="n">
        <v>8</v>
      </c>
      <c r="Q771" s="1" t="s">
        <v>155</v>
      </c>
      <c r="R771" s="1" t="s">
        <v>74</v>
      </c>
      <c r="S771" s="6" t="n">
        <v>46058</v>
      </c>
    </row>
    <row r="772" customFormat="false" ht="14.25" hidden="false" customHeight="true" outlineLevel="0" collapsed="false">
      <c r="A772" s="1" t="s">
        <v>2542</v>
      </c>
      <c r="B772" s="1" t="s">
        <v>232</v>
      </c>
      <c r="C772" s="1" t="s">
        <v>300</v>
      </c>
      <c r="D772" s="1" t="s">
        <v>1029</v>
      </c>
      <c r="E772" s="6" t="n">
        <v>46135</v>
      </c>
      <c r="F772" s="6" t="n">
        <v>46133</v>
      </c>
      <c r="G772" s="1" t="s">
        <v>108</v>
      </c>
      <c r="H772" s="1" t="s">
        <v>2543</v>
      </c>
      <c r="I772" s="1" t="s">
        <v>2544</v>
      </c>
      <c r="J772" s="1" t="n">
        <v>9636.04</v>
      </c>
      <c r="K772" s="1" t="n">
        <v>7423.88</v>
      </c>
      <c r="L772" s="1" t="n">
        <v>5988.55</v>
      </c>
      <c r="M772" s="1" t="n">
        <v>1435.33</v>
      </c>
      <c r="N772" s="1" t="s">
        <v>41</v>
      </c>
      <c r="P772" s="1" t="n">
        <v>2</v>
      </c>
      <c r="Q772" s="1" t="s">
        <v>155</v>
      </c>
      <c r="R772" s="1" t="s">
        <v>64</v>
      </c>
      <c r="S772" s="6" t="n">
        <v>46137</v>
      </c>
    </row>
    <row r="773" customFormat="false" ht="14.25" hidden="false" customHeight="true" outlineLevel="0" collapsed="false">
      <c r="A773" s="1" t="s">
        <v>2545</v>
      </c>
      <c r="B773" s="1" t="s">
        <v>475</v>
      </c>
      <c r="C773" s="1" t="s">
        <v>386</v>
      </c>
      <c r="D773" s="1" t="s">
        <v>107</v>
      </c>
      <c r="E773" s="6" t="n">
        <v>46042</v>
      </c>
      <c r="F773" s="6" t="n">
        <v>46038</v>
      </c>
      <c r="G773" s="1" t="s">
        <v>70</v>
      </c>
      <c r="H773" s="1" t="s">
        <v>2156</v>
      </c>
      <c r="I773" s="1" t="s">
        <v>2546</v>
      </c>
      <c r="J773" s="1" t="n">
        <v>18970.78</v>
      </c>
      <c r="K773" s="1" t="n">
        <v>13290.05</v>
      </c>
      <c r="L773" s="1" t="n">
        <v>13169.11</v>
      </c>
      <c r="M773" s="1" t="n">
        <v>120.94</v>
      </c>
      <c r="N773" s="1" t="s">
        <v>41</v>
      </c>
      <c r="P773" s="1" t="n">
        <v>1</v>
      </c>
      <c r="Q773" s="1" t="s">
        <v>155</v>
      </c>
      <c r="R773" s="1" t="s">
        <v>140</v>
      </c>
      <c r="S773" s="6" t="n">
        <v>46043</v>
      </c>
    </row>
    <row r="774" customFormat="false" ht="14.25" hidden="false" customHeight="true" outlineLevel="0" collapsed="false">
      <c r="A774" s="1" t="s">
        <v>2547</v>
      </c>
      <c r="B774" s="1" t="s">
        <v>340</v>
      </c>
      <c r="C774" s="1" t="s">
        <v>164</v>
      </c>
      <c r="D774" s="1" t="s">
        <v>99</v>
      </c>
      <c r="E774" s="6" t="n">
        <v>46076</v>
      </c>
      <c r="F774" s="6" t="n">
        <v>46071</v>
      </c>
      <c r="G774" s="1" t="s">
        <v>70</v>
      </c>
      <c r="H774" s="1" t="s">
        <v>2548</v>
      </c>
      <c r="I774" s="1" t="s">
        <v>2250</v>
      </c>
      <c r="J774" s="1" t="n">
        <v>9498.44</v>
      </c>
      <c r="K774" s="1" t="n">
        <v>6796.25</v>
      </c>
      <c r="L774" s="1" t="n">
        <v>0</v>
      </c>
      <c r="M774" s="1" t="n">
        <v>6796.25</v>
      </c>
      <c r="N774" s="1" t="s">
        <v>111</v>
      </c>
      <c r="P774" s="1" t="n">
        <v>9</v>
      </c>
      <c r="Q774" s="1" t="s">
        <v>63</v>
      </c>
      <c r="R774" s="1" t="s">
        <v>74</v>
      </c>
    </row>
    <row r="775" customFormat="false" ht="14.25" hidden="false" customHeight="true" outlineLevel="0" collapsed="false">
      <c r="A775" s="1" t="s">
        <v>2549</v>
      </c>
      <c r="B775" s="1" t="s">
        <v>46</v>
      </c>
      <c r="C775" s="1" t="s">
        <v>376</v>
      </c>
      <c r="D775" s="1" t="s">
        <v>159</v>
      </c>
      <c r="E775" s="6" t="n">
        <v>46221</v>
      </c>
      <c r="F775" s="6" t="n">
        <v>46220</v>
      </c>
      <c r="G775" s="1" t="s">
        <v>70</v>
      </c>
      <c r="H775" s="1" t="s">
        <v>2550</v>
      </c>
      <c r="I775" s="1" t="s">
        <v>2551</v>
      </c>
      <c r="J775" s="1" t="n">
        <v>40810.89</v>
      </c>
      <c r="K775" s="1" t="n">
        <v>31976.64</v>
      </c>
      <c r="L775" s="1" t="n">
        <v>28955.51</v>
      </c>
      <c r="M775" s="1" t="n">
        <v>3021.13</v>
      </c>
      <c r="N775" s="1" t="s">
        <v>41</v>
      </c>
      <c r="P775" s="1" t="n">
        <v>2</v>
      </c>
      <c r="Q775" s="1" t="s">
        <v>42</v>
      </c>
      <c r="R775" s="1" t="s">
        <v>64</v>
      </c>
      <c r="S775" s="6" t="n">
        <v>46223</v>
      </c>
    </row>
    <row r="776" customFormat="false" ht="14.25" hidden="false" customHeight="true" outlineLevel="0" collapsed="false">
      <c r="A776" s="1" t="s">
        <v>2552</v>
      </c>
      <c r="B776" s="1" t="s">
        <v>1228</v>
      </c>
      <c r="C776" s="1" t="s">
        <v>335</v>
      </c>
      <c r="D776" s="1" t="s">
        <v>757</v>
      </c>
      <c r="E776" s="6" t="n">
        <v>46065</v>
      </c>
      <c r="F776" s="6" t="n">
        <v>46065</v>
      </c>
      <c r="G776" s="1" t="s">
        <v>108</v>
      </c>
      <c r="H776" s="1" t="s">
        <v>2553</v>
      </c>
      <c r="I776" s="1" t="s">
        <v>343</v>
      </c>
      <c r="J776" s="1" t="n">
        <v>30373.42</v>
      </c>
      <c r="K776" s="1" t="n">
        <v>28830.53</v>
      </c>
      <c r="L776" s="1" t="n">
        <v>28253.91</v>
      </c>
      <c r="M776" s="1" t="n">
        <v>576.62</v>
      </c>
      <c r="N776" s="1" t="s">
        <v>41</v>
      </c>
      <c r="P776" s="1" t="n">
        <v>8</v>
      </c>
      <c r="Q776" s="1" t="s">
        <v>63</v>
      </c>
      <c r="R776" s="1" t="s">
        <v>140</v>
      </c>
      <c r="S776" s="6" t="n">
        <v>46073</v>
      </c>
    </row>
    <row r="777" customFormat="false" ht="14.25" hidden="false" customHeight="true" outlineLevel="0" collapsed="false">
      <c r="A777" s="1" t="s">
        <v>2554</v>
      </c>
      <c r="B777" s="1" t="s">
        <v>2209</v>
      </c>
      <c r="C777" s="1" t="s">
        <v>129</v>
      </c>
      <c r="D777" s="1" t="s">
        <v>933</v>
      </c>
      <c r="E777" s="6" t="n">
        <v>46117</v>
      </c>
      <c r="F777" s="6" t="n">
        <v>46116</v>
      </c>
      <c r="G777" s="1" t="s">
        <v>108</v>
      </c>
      <c r="H777" s="1" t="s">
        <v>2555</v>
      </c>
      <c r="I777" s="1" t="s">
        <v>2556</v>
      </c>
      <c r="J777" s="1" t="n">
        <v>40970.48</v>
      </c>
      <c r="K777" s="1" t="n">
        <v>28945.73</v>
      </c>
      <c r="L777" s="1" t="n">
        <v>24634.88</v>
      </c>
      <c r="M777" s="1" t="n">
        <v>4310.85</v>
      </c>
      <c r="N777" s="1" t="s">
        <v>41</v>
      </c>
      <c r="P777" s="1" t="n">
        <v>6</v>
      </c>
      <c r="Q777" s="1" t="s">
        <v>155</v>
      </c>
      <c r="R777" s="1" t="s">
        <v>74</v>
      </c>
      <c r="S777" s="6" t="n">
        <v>46123</v>
      </c>
    </row>
    <row r="778" customFormat="false" ht="14.25" hidden="false" customHeight="true" outlineLevel="0" collapsed="false">
      <c r="A778" s="1" t="s">
        <v>2557</v>
      </c>
      <c r="B778" s="1" t="s">
        <v>1232</v>
      </c>
      <c r="C778" s="1" t="s">
        <v>376</v>
      </c>
      <c r="D778" s="1" t="s">
        <v>550</v>
      </c>
      <c r="E778" s="6" t="n">
        <v>46192</v>
      </c>
      <c r="F778" s="6" t="n">
        <v>46190</v>
      </c>
      <c r="G778" s="1" t="s">
        <v>38</v>
      </c>
      <c r="H778" s="1" t="s">
        <v>2558</v>
      </c>
      <c r="I778" s="1" t="s">
        <v>2559</v>
      </c>
      <c r="J778" s="1" t="n">
        <v>28368.34</v>
      </c>
      <c r="K778" s="1" t="n">
        <v>24415.55</v>
      </c>
      <c r="L778" s="1" t="n">
        <v>0</v>
      </c>
      <c r="M778" s="1" t="n">
        <v>24415.55</v>
      </c>
      <c r="N778" s="1" t="s">
        <v>52</v>
      </c>
      <c r="O778" s="1" t="s">
        <v>73</v>
      </c>
      <c r="P778" s="1" t="n">
        <v>7</v>
      </c>
      <c r="Q778" s="1" t="s">
        <v>63</v>
      </c>
      <c r="R778" s="1" t="s">
        <v>74</v>
      </c>
    </row>
    <row r="779" customFormat="false" ht="14.25" hidden="false" customHeight="true" outlineLevel="0" collapsed="false">
      <c r="A779" s="1" t="s">
        <v>2560</v>
      </c>
      <c r="B779" s="1" t="s">
        <v>606</v>
      </c>
      <c r="C779" s="1" t="s">
        <v>543</v>
      </c>
      <c r="D779" s="1" t="s">
        <v>1128</v>
      </c>
      <c r="E779" s="6" t="n">
        <v>46135</v>
      </c>
      <c r="F779" s="6" t="n">
        <v>46132</v>
      </c>
      <c r="G779" s="1" t="s">
        <v>70</v>
      </c>
      <c r="H779" s="1" t="s">
        <v>2561</v>
      </c>
      <c r="I779" s="1" t="s">
        <v>2562</v>
      </c>
      <c r="J779" s="1" t="n">
        <v>4578.25</v>
      </c>
      <c r="K779" s="1" t="n">
        <v>3008.6</v>
      </c>
      <c r="L779" s="1" t="n">
        <v>2334.91</v>
      </c>
      <c r="M779" s="1" t="n">
        <v>673.69</v>
      </c>
      <c r="N779" s="1" t="s">
        <v>41</v>
      </c>
      <c r="P779" s="1" t="n">
        <v>8</v>
      </c>
      <c r="Q779" s="1" t="s">
        <v>42</v>
      </c>
      <c r="R779" s="1" t="s">
        <v>125</v>
      </c>
      <c r="S779" s="6" t="n">
        <v>46143</v>
      </c>
    </row>
    <row r="780" customFormat="false" ht="14.25" hidden="false" customHeight="true" outlineLevel="0" collapsed="false">
      <c r="A780" s="1" t="s">
        <v>2563</v>
      </c>
      <c r="B780" s="1" t="s">
        <v>2564</v>
      </c>
      <c r="C780" s="1" t="s">
        <v>325</v>
      </c>
      <c r="D780" s="1" t="s">
        <v>1166</v>
      </c>
      <c r="E780" s="6" t="n">
        <v>46034</v>
      </c>
      <c r="F780" s="6" t="n">
        <v>46033</v>
      </c>
      <c r="G780" s="1" t="s">
        <v>108</v>
      </c>
      <c r="H780" s="1" t="s">
        <v>1780</v>
      </c>
      <c r="I780" s="1" t="s">
        <v>2565</v>
      </c>
      <c r="J780" s="1" t="n">
        <v>15702.43</v>
      </c>
      <c r="K780" s="1" t="n">
        <v>12973.99</v>
      </c>
      <c r="L780" s="1" t="n">
        <v>0</v>
      </c>
      <c r="M780" s="1" t="n">
        <v>12973.99</v>
      </c>
      <c r="N780" s="1" t="s">
        <v>52</v>
      </c>
      <c r="O780" s="1" t="s">
        <v>230</v>
      </c>
      <c r="P780" s="1" t="n">
        <v>3</v>
      </c>
      <c r="Q780" s="1" t="s">
        <v>155</v>
      </c>
      <c r="R780" s="1" t="s">
        <v>102</v>
      </c>
    </row>
    <row r="781" customFormat="false" ht="14.25" hidden="false" customHeight="true" outlineLevel="0" collapsed="false">
      <c r="A781" s="1" t="s">
        <v>2566</v>
      </c>
      <c r="B781" s="1" t="s">
        <v>467</v>
      </c>
      <c r="C781" s="1" t="s">
        <v>164</v>
      </c>
      <c r="D781" s="1" t="s">
        <v>485</v>
      </c>
      <c r="E781" s="6" t="n">
        <v>46160</v>
      </c>
      <c r="F781" s="6" t="n">
        <v>46160</v>
      </c>
      <c r="G781" s="1" t="s">
        <v>108</v>
      </c>
      <c r="H781" s="1" t="s">
        <v>472</v>
      </c>
      <c r="I781" s="1" t="s">
        <v>2567</v>
      </c>
      <c r="J781" s="1" t="n">
        <v>34366.19</v>
      </c>
      <c r="K781" s="1" t="n">
        <v>26810.48</v>
      </c>
      <c r="L781" s="1" t="n">
        <v>0</v>
      </c>
      <c r="M781" s="1" t="n">
        <v>26810.48</v>
      </c>
      <c r="N781" s="1" t="s">
        <v>52</v>
      </c>
      <c r="O781" s="1" t="s">
        <v>73</v>
      </c>
      <c r="P781" s="1" t="n">
        <v>3</v>
      </c>
      <c r="Q781" s="1" t="s">
        <v>63</v>
      </c>
      <c r="R781" s="1" t="s">
        <v>140</v>
      </c>
    </row>
    <row r="782" customFormat="false" ht="14.25" hidden="false" customHeight="true" outlineLevel="0" collapsed="false">
      <c r="A782" s="1" t="s">
        <v>2568</v>
      </c>
      <c r="B782" s="1" t="s">
        <v>1298</v>
      </c>
      <c r="C782" s="1" t="s">
        <v>335</v>
      </c>
      <c r="D782" s="1" t="s">
        <v>145</v>
      </c>
      <c r="E782" s="6" t="n">
        <v>46084</v>
      </c>
      <c r="F782" s="6" t="n">
        <v>46079</v>
      </c>
      <c r="G782" s="1" t="s">
        <v>108</v>
      </c>
      <c r="H782" s="1" t="s">
        <v>1133</v>
      </c>
      <c r="I782" s="1" t="s">
        <v>2569</v>
      </c>
      <c r="J782" s="1" t="n">
        <v>35844.71</v>
      </c>
      <c r="K782" s="1" t="n">
        <v>28624.96</v>
      </c>
      <c r="L782" s="1" t="n">
        <v>25555.97</v>
      </c>
      <c r="M782" s="1" t="n">
        <v>3068.99</v>
      </c>
      <c r="N782" s="1" t="s">
        <v>41</v>
      </c>
      <c r="P782" s="1" t="n">
        <v>1</v>
      </c>
      <c r="Q782" s="1" t="s">
        <v>155</v>
      </c>
      <c r="R782" s="1" t="s">
        <v>74</v>
      </c>
      <c r="S782" s="6" t="n">
        <v>46085</v>
      </c>
    </row>
    <row r="783" customFormat="false" ht="14.25" hidden="false" customHeight="true" outlineLevel="0" collapsed="false">
      <c r="A783" s="1" t="s">
        <v>2570</v>
      </c>
      <c r="B783" s="1" t="s">
        <v>1066</v>
      </c>
      <c r="C783" s="1" t="s">
        <v>671</v>
      </c>
      <c r="D783" s="1" t="s">
        <v>99</v>
      </c>
      <c r="E783" s="6" t="n">
        <v>46233</v>
      </c>
      <c r="F783" s="6" t="n">
        <v>46231</v>
      </c>
      <c r="G783" s="1" t="s">
        <v>38</v>
      </c>
      <c r="H783" s="1" t="s">
        <v>2571</v>
      </c>
      <c r="I783" s="1" t="s">
        <v>2572</v>
      </c>
      <c r="J783" s="1" t="n">
        <v>49360.73</v>
      </c>
      <c r="K783" s="1" t="n">
        <v>44324.54</v>
      </c>
      <c r="L783" s="1" t="n">
        <v>0</v>
      </c>
      <c r="M783" s="1" t="n">
        <v>44324.54</v>
      </c>
      <c r="N783" s="1" t="s">
        <v>260</v>
      </c>
      <c r="P783" s="1" t="n">
        <v>6</v>
      </c>
      <c r="Q783" s="1" t="s">
        <v>42</v>
      </c>
      <c r="R783" s="1" t="s">
        <v>74</v>
      </c>
    </row>
    <row r="784" customFormat="false" ht="14.25" hidden="false" customHeight="true" outlineLevel="0" collapsed="false">
      <c r="A784" s="1" t="s">
        <v>2573</v>
      </c>
      <c r="B784" s="1" t="s">
        <v>696</v>
      </c>
      <c r="C784" s="1" t="s">
        <v>78</v>
      </c>
      <c r="D784" s="1" t="s">
        <v>964</v>
      </c>
      <c r="E784" s="6" t="n">
        <v>46092</v>
      </c>
      <c r="F784" s="6" t="n">
        <v>46089</v>
      </c>
      <c r="G784" s="1" t="s">
        <v>70</v>
      </c>
      <c r="H784" s="1" t="s">
        <v>1344</v>
      </c>
      <c r="I784" s="1" t="s">
        <v>2574</v>
      </c>
      <c r="J784" s="1" t="n">
        <v>35653.54</v>
      </c>
      <c r="K784" s="1" t="n">
        <v>32823.59</v>
      </c>
      <c r="L784" s="1" t="n">
        <v>0</v>
      </c>
      <c r="M784" s="1" t="n">
        <v>32823.59</v>
      </c>
      <c r="N784" s="1" t="s">
        <v>111</v>
      </c>
      <c r="P784" s="1" t="n">
        <v>8</v>
      </c>
      <c r="Q784" s="1" t="s">
        <v>63</v>
      </c>
      <c r="R784" s="1" t="s">
        <v>125</v>
      </c>
    </row>
    <row r="785" customFormat="false" ht="14.25" hidden="false" customHeight="true" outlineLevel="0" collapsed="false">
      <c r="A785" s="1" t="s">
        <v>2575</v>
      </c>
      <c r="B785" s="1" t="s">
        <v>1136</v>
      </c>
      <c r="C785" s="1" t="s">
        <v>671</v>
      </c>
      <c r="D785" s="1" t="s">
        <v>485</v>
      </c>
      <c r="E785" s="6" t="n">
        <v>46131</v>
      </c>
      <c r="F785" s="6" t="n">
        <v>46128</v>
      </c>
      <c r="G785" s="1" t="s">
        <v>49</v>
      </c>
      <c r="H785" s="1" t="s">
        <v>1167</v>
      </c>
      <c r="I785" s="1" t="s">
        <v>2576</v>
      </c>
      <c r="J785" s="1" t="n">
        <v>45103.25</v>
      </c>
      <c r="K785" s="1" t="n">
        <v>40368.19</v>
      </c>
      <c r="L785" s="1" t="n">
        <v>35203.25</v>
      </c>
      <c r="M785" s="1" t="n">
        <v>5164.94</v>
      </c>
      <c r="N785" s="1" t="s">
        <v>41</v>
      </c>
      <c r="P785" s="1" t="n">
        <v>1</v>
      </c>
      <c r="Q785" s="1" t="s">
        <v>155</v>
      </c>
      <c r="R785" s="1" t="s">
        <v>74</v>
      </c>
      <c r="S785" s="6" t="n">
        <v>46132</v>
      </c>
    </row>
    <row r="786" customFormat="false" ht="14.25" hidden="false" customHeight="true" outlineLevel="0" collapsed="false">
      <c r="A786" s="1" t="s">
        <v>2577</v>
      </c>
      <c r="B786" s="1" t="s">
        <v>202</v>
      </c>
      <c r="C786" s="1" t="s">
        <v>164</v>
      </c>
      <c r="D786" s="1" t="s">
        <v>481</v>
      </c>
      <c r="E786" s="6" t="n">
        <v>46052</v>
      </c>
      <c r="F786" s="6" t="n">
        <v>46052</v>
      </c>
      <c r="G786" s="1" t="s">
        <v>49</v>
      </c>
      <c r="H786" s="1" t="s">
        <v>2578</v>
      </c>
      <c r="I786" s="1" t="s">
        <v>2579</v>
      </c>
      <c r="J786" s="1" t="n">
        <v>39663.91</v>
      </c>
      <c r="K786" s="1" t="n">
        <v>26572.84</v>
      </c>
      <c r="L786" s="1" t="n">
        <v>23496.63</v>
      </c>
      <c r="M786" s="1" t="n">
        <v>3076.21</v>
      </c>
      <c r="N786" s="1" t="s">
        <v>41</v>
      </c>
      <c r="P786" s="1" t="n">
        <v>3</v>
      </c>
      <c r="Q786" s="1" t="s">
        <v>63</v>
      </c>
      <c r="R786" s="1" t="s">
        <v>102</v>
      </c>
      <c r="S786" s="6" t="n">
        <v>46055</v>
      </c>
    </row>
    <row r="787" customFormat="false" ht="14.25" hidden="false" customHeight="true" outlineLevel="0" collapsed="false">
      <c r="A787" s="1" t="s">
        <v>2580</v>
      </c>
      <c r="B787" s="1" t="s">
        <v>1408</v>
      </c>
      <c r="C787" s="1" t="s">
        <v>900</v>
      </c>
      <c r="D787" s="1" t="s">
        <v>953</v>
      </c>
      <c r="E787" s="6" t="n">
        <v>46170</v>
      </c>
      <c r="F787" s="6" t="n">
        <v>46168</v>
      </c>
      <c r="G787" s="1" t="s">
        <v>38</v>
      </c>
      <c r="H787" s="1" t="s">
        <v>1608</v>
      </c>
      <c r="I787" s="1" t="s">
        <v>2581</v>
      </c>
      <c r="J787" s="1" t="n">
        <v>6410.33</v>
      </c>
      <c r="K787" s="1" t="n">
        <v>5749.19</v>
      </c>
      <c r="L787" s="1" t="n">
        <v>5582.5</v>
      </c>
      <c r="M787" s="1" t="n">
        <v>166.69</v>
      </c>
      <c r="N787" s="1" t="s">
        <v>41</v>
      </c>
      <c r="P787" s="1" t="n">
        <v>2</v>
      </c>
      <c r="Q787" s="1" t="s">
        <v>63</v>
      </c>
      <c r="R787" s="1" t="s">
        <v>43</v>
      </c>
      <c r="S787" s="6" t="n">
        <v>46172</v>
      </c>
    </row>
    <row r="788" customFormat="false" ht="14.25" hidden="false" customHeight="true" outlineLevel="0" collapsed="false">
      <c r="A788" s="1" t="s">
        <v>2582</v>
      </c>
      <c r="B788" s="1" t="s">
        <v>921</v>
      </c>
      <c r="C788" s="1" t="s">
        <v>279</v>
      </c>
      <c r="D788" s="1" t="s">
        <v>529</v>
      </c>
      <c r="E788" s="6" t="n">
        <v>46050</v>
      </c>
      <c r="F788" s="6" t="n">
        <v>46050</v>
      </c>
      <c r="G788" s="1" t="s">
        <v>70</v>
      </c>
      <c r="H788" s="1" t="s">
        <v>2087</v>
      </c>
      <c r="I788" s="1" t="s">
        <v>2583</v>
      </c>
      <c r="J788" s="1" t="n">
        <v>41738.19</v>
      </c>
      <c r="K788" s="1" t="n">
        <v>29439.76</v>
      </c>
      <c r="L788" s="1" t="n">
        <v>27692.08</v>
      </c>
      <c r="M788" s="1" t="n">
        <v>1747.68</v>
      </c>
      <c r="N788" s="1" t="s">
        <v>41</v>
      </c>
      <c r="P788" s="1" t="n">
        <v>2</v>
      </c>
      <c r="Q788" s="1" t="s">
        <v>63</v>
      </c>
      <c r="R788" s="1" t="s">
        <v>64</v>
      </c>
      <c r="S788" s="6" t="n">
        <v>46052</v>
      </c>
    </row>
    <row r="789" customFormat="false" ht="14.25" hidden="false" customHeight="true" outlineLevel="0" collapsed="false">
      <c r="A789" s="1" t="s">
        <v>2584</v>
      </c>
      <c r="B789" s="1" t="s">
        <v>1177</v>
      </c>
      <c r="C789" s="1" t="s">
        <v>671</v>
      </c>
      <c r="D789" s="1" t="s">
        <v>137</v>
      </c>
      <c r="E789" s="6" t="n">
        <v>46219</v>
      </c>
      <c r="F789" s="6" t="n">
        <v>46219</v>
      </c>
      <c r="G789" s="1" t="s">
        <v>108</v>
      </c>
      <c r="H789" s="1" t="s">
        <v>2038</v>
      </c>
      <c r="I789" s="1" t="s">
        <v>264</v>
      </c>
      <c r="J789" s="1" t="n">
        <v>25429.15</v>
      </c>
      <c r="K789" s="1" t="n">
        <v>23963.22</v>
      </c>
      <c r="L789" s="1" t="n">
        <v>0</v>
      </c>
      <c r="M789" s="1" t="n">
        <v>23963.22</v>
      </c>
      <c r="N789" s="1" t="s">
        <v>111</v>
      </c>
      <c r="P789" s="1" t="n">
        <v>7</v>
      </c>
      <c r="Q789" s="1" t="s">
        <v>63</v>
      </c>
      <c r="R789" s="1" t="s">
        <v>140</v>
      </c>
    </row>
    <row r="790" customFormat="false" ht="14.25" hidden="false" customHeight="true" outlineLevel="0" collapsed="false">
      <c r="A790" s="1" t="s">
        <v>2585</v>
      </c>
      <c r="B790" s="1" t="s">
        <v>175</v>
      </c>
      <c r="C790" s="1" t="s">
        <v>686</v>
      </c>
      <c r="D790" s="1" t="s">
        <v>79</v>
      </c>
      <c r="E790" s="6" t="n">
        <v>46115</v>
      </c>
      <c r="F790" s="6" t="n">
        <v>46112</v>
      </c>
      <c r="G790" s="1" t="s">
        <v>38</v>
      </c>
      <c r="H790" s="1" t="s">
        <v>1809</v>
      </c>
      <c r="I790" s="1" t="s">
        <v>2586</v>
      </c>
      <c r="J790" s="1" t="n">
        <v>32384.69</v>
      </c>
      <c r="K790" s="1" t="n">
        <v>24851.8</v>
      </c>
      <c r="L790" s="1" t="n">
        <v>19590.04</v>
      </c>
      <c r="M790" s="1" t="n">
        <v>5261.76</v>
      </c>
      <c r="N790" s="1" t="s">
        <v>41</v>
      </c>
      <c r="P790" s="1" t="n">
        <v>5</v>
      </c>
      <c r="Q790" s="1" t="s">
        <v>63</v>
      </c>
      <c r="R790" s="1" t="s">
        <v>74</v>
      </c>
      <c r="S790" s="6" t="n">
        <v>46120</v>
      </c>
    </row>
    <row r="791" customFormat="false" ht="14.25" hidden="false" customHeight="true" outlineLevel="0" collapsed="false">
      <c r="A791" s="1" t="s">
        <v>2587</v>
      </c>
      <c r="B791" s="1" t="s">
        <v>778</v>
      </c>
      <c r="C791" s="1" t="s">
        <v>176</v>
      </c>
      <c r="D791" s="1" t="s">
        <v>476</v>
      </c>
      <c r="E791" s="6" t="n">
        <v>46210</v>
      </c>
      <c r="F791" s="6" t="n">
        <v>46207</v>
      </c>
      <c r="G791" s="1" t="s">
        <v>70</v>
      </c>
      <c r="H791" s="1" t="s">
        <v>100</v>
      </c>
      <c r="I791" s="1" t="s">
        <v>2588</v>
      </c>
      <c r="J791" s="1" t="n">
        <v>22306.26</v>
      </c>
      <c r="K791" s="1" t="n">
        <v>20143.15</v>
      </c>
      <c r="L791" s="1" t="n">
        <v>18137.19</v>
      </c>
      <c r="M791" s="1" t="n">
        <v>2005.96</v>
      </c>
      <c r="N791" s="1" t="s">
        <v>41</v>
      </c>
      <c r="P791" s="1" t="n">
        <v>5</v>
      </c>
      <c r="Q791" s="1" t="s">
        <v>42</v>
      </c>
      <c r="R791" s="1" t="s">
        <v>54</v>
      </c>
      <c r="S791" s="6" t="n">
        <v>46215</v>
      </c>
    </row>
    <row r="792" customFormat="false" ht="14.25" hidden="false" customHeight="true" outlineLevel="0" collapsed="false">
      <c r="A792" s="1" t="s">
        <v>2589</v>
      </c>
      <c r="B792" s="1" t="s">
        <v>2164</v>
      </c>
      <c r="C792" s="1" t="s">
        <v>296</v>
      </c>
      <c r="D792" s="1" t="s">
        <v>159</v>
      </c>
      <c r="E792" s="6" t="n">
        <v>46131</v>
      </c>
      <c r="F792" s="6" t="n">
        <v>46127</v>
      </c>
      <c r="G792" s="1" t="s">
        <v>38</v>
      </c>
      <c r="H792" s="1" t="s">
        <v>2590</v>
      </c>
      <c r="I792" s="1" t="s">
        <v>2591</v>
      </c>
      <c r="J792" s="1" t="n">
        <v>31120.02</v>
      </c>
      <c r="K792" s="1" t="n">
        <v>21814.34</v>
      </c>
      <c r="L792" s="1" t="n">
        <v>21447.86</v>
      </c>
      <c r="M792" s="1" t="n">
        <v>366.48</v>
      </c>
      <c r="N792" s="1" t="s">
        <v>41</v>
      </c>
      <c r="P792" s="1" t="n">
        <v>6</v>
      </c>
      <c r="Q792" s="1" t="s">
        <v>155</v>
      </c>
      <c r="R792" s="1" t="s">
        <v>64</v>
      </c>
      <c r="S792" s="6" t="n">
        <v>46137</v>
      </c>
    </row>
    <row r="793" customFormat="false" ht="14.25" hidden="false" customHeight="true" outlineLevel="0" collapsed="false">
      <c r="A793" s="1" t="s">
        <v>2592</v>
      </c>
      <c r="B793" s="1" t="s">
        <v>2075</v>
      </c>
      <c r="C793" s="1" t="s">
        <v>686</v>
      </c>
      <c r="D793" s="1" t="s">
        <v>705</v>
      </c>
      <c r="E793" s="6" t="n">
        <v>46040</v>
      </c>
      <c r="F793" s="6" t="n">
        <v>46037</v>
      </c>
      <c r="G793" s="1" t="s">
        <v>49</v>
      </c>
      <c r="H793" s="1" t="s">
        <v>2593</v>
      </c>
      <c r="I793" s="1" t="s">
        <v>2594</v>
      </c>
      <c r="J793" s="1" t="n">
        <v>6422.28</v>
      </c>
      <c r="K793" s="1" t="n">
        <v>4607.06</v>
      </c>
      <c r="L793" s="1" t="n">
        <v>0</v>
      </c>
      <c r="M793" s="1" t="n">
        <v>4607.06</v>
      </c>
      <c r="N793" s="1" t="s">
        <v>52</v>
      </c>
      <c r="O793" s="1" t="s">
        <v>73</v>
      </c>
      <c r="P793" s="1" t="n">
        <v>1</v>
      </c>
      <c r="Q793" s="1" t="s">
        <v>63</v>
      </c>
      <c r="R793" s="1" t="s">
        <v>74</v>
      </c>
    </row>
    <row r="794" customFormat="false" ht="14.25" hidden="false" customHeight="true" outlineLevel="0" collapsed="false">
      <c r="A794" s="1" t="s">
        <v>2595</v>
      </c>
      <c r="B794" s="1" t="s">
        <v>1462</v>
      </c>
      <c r="C794" s="1" t="s">
        <v>129</v>
      </c>
      <c r="D794" s="1" t="s">
        <v>99</v>
      </c>
      <c r="E794" s="6" t="n">
        <v>46183</v>
      </c>
      <c r="F794" s="6" t="n">
        <v>46180</v>
      </c>
      <c r="G794" s="1" t="s">
        <v>49</v>
      </c>
      <c r="H794" s="1" t="s">
        <v>2596</v>
      </c>
      <c r="I794" s="1" t="s">
        <v>2597</v>
      </c>
      <c r="J794" s="1" t="n">
        <v>37529.44</v>
      </c>
      <c r="K794" s="1" t="n">
        <v>32082.58</v>
      </c>
      <c r="L794" s="1" t="n">
        <v>28975.45</v>
      </c>
      <c r="M794" s="1" t="n">
        <v>3107.13</v>
      </c>
      <c r="N794" s="1" t="s">
        <v>41</v>
      </c>
      <c r="P794" s="1" t="n">
        <v>6</v>
      </c>
      <c r="Q794" s="1" t="s">
        <v>155</v>
      </c>
      <c r="R794" s="1" t="s">
        <v>140</v>
      </c>
      <c r="S794" s="6" t="n">
        <v>46189</v>
      </c>
    </row>
    <row r="795" customFormat="false" ht="14.25" hidden="false" customHeight="true" outlineLevel="0" collapsed="false">
      <c r="A795" s="1" t="s">
        <v>2598</v>
      </c>
      <c r="B795" s="1" t="s">
        <v>372</v>
      </c>
      <c r="C795" s="1" t="s">
        <v>58</v>
      </c>
      <c r="D795" s="1" t="s">
        <v>964</v>
      </c>
      <c r="E795" s="6" t="n">
        <v>46101</v>
      </c>
      <c r="F795" s="6" t="n">
        <v>46096</v>
      </c>
      <c r="G795" s="1" t="s">
        <v>108</v>
      </c>
      <c r="H795" s="1" t="s">
        <v>2599</v>
      </c>
      <c r="I795" s="1" t="s">
        <v>2600</v>
      </c>
      <c r="J795" s="1" t="n">
        <v>48170.46</v>
      </c>
      <c r="K795" s="1" t="n">
        <v>36924.37</v>
      </c>
      <c r="L795" s="1" t="n">
        <v>0</v>
      </c>
      <c r="M795" s="1" t="n">
        <v>36924.37</v>
      </c>
      <c r="N795" s="1" t="s">
        <v>111</v>
      </c>
      <c r="P795" s="1" t="n">
        <v>8</v>
      </c>
      <c r="Q795" s="1" t="s">
        <v>155</v>
      </c>
      <c r="R795" s="1" t="s">
        <v>54</v>
      </c>
    </row>
    <row r="796" customFormat="false" ht="14.25" hidden="false" customHeight="true" outlineLevel="0" collapsed="false">
      <c r="A796" s="1" t="s">
        <v>2601</v>
      </c>
      <c r="B796" s="1" t="s">
        <v>1583</v>
      </c>
      <c r="C796" s="1" t="s">
        <v>286</v>
      </c>
      <c r="D796" s="1" t="s">
        <v>291</v>
      </c>
      <c r="E796" s="6" t="n">
        <v>46143</v>
      </c>
      <c r="F796" s="6" t="n">
        <v>46140</v>
      </c>
      <c r="G796" s="1" t="s">
        <v>38</v>
      </c>
      <c r="H796" s="1" t="s">
        <v>490</v>
      </c>
      <c r="I796" s="1" t="s">
        <v>2602</v>
      </c>
      <c r="J796" s="1" t="n">
        <v>27304.18</v>
      </c>
      <c r="K796" s="1" t="n">
        <v>19607.01</v>
      </c>
      <c r="L796" s="1" t="n">
        <v>0</v>
      </c>
      <c r="M796" s="1" t="n">
        <v>19607.01</v>
      </c>
      <c r="N796" s="1" t="s">
        <v>111</v>
      </c>
      <c r="P796" s="1" t="n">
        <v>10</v>
      </c>
      <c r="Q796" s="1" t="s">
        <v>63</v>
      </c>
      <c r="R796" s="1" t="s">
        <v>43</v>
      </c>
    </row>
    <row r="797" customFormat="false" ht="14.25" hidden="false" customHeight="true" outlineLevel="0" collapsed="false">
      <c r="A797" s="1" t="s">
        <v>2603</v>
      </c>
      <c r="B797" s="1" t="s">
        <v>875</v>
      </c>
      <c r="C797" s="1" t="s">
        <v>623</v>
      </c>
      <c r="D797" s="1" t="s">
        <v>574</v>
      </c>
      <c r="E797" s="6" t="n">
        <v>46213</v>
      </c>
      <c r="F797" s="6" t="n">
        <v>46210</v>
      </c>
      <c r="G797" s="1" t="s">
        <v>38</v>
      </c>
      <c r="H797" s="1" t="s">
        <v>891</v>
      </c>
      <c r="I797" s="1" t="s">
        <v>2604</v>
      </c>
      <c r="J797" s="1" t="n">
        <v>19727.92</v>
      </c>
      <c r="K797" s="1" t="n">
        <v>14974.83</v>
      </c>
      <c r="L797" s="1" t="n">
        <v>12451.61</v>
      </c>
      <c r="M797" s="1" t="n">
        <v>2523.22</v>
      </c>
      <c r="N797" s="1" t="s">
        <v>41</v>
      </c>
      <c r="P797" s="1" t="n">
        <v>7</v>
      </c>
      <c r="Q797" s="1" t="s">
        <v>42</v>
      </c>
      <c r="R797" s="1" t="s">
        <v>140</v>
      </c>
      <c r="S797" s="6" t="n">
        <v>46220</v>
      </c>
    </row>
    <row r="798" customFormat="false" ht="14.25" hidden="false" customHeight="true" outlineLevel="0" collapsed="false">
      <c r="A798" s="1" t="s">
        <v>2605</v>
      </c>
      <c r="B798" s="1" t="s">
        <v>1228</v>
      </c>
      <c r="C798" s="1" t="s">
        <v>273</v>
      </c>
      <c r="D798" s="1" t="s">
        <v>740</v>
      </c>
      <c r="E798" s="6" t="n">
        <v>46169</v>
      </c>
      <c r="F798" s="6" t="n">
        <v>46168</v>
      </c>
      <c r="G798" s="1" t="s">
        <v>70</v>
      </c>
      <c r="H798" s="1" t="s">
        <v>2606</v>
      </c>
      <c r="I798" s="1" t="s">
        <v>2607</v>
      </c>
      <c r="J798" s="1" t="n">
        <v>36600.69</v>
      </c>
      <c r="K798" s="1" t="n">
        <v>32400.31</v>
      </c>
      <c r="L798" s="1" t="n">
        <v>0</v>
      </c>
      <c r="M798" s="1" t="n">
        <v>32400.31</v>
      </c>
      <c r="N798" s="1" t="s">
        <v>52</v>
      </c>
      <c r="O798" s="1" t="s">
        <v>62</v>
      </c>
      <c r="P798" s="1" t="n">
        <v>6</v>
      </c>
      <c r="Q798" s="1" t="s">
        <v>155</v>
      </c>
      <c r="R798" s="1" t="s">
        <v>43</v>
      </c>
    </row>
    <row r="799" customFormat="false" ht="14.25" hidden="false" customHeight="true" outlineLevel="0" collapsed="false">
      <c r="A799" s="1" t="s">
        <v>2608</v>
      </c>
      <c r="B799" s="1" t="s">
        <v>319</v>
      </c>
      <c r="C799" s="1" t="s">
        <v>36</v>
      </c>
      <c r="D799" s="1" t="s">
        <v>287</v>
      </c>
      <c r="E799" s="6" t="n">
        <v>46062</v>
      </c>
      <c r="F799" s="6" t="n">
        <v>46059</v>
      </c>
      <c r="G799" s="1" t="s">
        <v>70</v>
      </c>
      <c r="H799" s="1" t="s">
        <v>2609</v>
      </c>
      <c r="I799" s="1" t="s">
        <v>2610</v>
      </c>
      <c r="J799" s="1" t="n">
        <v>32785.75</v>
      </c>
      <c r="K799" s="1" t="n">
        <v>24264.61</v>
      </c>
      <c r="L799" s="1" t="n">
        <v>23250.88</v>
      </c>
      <c r="M799" s="1" t="n">
        <v>1013.73</v>
      </c>
      <c r="N799" s="1" t="s">
        <v>41</v>
      </c>
      <c r="P799" s="1" t="n">
        <v>7</v>
      </c>
      <c r="Q799" s="1" t="s">
        <v>42</v>
      </c>
      <c r="R799" s="1" t="s">
        <v>43</v>
      </c>
      <c r="S799" s="6" t="n">
        <v>46069</v>
      </c>
    </row>
    <row r="800" customFormat="false" ht="14.25" hidden="false" customHeight="true" outlineLevel="0" collapsed="false">
      <c r="A800" s="1" t="s">
        <v>2611</v>
      </c>
      <c r="B800" s="1" t="s">
        <v>1415</v>
      </c>
      <c r="C800" s="1" t="s">
        <v>361</v>
      </c>
      <c r="D800" s="1" t="s">
        <v>722</v>
      </c>
      <c r="E800" s="6" t="n">
        <v>46158</v>
      </c>
      <c r="F800" s="6" t="n">
        <v>46155</v>
      </c>
      <c r="G800" s="1" t="s">
        <v>38</v>
      </c>
      <c r="H800" s="1" t="s">
        <v>1442</v>
      </c>
      <c r="I800" s="1" t="s">
        <v>2612</v>
      </c>
      <c r="J800" s="1" t="n">
        <v>22427.53</v>
      </c>
      <c r="K800" s="1" t="n">
        <v>19247.1</v>
      </c>
      <c r="L800" s="1" t="n">
        <v>16292.53</v>
      </c>
      <c r="M800" s="1" t="n">
        <v>2954.57</v>
      </c>
      <c r="N800" s="1" t="s">
        <v>41</v>
      </c>
      <c r="P800" s="1" t="n">
        <v>3</v>
      </c>
      <c r="Q800" s="1" t="s">
        <v>42</v>
      </c>
      <c r="R800" s="1" t="s">
        <v>125</v>
      </c>
      <c r="S800" s="6" t="n">
        <v>46161</v>
      </c>
    </row>
    <row r="801" customFormat="false" ht="14.25" hidden="false" customHeight="true" outlineLevel="0" collapsed="false">
      <c r="A801" s="1" t="s">
        <v>2613</v>
      </c>
      <c r="B801" s="1" t="s">
        <v>1699</v>
      </c>
      <c r="C801" s="1" t="s">
        <v>516</v>
      </c>
      <c r="D801" s="1" t="s">
        <v>208</v>
      </c>
      <c r="E801" s="6" t="n">
        <v>46229</v>
      </c>
      <c r="F801" s="6" t="n">
        <v>46228</v>
      </c>
      <c r="G801" s="1" t="s">
        <v>108</v>
      </c>
      <c r="H801" s="1" t="s">
        <v>2614</v>
      </c>
      <c r="I801" s="1" t="s">
        <v>2615</v>
      </c>
      <c r="J801" s="1" t="n">
        <v>16166.29</v>
      </c>
      <c r="K801" s="1" t="n">
        <v>11699.7</v>
      </c>
      <c r="L801" s="1" t="n">
        <v>10934.73</v>
      </c>
      <c r="M801" s="1" t="n">
        <v>764.97</v>
      </c>
      <c r="N801" s="1" t="s">
        <v>41</v>
      </c>
      <c r="P801" s="1" t="n">
        <v>8</v>
      </c>
      <c r="Q801" s="1" t="s">
        <v>155</v>
      </c>
      <c r="R801" s="1" t="s">
        <v>54</v>
      </c>
      <c r="S801" s="6" t="n">
        <v>46237</v>
      </c>
    </row>
    <row r="802" customFormat="false" ht="14.25" hidden="false" customHeight="true" outlineLevel="0" collapsed="false">
      <c r="A802" s="1" t="s">
        <v>2616</v>
      </c>
      <c r="B802" s="1" t="s">
        <v>1144</v>
      </c>
      <c r="C802" s="1" t="s">
        <v>36</v>
      </c>
      <c r="D802" s="1" t="s">
        <v>268</v>
      </c>
      <c r="E802" s="6" t="n">
        <v>46028</v>
      </c>
      <c r="F802" s="6" t="n">
        <v>46028</v>
      </c>
      <c r="G802" s="1" t="s">
        <v>38</v>
      </c>
      <c r="H802" s="1" t="s">
        <v>1559</v>
      </c>
      <c r="I802" s="1" t="s">
        <v>2617</v>
      </c>
      <c r="J802" s="1" t="n">
        <v>43538.46</v>
      </c>
      <c r="K802" s="1" t="n">
        <v>32630.01</v>
      </c>
      <c r="L802" s="1" t="n">
        <v>0</v>
      </c>
      <c r="M802" s="1" t="n">
        <v>32630.01</v>
      </c>
      <c r="N802" s="1" t="s">
        <v>52</v>
      </c>
      <c r="O802" s="1" t="s">
        <v>230</v>
      </c>
      <c r="P802" s="1" t="n">
        <v>2</v>
      </c>
      <c r="Q802" s="1" t="s">
        <v>155</v>
      </c>
      <c r="R802" s="1" t="s">
        <v>102</v>
      </c>
    </row>
    <row r="803" customFormat="false" ht="14.25" hidden="false" customHeight="true" outlineLevel="0" collapsed="false">
      <c r="A803" s="1" t="s">
        <v>2618</v>
      </c>
      <c r="B803" s="1" t="s">
        <v>1327</v>
      </c>
      <c r="C803" s="1" t="s">
        <v>376</v>
      </c>
      <c r="D803" s="1" t="s">
        <v>116</v>
      </c>
      <c r="E803" s="6" t="n">
        <v>46184</v>
      </c>
      <c r="F803" s="6" t="n">
        <v>46182</v>
      </c>
      <c r="G803" s="1" t="s">
        <v>108</v>
      </c>
      <c r="H803" s="1" t="s">
        <v>2090</v>
      </c>
      <c r="I803" s="1" t="s">
        <v>2619</v>
      </c>
      <c r="J803" s="1" t="n">
        <v>41498.6</v>
      </c>
      <c r="K803" s="1" t="n">
        <v>32888.73</v>
      </c>
      <c r="L803" s="1" t="n">
        <v>0</v>
      </c>
      <c r="M803" s="1" t="n">
        <v>32888.73</v>
      </c>
      <c r="N803" s="1" t="s">
        <v>111</v>
      </c>
      <c r="P803" s="1" t="n">
        <v>15</v>
      </c>
      <c r="Q803" s="1" t="s">
        <v>155</v>
      </c>
      <c r="R803" s="1" t="s">
        <v>140</v>
      </c>
    </row>
    <row r="804" customFormat="false" ht="14.25" hidden="false" customHeight="true" outlineLevel="0" collapsed="false">
      <c r="A804" s="1" t="s">
        <v>2620</v>
      </c>
      <c r="B804" s="1" t="s">
        <v>1751</v>
      </c>
      <c r="C804" s="1" t="s">
        <v>221</v>
      </c>
      <c r="D804" s="1" t="s">
        <v>1448</v>
      </c>
      <c r="E804" s="6" t="n">
        <v>46129</v>
      </c>
      <c r="F804" s="6" t="n">
        <v>46129</v>
      </c>
      <c r="G804" s="1" t="s">
        <v>108</v>
      </c>
      <c r="H804" s="1" t="s">
        <v>2283</v>
      </c>
      <c r="I804" s="1" t="s">
        <v>2621</v>
      </c>
      <c r="J804" s="1" t="n">
        <v>31105.3</v>
      </c>
      <c r="K804" s="1" t="n">
        <v>21695.45</v>
      </c>
      <c r="L804" s="1" t="n">
        <v>19267.3</v>
      </c>
      <c r="M804" s="1" t="n">
        <v>2428.15</v>
      </c>
      <c r="N804" s="1" t="s">
        <v>41</v>
      </c>
      <c r="P804" s="1" t="n">
        <v>8</v>
      </c>
      <c r="Q804" s="1" t="s">
        <v>63</v>
      </c>
      <c r="R804" s="1" t="s">
        <v>54</v>
      </c>
      <c r="S804" s="6" t="n">
        <v>46137</v>
      </c>
    </row>
    <row r="805" customFormat="false" ht="14.25" hidden="false" customHeight="true" outlineLevel="0" collapsed="false">
      <c r="A805" s="1" t="s">
        <v>2622</v>
      </c>
      <c r="B805" s="1" t="s">
        <v>1671</v>
      </c>
      <c r="C805" s="1" t="s">
        <v>300</v>
      </c>
      <c r="D805" s="1" t="s">
        <v>280</v>
      </c>
      <c r="E805" s="6" t="n">
        <v>46216</v>
      </c>
      <c r="F805" s="6" t="n">
        <v>46216</v>
      </c>
      <c r="G805" s="1" t="s">
        <v>38</v>
      </c>
      <c r="H805" s="1" t="s">
        <v>2558</v>
      </c>
      <c r="I805" s="1" t="s">
        <v>2623</v>
      </c>
      <c r="J805" s="1" t="n">
        <v>19356.98</v>
      </c>
      <c r="K805" s="1" t="n">
        <v>14785.07</v>
      </c>
      <c r="L805" s="1" t="n">
        <v>11718.86</v>
      </c>
      <c r="M805" s="1" t="n">
        <v>3066.21</v>
      </c>
      <c r="N805" s="1" t="s">
        <v>41</v>
      </c>
      <c r="P805" s="1" t="n">
        <v>1</v>
      </c>
      <c r="Q805" s="1" t="s">
        <v>63</v>
      </c>
      <c r="R805" s="1" t="s">
        <v>74</v>
      </c>
      <c r="S805" s="6" t="n">
        <v>46217</v>
      </c>
    </row>
    <row r="806" customFormat="false" ht="14.25" hidden="false" customHeight="true" outlineLevel="0" collapsed="false">
      <c r="A806" s="1" t="s">
        <v>2624</v>
      </c>
      <c r="B806" s="1" t="s">
        <v>360</v>
      </c>
      <c r="C806" s="1" t="s">
        <v>516</v>
      </c>
      <c r="D806" s="1" t="s">
        <v>116</v>
      </c>
      <c r="E806" s="6" t="n">
        <v>46170</v>
      </c>
      <c r="F806" s="6" t="n">
        <v>46168</v>
      </c>
      <c r="G806" s="1" t="s">
        <v>49</v>
      </c>
      <c r="H806" s="1" t="s">
        <v>2625</v>
      </c>
      <c r="I806" s="1" t="s">
        <v>1487</v>
      </c>
      <c r="J806" s="1" t="n">
        <v>49396.86</v>
      </c>
      <c r="K806" s="1" t="n">
        <v>45244.92</v>
      </c>
      <c r="L806" s="1" t="n">
        <v>0</v>
      </c>
      <c r="M806" s="1" t="n">
        <v>45244.92</v>
      </c>
      <c r="N806" s="1" t="s">
        <v>52</v>
      </c>
      <c r="O806" s="1" t="s">
        <v>265</v>
      </c>
      <c r="P806" s="1" t="n">
        <v>2</v>
      </c>
      <c r="Q806" s="1" t="s">
        <v>42</v>
      </c>
      <c r="R806" s="1" t="s">
        <v>140</v>
      </c>
    </row>
    <row r="807" customFormat="false" ht="14.25" hidden="false" customHeight="true" outlineLevel="0" collapsed="false">
      <c r="A807" s="1" t="s">
        <v>2626</v>
      </c>
      <c r="B807" s="1" t="s">
        <v>2627</v>
      </c>
      <c r="C807" s="1" t="s">
        <v>516</v>
      </c>
      <c r="D807" s="1" t="s">
        <v>418</v>
      </c>
      <c r="E807" s="6" t="n">
        <v>46187</v>
      </c>
      <c r="F807" s="6" t="n">
        <v>46185</v>
      </c>
      <c r="G807" s="1" t="s">
        <v>49</v>
      </c>
      <c r="H807" s="1" t="s">
        <v>2628</v>
      </c>
      <c r="I807" s="1" t="s">
        <v>2629</v>
      </c>
      <c r="J807" s="1" t="n">
        <v>39742.7</v>
      </c>
      <c r="K807" s="1" t="n">
        <v>35210.97</v>
      </c>
      <c r="L807" s="1" t="n">
        <v>29530.66</v>
      </c>
      <c r="M807" s="1" t="n">
        <v>5680.31</v>
      </c>
      <c r="N807" s="1" t="s">
        <v>41</v>
      </c>
      <c r="P807" s="1" t="n">
        <v>8</v>
      </c>
      <c r="Q807" s="1" t="s">
        <v>63</v>
      </c>
      <c r="R807" s="1" t="s">
        <v>140</v>
      </c>
      <c r="S807" s="6" t="n">
        <v>46195</v>
      </c>
    </row>
    <row r="808" customFormat="false" ht="14.25" hidden="false" customHeight="true" outlineLevel="0" collapsed="false">
      <c r="A808" s="1" t="s">
        <v>2630</v>
      </c>
      <c r="B808" s="1" t="s">
        <v>1621</v>
      </c>
      <c r="C808" s="1" t="s">
        <v>182</v>
      </c>
      <c r="D808" s="1" t="s">
        <v>331</v>
      </c>
      <c r="E808" s="6" t="n">
        <v>46156</v>
      </c>
      <c r="F808" s="6" t="n">
        <v>46154</v>
      </c>
      <c r="G808" s="1" t="s">
        <v>38</v>
      </c>
      <c r="H808" s="1" t="s">
        <v>1752</v>
      </c>
      <c r="I808" s="1" t="s">
        <v>2631</v>
      </c>
      <c r="J808" s="1" t="n">
        <v>45261.85</v>
      </c>
      <c r="K808" s="1" t="n">
        <v>29738.54</v>
      </c>
      <c r="L808" s="1" t="n">
        <v>0</v>
      </c>
      <c r="M808" s="1" t="n">
        <v>29738.54</v>
      </c>
      <c r="N808" s="1" t="s">
        <v>260</v>
      </c>
      <c r="P808" s="1" t="n">
        <v>6</v>
      </c>
      <c r="Q808" s="1" t="s">
        <v>63</v>
      </c>
      <c r="R808" s="1" t="s">
        <v>43</v>
      </c>
    </row>
    <row r="809" customFormat="false" ht="14.25" hidden="false" customHeight="true" outlineLevel="0" collapsed="false">
      <c r="A809" s="1" t="s">
        <v>2632</v>
      </c>
      <c r="B809" s="1" t="s">
        <v>1703</v>
      </c>
      <c r="C809" s="1" t="s">
        <v>468</v>
      </c>
      <c r="D809" s="1" t="s">
        <v>152</v>
      </c>
      <c r="E809" s="6" t="n">
        <v>46135</v>
      </c>
      <c r="F809" s="6" t="n">
        <v>46133</v>
      </c>
      <c r="G809" s="1" t="s">
        <v>38</v>
      </c>
      <c r="H809" s="1" t="s">
        <v>1881</v>
      </c>
      <c r="I809" s="1" t="s">
        <v>2633</v>
      </c>
      <c r="J809" s="1" t="n">
        <v>37624.88</v>
      </c>
      <c r="K809" s="1" t="n">
        <v>33031.99</v>
      </c>
      <c r="L809" s="1" t="n">
        <v>28556.88</v>
      </c>
      <c r="M809" s="1" t="n">
        <v>4475.11</v>
      </c>
      <c r="N809" s="1" t="s">
        <v>41</v>
      </c>
      <c r="P809" s="1" t="n">
        <v>2</v>
      </c>
      <c r="Q809" s="1" t="s">
        <v>42</v>
      </c>
      <c r="R809" s="1" t="s">
        <v>64</v>
      </c>
      <c r="S809" s="6" t="n">
        <v>46137</v>
      </c>
    </row>
    <row r="810" customFormat="false" ht="14.25" hidden="false" customHeight="true" outlineLevel="0" collapsed="false">
      <c r="A810" s="1" t="s">
        <v>2634</v>
      </c>
      <c r="B810" s="1" t="s">
        <v>979</v>
      </c>
      <c r="C810" s="1" t="s">
        <v>215</v>
      </c>
      <c r="D810" s="1" t="s">
        <v>257</v>
      </c>
      <c r="E810" s="6" t="n">
        <v>46029</v>
      </c>
      <c r="F810" s="6" t="n">
        <v>46027</v>
      </c>
      <c r="G810" s="1" t="s">
        <v>49</v>
      </c>
      <c r="H810" s="1" t="s">
        <v>1716</v>
      </c>
      <c r="I810" s="1" t="s">
        <v>2635</v>
      </c>
      <c r="J810" s="1" t="n">
        <v>45274.47</v>
      </c>
      <c r="K810" s="1" t="n">
        <v>34589.93</v>
      </c>
      <c r="L810" s="1" t="n">
        <v>26253.61</v>
      </c>
      <c r="M810" s="1" t="n">
        <v>8336.32</v>
      </c>
      <c r="N810" s="1" t="s">
        <v>41</v>
      </c>
      <c r="P810" s="1" t="n">
        <v>5</v>
      </c>
      <c r="Q810" s="1" t="s">
        <v>155</v>
      </c>
      <c r="R810" s="1" t="s">
        <v>102</v>
      </c>
      <c r="S810" s="6" t="n">
        <v>46034</v>
      </c>
    </row>
    <row r="811" customFormat="false" ht="14.25" hidden="false" customHeight="true" outlineLevel="0" collapsed="false">
      <c r="A811" s="1" t="s">
        <v>2636</v>
      </c>
      <c r="B811" s="1" t="s">
        <v>2637</v>
      </c>
      <c r="C811" s="1" t="s">
        <v>115</v>
      </c>
      <c r="D811" s="1" t="s">
        <v>501</v>
      </c>
      <c r="E811" s="6" t="n">
        <v>46209</v>
      </c>
      <c r="F811" s="6" t="n">
        <v>46207</v>
      </c>
      <c r="G811" s="1" t="s">
        <v>108</v>
      </c>
      <c r="H811" s="1" t="s">
        <v>973</v>
      </c>
      <c r="I811" s="1" t="s">
        <v>2638</v>
      </c>
      <c r="J811" s="1" t="n">
        <v>24697.11</v>
      </c>
      <c r="K811" s="1" t="n">
        <v>18028.93</v>
      </c>
      <c r="L811" s="1" t="n">
        <v>17638.41</v>
      </c>
      <c r="M811" s="1" t="n">
        <v>390.52</v>
      </c>
      <c r="N811" s="1" t="s">
        <v>41</v>
      </c>
      <c r="P811" s="1" t="n">
        <v>2</v>
      </c>
      <c r="Q811" s="1" t="s">
        <v>155</v>
      </c>
      <c r="R811" s="1" t="s">
        <v>140</v>
      </c>
      <c r="S811" s="6" t="n">
        <v>46211</v>
      </c>
    </row>
    <row r="812" customFormat="false" ht="14.25" hidden="false" customHeight="true" outlineLevel="0" collapsed="false">
      <c r="A812" s="1" t="s">
        <v>2639</v>
      </c>
      <c r="B812" s="1" t="s">
        <v>1311</v>
      </c>
      <c r="C812" s="1" t="s">
        <v>623</v>
      </c>
      <c r="D812" s="1" t="s">
        <v>305</v>
      </c>
      <c r="E812" s="6" t="n">
        <v>46043</v>
      </c>
      <c r="F812" s="6" t="n">
        <v>46042</v>
      </c>
      <c r="G812" s="1" t="s">
        <v>70</v>
      </c>
      <c r="H812" s="1" t="s">
        <v>1632</v>
      </c>
      <c r="I812" s="1" t="s">
        <v>2640</v>
      </c>
      <c r="J812" s="1" t="n">
        <v>8123.3</v>
      </c>
      <c r="K812" s="1" t="n">
        <v>7233.29</v>
      </c>
      <c r="L812" s="1" t="n">
        <v>6833.43</v>
      </c>
      <c r="M812" s="1" t="n">
        <v>399.86</v>
      </c>
      <c r="N812" s="1" t="s">
        <v>41</v>
      </c>
      <c r="P812" s="1" t="n">
        <v>2</v>
      </c>
      <c r="Q812" s="1" t="s">
        <v>155</v>
      </c>
      <c r="R812" s="1" t="s">
        <v>64</v>
      </c>
      <c r="S812" s="6" t="n">
        <v>46045</v>
      </c>
    </row>
    <row r="813" customFormat="false" ht="14.25" hidden="false" customHeight="true" outlineLevel="0" collapsed="false">
      <c r="A813" s="1" t="s">
        <v>2641</v>
      </c>
      <c r="B813" s="1" t="s">
        <v>928</v>
      </c>
      <c r="C813" s="1" t="s">
        <v>182</v>
      </c>
      <c r="D813" s="1" t="s">
        <v>59</v>
      </c>
      <c r="E813" s="6" t="n">
        <v>46186</v>
      </c>
      <c r="F813" s="6" t="n">
        <v>46183</v>
      </c>
      <c r="G813" s="1" t="s">
        <v>38</v>
      </c>
      <c r="H813" s="1" t="s">
        <v>297</v>
      </c>
      <c r="I813" s="1" t="s">
        <v>2642</v>
      </c>
      <c r="J813" s="1" t="n">
        <v>16879.58</v>
      </c>
      <c r="K813" s="1" t="n">
        <v>14338.89</v>
      </c>
      <c r="L813" s="1" t="n">
        <v>0</v>
      </c>
      <c r="M813" s="1" t="n">
        <v>14338.89</v>
      </c>
      <c r="N813" s="1" t="s">
        <v>111</v>
      </c>
      <c r="P813" s="1" t="n">
        <v>13</v>
      </c>
      <c r="Q813" s="1" t="s">
        <v>155</v>
      </c>
      <c r="R813" s="1" t="s">
        <v>54</v>
      </c>
    </row>
    <row r="814" customFormat="false" ht="14.25" hidden="false" customHeight="true" outlineLevel="0" collapsed="false">
      <c r="A814" s="1" t="s">
        <v>2643</v>
      </c>
      <c r="B814" s="1" t="s">
        <v>825</v>
      </c>
      <c r="C814" s="1" t="s">
        <v>386</v>
      </c>
      <c r="D814" s="1" t="s">
        <v>320</v>
      </c>
      <c r="E814" s="6" t="n">
        <v>46206</v>
      </c>
      <c r="F814" s="6" t="n">
        <v>46206</v>
      </c>
      <c r="G814" s="1" t="s">
        <v>38</v>
      </c>
      <c r="H814" s="1" t="s">
        <v>447</v>
      </c>
      <c r="I814" s="1" t="s">
        <v>2644</v>
      </c>
      <c r="J814" s="1" t="n">
        <v>39683.84</v>
      </c>
      <c r="K814" s="1" t="n">
        <v>28569.3</v>
      </c>
      <c r="L814" s="1" t="n">
        <v>21784.08</v>
      </c>
      <c r="M814" s="1" t="n">
        <v>6785.22</v>
      </c>
      <c r="N814" s="1" t="s">
        <v>41</v>
      </c>
      <c r="P814" s="1" t="n">
        <v>2</v>
      </c>
      <c r="Q814" s="1" t="s">
        <v>42</v>
      </c>
      <c r="R814" s="1" t="s">
        <v>43</v>
      </c>
      <c r="S814" s="6" t="n">
        <v>46208</v>
      </c>
    </row>
    <row r="815" customFormat="false" ht="14.25" hidden="false" customHeight="true" outlineLevel="0" collapsed="false">
      <c r="A815" s="1" t="s">
        <v>2645</v>
      </c>
      <c r="B815" s="1" t="s">
        <v>1108</v>
      </c>
      <c r="C815" s="1" t="s">
        <v>68</v>
      </c>
      <c r="D815" s="1" t="s">
        <v>48</v>
      </c>
      <c r="E815" s="6" t="n">
        <v>46182</v>
      </c>
      <c r="F815" s="6" t="n">
        <v>46177</v>
      </c>
      <c r="G815" s="1" t="s">
        <v>108</v>
      </c>
      <c r="H815" s="1" t="s">
        <v>2646</v>
      </c>
      <c r="I815" s="1" t="s">
        <v>2647</v>
      </c>
      <c r="J815" s="1" t="n">
        <v>14759.14</v>
      </c>
      <c r="K815" s="1" t="n">
        <v>12587.3</v>
      </c>
      <c r="L815" s="1" t="n">
        <v>12162.5</v>
      </c>
      <c r="M815" s="1" t="n">
        <v>424.8</v>
      </c>
      <c r="N815" s="1" t="s">
        <v>41</v>
      </c>
      <c r="P815" s="1" t="n">
        <v>1</v>
      </c>
      <c r="Q815" s="1" t="s">
        <v>155</v>
      </c>
      <c r="R815" s="1" t="s">
        <v>102</v>
      </c>
      <c r="S815" s="6" t="n">
        <v>46183</v>
      </c>
    </row>
    <row r="816" customFormat="false" ht="14.25" hidden="false" customHeight="true" outlineLevel="0" collapsed="false">
      <c r="A816" s="1" t="s">
        <v>2648</v>
      </c>
      <c r="B816" s="1" t="s">
        <v>814</v>
      </c>
      <c r="C816" s="1" t="s">
        <v>386</v>
      </c>
      <c r="D816" s="1" t="s">
        <v>1029</v>
      </c>
      <c r="E816" s="6" t="n">
        <v>46063</v>
      </c>
      <c r="F816" s="6" t="n">
        <v>46059</v>
      </c>
      <c r="G816" s="1" t="s">
        <v>38</v>
      </c>
      <c r="H816" s="1" t="s">
        <v>2276</v>
      </c>
      <c r="I816" s="1" t="s">
        <v>1258</v>
      </c>
      <c r="J816" s="1" t="n">
        <v>9872.61</v>
      </c>
      <c r="K816" s="1" t="n">
        <v>6784.49</v>
      </c>
      <c r="L816" s="1" t="n">
        <v>6380.25</v>
      </c>
      <c r="M816" s="1" t="n">
        <v>404.24</v>
      </c>
      <c r="N816" s="1" t="s">
        <v>41</v>
      </c>
      <c r="P816" s="1" t="n">
        <v>4</v>
      </c>
      <c r="Q816" s="1" t="s">
        <v>42</v>
      </c>
      <c r="R816" s="1" t="s">
        <v>125</v>
      </c>
      <c r="S816" s="6" t="n">
        <v>46067</v>
      </c>
    </row>
    <row r="817" customFormat="false" ht="14.25" hidden="false" customHeight="true" outlineLevel="0" collapsed="false">
      <c r="A817" s="1" t="s">
        <v>2649</v>
      </c>
      <c r="B817" s="1" t="s">
        <v>1452</v>
      </c>
      <c r="C817" s="1" t="s">
        <v>356</v>
      </c>
      <c r="D817" s="1" t="s">
        <v>964</v>
      </c>
      <c r="E817" s="6" t="n">
        <v>46176</v>
      </c>
      <c r="F817" s="6" t="n">
        <v>46174</v>
      </c>
      <c r="G817" s="1" t="s">
        <v>38</v>
      </c>
      <c r="H817" s="1" t="s">
        <v>2650</v>
      </c>
      <c r="I817" s="1" t="s">
        <v>2651</v>
      </c>
      <c r="J817" s="1" t="n">
        <v>25579.4</v>
      </c>
      <c r="K817" s="1" t="n">
        <v>18816.74</v>
      </c>
      <c r="L817" s="1" t="n">
        <v>0</v>
      </c>
      <c r="M817" s="1" t="n">
        <v>18816.74</v>
      </c>
      <c r="N817" s="1" t="s">
        <v>111</v>
      </c>
      <c r="P817" s="1" t="n">
        <v>10</v>
      </c>
      <c r="Q817" s="1" t="s">
        <v>42</v>
      </c>
      <c r="R817" s="1" t="s">
        <v>74</v>
      </c>
    </row>
    <row r="818" customFormat="false" ht="14.25" hidden="false" customHeight="true" outlineLevel="0" collapsed="false">
      <c r="A818" s="1" t="s">
        <v>2652</v>
      </c>
      <c r="B818" s="1" t="s">
        <v>450</v>
      </c>
      <c r="C818" s="1" t="s">
        <v>436</v>
      </c>
      <c r="D818" s="1" t="s">
        <v>865</v>
      </c>
      <c r="E818" s="6" t="n">
        <v>46089</v>
      </c>
      <c r="F818" s="6" t="n">
        <v>46087</v>
      </c>
      <c r="G818" s="1" t="s">
        <v>49</v>
      </c>
      <c r="H818" s="1" t="s">
        <v>914</v>
      </c>
      <c r="I818" s="1" t="s">
        <v>2653</v>
      </c>
      <c r="J818" s="1" t="n">
        <v>3700.34</v>
      </c>
      <c r="K818" s="1" t="n">
        <v>2474.92</v>
      </c>
      <c r="L818" s="1" t="n">
        <v>0</v>
      </c>
      <c r="M818" s="1" t="n">
        <v>2474.92</v>
      </c>
      <c r="N818" s="1" t="s">
        <v>52</v>
      </c>
      <c r="O818" s="1" t="s">
        <v>53</v>
      </c>
      <c r="P818" s="1" t="n">
        <v>6</v>
      </c>
      <c r="Q818" s="1" t="s">
        <v>63</v>
      </c>
      <c r="R818" s="1" t="s">
        <v>64</v>
      </c>
    </row>
    <row r="819" customFormat="false" ht="14.25" hidden="false" customHeight="true" outlineLevel="0" collapsed="false">
      <c r="A819" s="1" t="s">
        <v>2654</v>
      </c>
      <c r="B819" s="1" t="s">
        <v>682</v>
      </c>
      <c r="C819" s="1" t="s">
        <v>623</v>
      </c>
      <c r="D819" s="1" t="s">
        <v>520</v>
      </c>
      <c r="E819" s="6" t="n">
        <v>46222</v>
      </c>
      <c r="F819" s="6" t="n">
        <v>46220</v>
      </c>
      <c r="G819" s="1" t="s">
        <v>49</v>
      </c>
      <c r="H819" s="1" t="s">
        <v>2655</v>
      </c>
      <c r="I819" s="1" t="s">
        <v>2656</v>
      </c>
      <c r="J819" s="1" t="n">
        <v>30472.59</v>
      </c>
      <c r="K819" s="1" t="n">
        <v>28576.85</v>
      </c>
      <c r="L819" s="1" t="n">
        <v>0</v>
      </c>
      <c r="M819" s="1" t="n">
        <v>28576.85</v>
      </c>
      <c r="N819" s="1" t="s">
        <v>111</v>
      </c>
      <c r="P819" s="1" t="n">
        <v>13</v>
      </c>
      <c r="Q819" s="1" t="s">
        <v>63</v>
      </c>
      <c r="R819" s="1" t="s">
        <v>43</v>
      </c>
    </row>
    <row r="820" customFormat="false" ht="14.25" hidden="false" customHeight="true" outlineLevel="0" collapsed="false">
      <c r="A820" s="1" t="s">
        <v>2657</v>
      </c>
      <c r="B820" s="1" t="s">
        <v>1896</v>
      </c>
      <c r="C820" s="1" t="s">
        <v>136</v>
      </c>
      <c r="D820" s="1" t="s">
        <v>391</v>
      </c>
      <c r="E820" s="6" t="n">
        <v>46102</v>
      </c>
      <c r="F820" s="6" t="n">
        <v>46099</v>
      </c>
      <c r="G820" s="1" t="s">
        <v>49</v>
      </c>
      <c r="H820" s="1" t="s">
        <v>612</v>
      </c>
      <c r="I820" s="1" t="s">
        <v>2658</v>
      </c>
      <c r="J820" s="1" t="n">
        <v>49955.32</v>
      </c>
      <c r="K820" s="1" t="n">
        <v>35322.68</v>
      </c>
      <c r="L820" s="1" t="n">
        <v>31677.64</v>
      </c>
      <c r="M820" s="1" t="n">
        <v>3645.04</v>
      </c>
      <c r="N820" s="1" t="s">
        <v>41</v>
      </c>
      <c r="P820" s="1" t="n">
        <v>1</v>
      </c>
      <c r="Q820" s="1" t="s">
        <v>63</v>
      </c>
      <c r="R820" s="1" t="s">
        <v>125</v>
      </c>
      <c r="S820" s="6" t="n">
        <v>46103</v>
      </c>
    </row>
    <row r="821" customFormat="false" ht="14.25" hidden="false" customHeight="true" outlineLevel="0" collapsed="false">
      <c r="A821" s="1" t="s">
        <v>2659</v>
      </c>
      <c r="B821" s="1" t="s">
        <v>1177</v>
      </c>
      <c r="C821" s="1" t="s">
        <v>335</v>
      </c>
      <c r="D821" s="1" t="s">
        <v>320</v>
      </c>
      <c r="E821" s="6" t="n">
        <v>46144</v>
      </c>
      <c r="F821" s="6" t="n">
        <v>46141</v>
      </c>
      <c r="G821" s="1" t="s">
        <v>38</v>
      </c>
      <c r="H821" s="1" t="s">
        <v>1958</v>
      </c>
      <c r="I821" s="1" t="s">
        <v>2660</v>
      </c>
      <c r="J821" s="1" t="n">
        <v>37024.03</v>
      </c>
      <c r="K821" s="1" t="n">
        <v>28348.16</v>
      </c>
      <c r="L821" s="1" t="n">
        <v>27991.21</v>
      </c>
      <c r="M821" s="1" t="n">
        <v>356.95</v>
      </c>
      <c r="N821" s="1" t="s">
        <v>41</v>
      </c>
      <c r="P821" s="1" t="n">
        <v>3</v>
      </c>
      <c r="Q821" s="1" t="s">
        <v>155</v>
      </c>
      <c r="R821" s="1" t="s">
        <v>43</v>
      </c>
      <c r="S821" s="6" t="n">
        <v>46147</v>
      </c>
    </row>
    <row r="822" customFormat="false" ht="14.25" hidden="false" customHeight="true" outlineLevel="0" collapsed="false">
      <c r="A822" s="1" t="s">
        <v>2661</v>
      </c>
      <c r="B822" s="1" t="s">
        <v>2627</v>
      </c>
      <c r="C822" s="1" t="s">
        <v>106</v>
      </c>
      <c r="D822" s="1" t="s">
        <v>69</v>
      </c>
      <c r="E822" s="6" t="n">
        <v>46230</v>
      </c>
      <c r="F822" s="6" t="n">
        <v>46225</v>
      </c>
      <c r="G822" s="1" t="s">
        <v>38</v>
      </c>
      <c r="H822" s="1" t="s">
        <v>1100</v>
      </c>
      <c r="I822" s="1" t="s">
        <v>2662</v>
      </c>
      <c r="J822" s="1" t="n">
        <v>7976.41</v>
      </c>
      <c r="K822" s="1" t="n">
        <v>7448.47</v>
      </c>
      <c r="L822" s="1" t="n">
        <v>0</v>
      </c>
      <c r="M822" s="1" t="n">
        <v>7448.47</v>
      </c>
      <c r="N822" s="1" t="s">
        <v>52</v>
      </c>
      <c r="O822" s="1" t="s">
        <v>53</v>
      </c>
      <c r="P822" s="1" t="n">
        <v>4</v>
      </c>
      <c r="Q822" s="1" t="s">
        <v>155</v>
      </c>
      <c r="R822" s="1" t="s">
        <v>54</v>
      </c>
    </row>
    <row r="823" customFormat="false" ht="14.25" hidden="false" customHeight="true" outlineLevel="0" collapsed="false">
      <c r="A823" s="1" t="s">
        <v>2663</v>
      </c>
      <c r="B823" s="1" t="s">
        <v>542</v>
      </c>
      <c r="C823" s="1" t="s">
        <v>446</v>
      </c>
      <c r="D823" s="1" t="s">
        <v>222</v>
      </c>
      <c r="E823" s="6" t="n">
        <v>46153</v>
      </c>
      <c r="F823" s="6" t="n">
        <v>46150</v>
      </c>
      <c r="G823" s="1" t="s">
        <v>49</v>
      </c>
      <c r="H823" s="1" t="s">
        <v>235</v>
      </c>
      <c r="I823" s="1" t="s">
        <v>2664</v>
      </c>
      <c r="J823" s="1" t="n">
        <v>41574.02</v>
      </c>
      <c r="K823" s="1" t="n">
        <v>37672.07</v>
      </c>
      <c r="L823" s="1" t="n">
        <v>30869.15</v>
      </c>
      <c r="M823" s="1" t="n">
        <v>6802.92</v>
      </c>
      <c r="N823" s="1" t="s">
        <v>41</v>
      </c>
      <c r="P823" s="1" t="n">
        <v>4</v>
      </c>
      <c r="Q823" s="1" t="s">
        <v>155</v>
      </c>
      <c r="R823" s="1" t="s">
        <v>43</v>
      </c>
      <c r="S823" s="6" t="n">
        <v>46157</v>
      </c>
    </row>
    <row r="824" customFormat="false" ht="14.25" hidden="false" customHeight="true" outlineLevel="0" collapsed="false">
      <c r="A824" s="1" t="s">
        <v>2665</v>
      </c>
      <c r="B824" s="1" t="s">
        <v>366</v>
      </c>
      <c r="C824" s="1" t="s">
        <v>198</v>
      </c>
      <c r="D824" s="1" t="s">
        <v>234</v>
      </c>
      <c r="E824" s="6" t="n">
        <v>46193</v>
      </c>
      <c r="F824" s="6" t="n">
        <v>46193</v>
      </c>
      <c r="G824" s="1" t="s">
        <v>49</v>
      </c>
      <c r="H824" s="1" t="s">
        <v>2666</v>
      </c>
      <c r="I824" s="1" t="s">
        <v>2667</v>
      </c>
      <c r="J824" s="1" t="n">
        <v>5747.57</v>
      </c>
      <c r="K824" s="1" t="n">
        <v>5379.07</v>
      </c>
      <c r="L824" s="1" t="n">
        <v>4983.74</v>
      </c>
      <c r="M824" s="1" t="n">
        <v>395.33</v>
      </c>
      <c r="N824" s="1" t="s">
        <v>41</v>
      </c>
      <c r="P824" s="1" t="n">
        <v>5</v>
      </c>
      <c r="Q824" s="1" t="s">
        <v>63</v>
      </c>
      <c r="R824" s="1" t="s">
        <v>43</v>
      </c>
      <c r="S824" s="6" t="n">
        <v>46198</v>
      </c>
    </row>
    <row r="825" customFormat="false" ht="14.25" hidden="false" customHeight="true" outlineLevel="0" collapsed="false">
      <c r="A825" s="1" t="s">
        <v>2668</v>
      </c>
      <c r="B825" s="1" t="s">
        <v>314</v>
      </c>
      <c r="C825" s="1" t="s">
        <v>516</v>
      </c>
      <c r="D825" s="1" t="s">
        <v>177</v>
      </c>
      <c r="E825" s="6" t="n">
        <v>46028</v>
      </c>
      <c r="F825" s="6" t="n">
        <v>46026</v>
      </c>
      <c r="G825" s="1" t="s">
        <v>38</v>
      </c>
      <c r="H825" s="1" t="s">
        <v>2669</v>
      </c>
      <c r="I825" s="1" t="s">
        <v>2670</v>
      </c>
      <c r="J825" s="1" t="n">
        <v>17259.74</v>
      </c>
      <c r="K825" s="1" t="n">
        <v>12827.16</v>
      </c>
      <c r="L825" s="1" t="n">
        <v>0</v>
      </c>
      <c r="M825" s="1" t="n">
        <v>12827.16</v>
      </c>
      <c r="N825" s="1" t="s">
        <v>111</v>
      </c>
      <c r="P825" s="1" t="n">
        <v>13</v>
      </c>
      <c r="Q825" s="1" t="s">
        <v>63</v>
      </c>
      <c r="R825" s="1" t="s">
        <v>74</v>
      </c>
    </row>
    <row r="826" customFormat="false" ht="14.25" hidden="false" customHeight="true" outlineLevel="0" collapsed="false">
      <c r="A826" s="1" t="s">
        <v>2671</v>
      </c>
      <c r="B826" s="1" t="s">
        <v>67</v>
      </c>
      <c r="C826" s="1" t="s">
        <v>58</v>
      </c>
      <c r="D826" s="1" t="s">
        <v>274</v>
      </c>
      <c r="E826" s="6" t="n">
        <v>46123</v>
      </c>
      <c r="F826" s="6" t="n">
        <v>46118</v>
      </c>
      <c r="G826" s="1" t="s">
        <v>38</v>
      </c>
      <c r="H826" s="1" t="s">
        <v>288</v>
      </c>
      <c r="I826" s="1" t="s">
        <v>2672</v>
      </c>
      <c r="J826" s="1" t="n">
        <v>18793.59</v>
      </c>
      <c r="K826" s="1" t="n">
        <v>17687.2</v>
      </c>
      <c r="L826" s="1" t="n">
        <v>0</v>
      </c>
      <c r="M826" s="1" t="n">
        <v>17687.2</v>
      </c>
      <c r="N826" s="1" t="s">
        <v>52</v>
      </c>
      <c r="O826" s="1" t="s">
        <v>53</v>
      </c>
      <c r="P826" s="1" t="n">
        <v>2</v>
      </c>
      <c r="Q826" s="1" t="s">
        <v>42</v>
      </c>
      <c r="R826" s="1" t="s">
        <v>140</v>
      </c>
    </row>
    <row r="827" customFormat="false" ht="14.25" hidden="false" customHeight="true" outlineLevel="0" collapsed="false">
      <c r="A827" s="1" t="s">
        <v>2673</v>
      </c>
      <c r="B827" s="1" t="s">
        <v>197</v>
      </c>
      <c r="C827" s="1" t="s">
        <v>221</v>
      </c>
      <c r="D827" s="1" t="s">
        <v>732</v>
      </c>
      <c r="E827" s="6" t="n">
        <v>46108</v>
      </c>
      <c r="F827" s="6" t="n">
        <v>46103</v>
      </c>
      <c r="G827" s="1" t="s">
        <v>38</v>
      </c>
      <c r="H827" s="1" t="s">
        <v>2521</v>
      </c>
      <c r="I827" s="1" t="s">
        <v>2674</v>
      </c>
      <c r="J827" s="1" t="n">
        <v>48640.13</v>
      </c>
      <c r="K827" s="1" t="n">
        <v>43097.19</v>
      </c>
      <c r="L827" s="1" t="n">
        <v>0</v>
      </c>
      <c r="M827" s="1" t="n">
        <v>43097.19</v>
      </c>
      <c r="N827" s="1" t="s">
        <v>52</v>
      </c>
      <c r="O827" s="1" t="s">
        <v>73</v>
      </c>
      <c r="P827" s="1" t="n">
        <v>6</v>
      </c>
      <c r="Q827" s="1" t="s">
        <v>42</v>
      </c>
      <c r="R827" s="1" t="s">
        <v>64</v>
      </c>
    </row>
    <row r="828" customFormat="false" ht="14.25" hidden="false" customHeight="true" outlineLevel="0" collapsed="false">
      <c r="A828" s="1" t="s">
        <v>2675</v>
      </c>
      <c r="B828" s="1" t="s">
        <v>440</v>
      </c>
      <c r="C828" s="1" t="s">
        <v>92</v>
      </c>
      <c r="D828" s="1" t="s">
        <v>107</v>
      </c>
      <c r="E828" s="6" t="n">
        <v>46180</v>
      </c>
      <c r="F828" s="6" t="n">
        <v>46179</v>
      </c>
      <c r="G828" s="1" t="s">
        <v>38</v>
      </c>
      <c r="H828" s="1" t="s">
        <v>691</v>
      </c>
      <c r="I828" s="1" t="s">
        <v>2676</v>
      </c>
      <c r="J828" s="1" t="n">
        <v>12830.4</v>
      </c>
      <c r="K828" s="1" t="n">
        <v>10507.96</v>
      </c>
      <c r="L828" s="1" t="n">
        <v>0</v>
      </c>
      <c r="M828" s="1" t="n">
        <v>10507.96</v>
      </c>
      <c r="N828" s="1" t="s">
        <v>52</v>
      </c>
      <c r="O828" s="1" t="s">
        <v>230</v>
      </c>
      <c r="P828" s="1" t="n">
        <v>1</v>
      </c>
      <c r="Q828" s="1" t="s">
        <v>155</v>
      </c>
      <c r="R828" s="1" t="s">
        <v>64</v>
      </c>
    </row>
    <row r="829" customFormat="false" ht="14.25" hidden="false" customHeight="true" outlineLevel="0" collapsed="false">
      <c r="A829" s="1" t="s">
        <v>2677</v>
      </c>
      <c r="B829" s="1" t="s">
        <v>1090</v>
      </c>
      <c r="C829" s="1" t="s">
        <v>300</v>
      </c>
      <c r="D829" s="1" t="s">
        <v>107</v>
      </c>
      <c r="E829" s="6" t="n">
        <v>46151</v>
      </c>
      <c r="F829" s="6" t="n">
        <v>46148</v>
      </c>
      <c r="G829" s="1" t="s">
        <v>38</v>
      </c>
      <c r="H829" s="1" t="s">
        <v>2678</v>
      </c>
      <c r="I829" s="1" t="s">
        <v>2679</v>
      </c>
      <c r="J829" s="1" t="n">
        <v>44600.07</v>
      </c>
      <c r="K829" s="1" t="n">
        <v>41811.75</v>
      </c>
      <c r="L829" s="1" t="n">
        <v>0</v>
      </c>
      <c r="M829" s="1" t="n">
        <v>41811.75</v>
      </c>
      <c r="N829" s="1" t="s">
        <v>111</v>
      </c>
      <c r="P829" s="1" t="n">
        <v>8</v>
      </c>
      <c r="Q829" s="1" t="s">
        <v>42</v>
      </c>
      <c r="R829" s="1" t="s">
        <v>140</v>
      </c>
    </row>
    <row r="830" customFormat="false" ht="14.25" hidden="false" customHeight="true" outlineLevel="0" collapsed="false">
      <c r="A830" s="1" t="s">
        <v>2680</v>
      </c>
      <c r="B830" s="1" t="s">
        <v>330</v>
      </c>
      <c r="C830" s="1" t="s">
        <v>296</v>
      </c>
      <c r="D830" s="1" t="s">
        <v>595</v>
      </c>
      <c r="E830" s="6" t="n">
        <v>46116</v>
      </c>
      <c r="F830" s="6" t="n">
        <v>46116</v>
      </c>
      <c r="G830" s="1" t="s">
        <v>70</v>
      </c>
      <c r="H830" s="1" t="s">
        <v>997</v>
      </c>
      <c r="I830" s="1" t="s">
        <v>2681</v>
      </c>
      <c r="J830" s="1" t="n">
        <v>11555</v>
      </c>
      <c r="K830" s="1" t="n">
        <v>7521.33</v>
      </c>
      <c r="L830" s="1" t="n">
        <v>6310.71</v>
      </c>
      <c r="M830" s="1" t="n">
        <v>1210.62</v>
      </c>
      <c r="N830" s="1" t="s">
        <v>41</v>
      </c>
      <c r="P830" s="1" t="n">
        <v>8</v>
      </c>
      <c r="Q830" s="1" t="s">
        <v>42</v>
      </c>
      <c r="R830" s="1" t="s">
        <v>64</v>
      </c>
      <c r="S830" s="6" t="n">
        <v>46124</v>
      </c>
    </row>
    <row r="831" customFormat="false" ht="14.25" hidden="false" customHeight="true" outlineLevel="0" collapsed="false">
      <c r="A831" s="1" t="s">
        <v>2682</v>
      </c>
      <c r="B831" s="1" t="s">
        <v>1466</v>
      </c>
      <c r="C831" s="1" t="s">
        <v>233</v>
      </c>
      <c r="D831" s="1" t="s">
        <v>48</v>
      </c>
      <c r="E831" s="6" t="n">
        <v>46079</v>
      </c>
      <c r="F831" s="6" t="n">
        <v>46074</v>
      </c>
      <c r="G831" s="1" t="s">
        <v>70</v>
      </c>
      <c r="H831" s="1" t="s">
        <v>506</v>
      </c>
      <c r="I831" s="1" t="s">
        <v>2683</v>
      </c>
      <c r="J831" s="1" t="n">
        <v>46223.6</v>
      </c>
      <c r="K831" s="1" t="n">
        <v>38436.05</v>
      </c>
      <c r="L831" s="1" t="n">
        <v>31667.65</v>
      </c>
      <c r="M831" s="1" t="n">
        <v>6768.4</v>
      </c>
      <c r="N831" s="1" t="s">
        <v>41</v>
      </c>
      <c r="P831" s="1" t="n">
        <v>1</v>
      </c>
      <c r="Q831" s="1" t="s">
        <v>63</v>
      </c>
      <c r="R831" s="1" t="s">
        <v>74</v>
      </c>
      <c r="S831" s="6" t="n">
        <v>46080</v>
      </c>
    </row>
    <row r="832" customFormat="false" ht="14.25" hidden="false" customHeight="true" outlineLevel="0" collapsed="false">
      <c r="A832" s="1" t="s">
        <v>2684</v>
      </c>
      <c r="B832" s="1" t="s">
        <v>586</v>
      </c>
      <c r="C832" s="1" t="s">
        <v>58</v>
      </c>
      <c r="D832" s="1" t="s">
        <v>391</v>
      </c>
      <c r="E832" s="6" t="n">
        <v>46232</v>
      </c>
      <c r="F832" s="6" t="n">
        <v>46232</v>
      </c>
      <c r="G832" s="1" t="s">
        <v>38</v>
      </c>
      <c r="H832" s="1" t="s">
        <v>2685</v>
      </c>
      <c r="I832" s="1" t="s">
        <v>2686</v>
      </c>
      <c r="J832" s="1" t="n">
        <v>10609.88</v>
      </c>
      <c r="K832" s="1" t="n">
        <v>7838.91</v>
      </c>
      <c r="L832" s="1" t="n">
        <v>5935.66</v>
      </c>
      <c r="M832" s="1" t="n">
        <v>1903.25</v>
      </c>
      <c r="N832" s="1" t="s">
        <v>41</v>
      </c>
      <c r="P832" s="1" t="n">
        <v>7</v>
      </c>
      <c r="Q832" s="1" t="s">
        <v>42</v>
      </c>
      <c r="R832" s="1" t="s">
        <v>140</v>
      </c>
      <c r="S832" s="6" t="n">
        <v>46239</v>
      </c>
    </row>
    <row r="833" customFormat="false" ht="14.25" hidden="false" customHeight="true" outlineLevel="0" collapsed="false">
      <c r="A833" s="1" t="s">
        <v>2687</v>
      </c>
      <c r="B833" s="1" t="s">
        <v>1462</v>
      </c>
      <c r="C833" s="1" t="s">
        <v>376</v>
      </c>
      <c r="D833" s="1" t="s">
        <v>431</v>
      </c>
      <c r="E833" s="6" t="n">
        <v>46178</v>
      </c>
      <c r="F833" s="6" t="n">
        <v>46175</v>
      </c>
      <c r="G833" s="1" t="s">
        <v>38</v>
      </c>
      <c r="H833" s="1" t="s">
        <v>631</v>
      </c>
      <c r="I833" s="1" t="s">
        <v>2688</v>
      </c>
      <c r="J833" s="1" t="n">
        <v>5833.37</v>
      </c>
      <c r="K833" s="1" t="n">
        <v>4270.41</v>
      </c>
      <c r="L833" s="1" t="n">
        <v>0</v>
      </c>
      <c r="M833" s="1" t="n">
        <v>4270.41</v>
      </c>
      <c r="N833" s="1" t="s">
        <v>52</v>
      </c>
      <c r="O833" s="1" t="s">
        <v>265</v>
      </c>
      <c r="P833" s="1" t="n">
        <v>5</v>
      </c>
      <c r="Q833" s="1" t="s">
        <v>155</v>
      </c>
      <c r="R833" s="1" t="s">
        <v>54</v>
      </c>
    </row>
    <row r="834" customFormat="false" ht="14.25" hidden="false" customHeight="true" outlineLevel="0" collapsed="false">
      <c r="A834" s="1" t="s">
        <v>2689</v>
      </c>
      <c r="B834" s="1" t="s">
        <v>163</v>
      </c>
      <c r="C834" s="1" t="s">
        <v>78</v>
      </c>
      <c r="D834" s="1" t="s">
        <v>550</v>
      </c>
      <c r="E834" s="6" t="n">
        <v>46110</v>
      </c>
      <c r="F834" s="6" t="n">
        <v>46106</v>
      </c>
      <c r="G834" s="1" t="s">
        <v>49</v>
      </c>
      <c r="H834" s="1" t="s">
        <v>782</v>
      </c>
      <c r="I834" s="1" t="s">
        <v>2690</v>
      </c>
      <c r="J834" s="1" t="n">
        <v>7516.77</v>
      </c>
      <c r="K834" s="1" t="n">
        <v>6761.65</v>
      </c>
      <c r="L834" s="1" t="n">
        <v>5705.19</v>
      </c>
      <c r="M834" s="1" t="n">
        <v>1056.46</v>
      </c>
      <c r="N834" s="1" t="s">
        <v>41</v>
      </c>
      <c r="P834" s="1" t="n">
        <v>1</v>
      </c>
      <c r="Q834" s="1" t="s">
        <v>42</v>
      </c>
      <c r="R834" s="1" t="s">
        <v>125</v>
      </c>
      <c r="S834" s="6" t="n">
        <v>46111</v>
      </c>
    </row>
    <row r="835" customFormat="false" ht="14.25" hidden="false" customHeight="true" outlineLevel="0" collapsed="false">
      <c r="A835" s="1" t="s">
        <v>2691</v>
      </c>
      <c r="B835" s="1" t="s">
        <v>440</v>
      </c>
      <c r="C835" s="1" t="s">
        <v>182</v>
      </c>
      <c r="D835" s="1" t="s">
        <v>222</v>
      </c>
      <c r="E835" s="6" t="n">
        <v>46217</v>
      </c>
      <c r="F835" s="6" t="n">
        <v>46217</v>
      </c>
      <c r="G835" s="1" t="s">
        <v>38</v>
      </c>
      <c r="H835" s="1" t="s">
        <v>1180</v>
      </c>
      <c r="I835" s="1" t="s">
        <v>2692</v>
      </c>
      <c r="J835" s="1" t="n">
        <v>16538.7</v>
      </c>
      <c r="K835" s="1" t="n">
        <v>14503.57</v>
      </c>
      <c r="L835" s="1" t="n">
        <v>0</v>
      </c>
      <c r="M835" s="1" t="n">
        <v>14503.57</v>
      </c>
      <c r="N835" s="1" t="s">
        <v>111</v>
      </c>
      <c r="P835" s="1" t="n">
        <v>4</v>
      </c>
      <c r="Q835" s="1" t="s">
        <v>155</v>
      </c>
      <c r="R835" s="1" t="s">
        <v>140</v>
      </c>
    </row>
    <row r="836" customFormat="false" ht="14.25" hidden="false" customHeight="true" outlineLevel="0" collapsed="false">
      <c r="A836" s="1" t="s">
        <v>2693</v>
      </c>
      <c r="B836" s="1" t="s">
        <v>232</v>
      </c>
      <c r="C836" s="1" t="s">
        <v>436</v>
      </c>
      <c r="D836" s="1" t="s">
        <v>740</v>
      </c>
      <c r="E836" s="6" t="n">
        <v>46061</v>
      </c>
      <c r="F836" s="6" t="n">
        <v>46061</v>
      </c>
      <c r="G836" s="1" t="s">
        <v>70</v>
      </c>
      <c r="H836" s="1" t="s">
        <v>2694</v>
      </c>
      <c r="I836" s="1" t="s">
        <v>2695</v>
      </c>
      <c r="J836" s="1" t="n">
        <v>47036.08</v>
      </c>
      <c r="K836" s="1" t="n">
        <v>33889.69</v>
      </c>
      <c r="L836" s="1" t="n">
        <v>31811.06</v>
      </c>
      <c r="M836" s="1" t="n">
        <v>2078.63</v>
      </c>
      <c r="N836" s="1" t="s">
        <v>41</v>
      </c>
      <c r="P836" s="1" t="n">
        <v>6</v>
      </c>
      <c r="Q836" s="1" t="s">
        <v>63</v>
      </c>
      <c r="R836" s="1" t="s">
        <v>43</v>
      </c>
      <c r="S836" s="6" t="n">
        <v>46067</v>
      </c>
    </row>
    <row r="837" customFormat="false" ht="14.25" hidden="false" customHeight="true" outlineLevel="0" collapsed="false">
      <c r="A837" s="1" t="s">
        <v>2696</v>
      </c>
      <c r="B837" s="1" t="s">
        <v>2697</v>
      </c>
      <c r="C837" s="1" t="s">
        <v>300</v>
      </c>
      <c r="D837" s="1" t="s">
        <v>431</v>
      </c>
      <c r="E837" s="6" t="n">
        <v>46162</v>
      </c>
      <c r="F837" s="6" t="n">
        <v>46162</v>
      </c>
      <c r="G837" s="1" t="s">
        <v>108</v>
      </c>
      <c r="H837" s="1" t="s">
        <v>2289</v>
      </c>
      <c r="I837" s="1" t="s">
        <v>2698</v>
      </c>
      <c r="J837" s="1" t="n">
        <v>32270.03</v>
      </c>
      <c r="K837" s="1" t="n">
        <v>24809.1</v>
      </c>
      <c r="L837" s="1" t="n">
        <v>19568.08</v>
      </c>
      <c r="M837" s="1" t="n">
        <v>5241.02</v>
      </c>
      <c r="N837" s="1" t="s">
        <v>41</v>
      </c>
      <c r="P837" s="1" t="n">
        <v>2</v>
      </c>
      <c r="Q837" s="1" t="s">
        <v>155</v>
      </c>
      <c r="R837" s="1" t="s">
        <v>140</v>
      </c>
      <c r="S837" s="6" t="n">
        <v>46164</v>
      </c>
    </row>
    <row r="838" customFormat="false" ht="14.25" hidden="false" customHeight="true" outlineLevel="0" collapsed="false">
      <c r="A838" s="1" t="s">
        <v>2699</v>
      </c>
      <c r="B838" s="1" t="s">
        <v>739</v>
      </c>
      <c r="C838" s="1" t="s">
        <v>129</v>
      </c>
      <c r="D838" s="1" t="s">
        <v>368</v>
      </c>
      <c r="E838" s="6" t="n">
        <v>46042</v>
      </c>
      <c r="F838" s="6" t="n">
        <v>46037</v>
      </c>
      <c r="G838" s="1" t="s">
        <v>108</v>
      </c>
      <c r="H838" s="1" t="s">
        <v>1483</v>
      </c>
      <c r="I838" s="1" t="s">
        <v>2700</v>
      </c>
      <c r="J838" s="1" t="n">
        <v>1699.15</v>
      </c>
      <c r="K838" s="1" t="n">
        <v>1432.16</v>
      </c>
      <c r="L838" s="1" t="n">
        <v>0</v>
      </c>
      <c r="M838" s="1" t="n">
        <v>1432.16</v>
      </c>
      <c r="N838" s="1" t="s">
        <v>111</v>
      </c>
      <c r="P838" s="1" t="n">
        <v>15</v>
      </c>
      <c r="Q838" s="1" t="s">
        <v>155</v>
      </c>
      <c r="R838" s="1" t="s">
        <v>125</v>
      </c>
    </row>
    <row r="839" customFormat="false" ht="14.25" hidden="false" customHeight="true" outlineLevel="0" collapsed="false">
      <c r="A839" s="1" t="s">
        <v>2701</v>
      </c>
      <c r="B839" s="1" t="s">
        <v>794</v>
      </c>
      <c r="C839" s="1" t="s">
        <v>346</v>
      </c>
      <c r="D839" s="1" t="s">
        <v>377</v>
      </c>
      <c r="E839" s="6" t="n">
        <v>46062</v>
      </c>
      <c r="F839" s="6" t="n">
        <v>46058</v>
      </c>
      <c r="G839" s="1" t="s">
        <v>49</v>
      </c>
      <c r="H839" s="1" t="s">
        <v>1771</v>
      </c>
      <c r="I839" s="1" t="s">
        <v>2702</v>
      </c>
      <c r="J839" s="1" t="n">
        <v>19682.5</v>
      </c>
      <c r="K839" s="1" t="n">
        <v>16539.19</v>
      </c>
      <c r="L839" s="1" t="n">
        <v>14040.98</v>
      </c>
      <c r="M839" s="1" t="n">
        <v>2498.21</v>
      </c>
      <c r="N839" s="1" t="s">
        <v>41</v>
      </c>
      <c r="P839" s="1" t="n">
        <v>5</v>
      </c>
      <c r="Q839" s="1" t="s">
        <v>155</v>
      </c>
      <c r="R839" s="1" t="s">
        <v>140</v>
      </c>
      <c r="S839" s="6" t="n">
        <v>46067</v>
      </c>
    </row>
    <row r="840" customFormat="false" ht="14.25" hidden="false" customHeight="true" outlineLevel="0" collapsed="false">
      <c r="A840" s="1" t="s">
        <v>2703</v>
      </c>
      <c r="B840" s="1" t="s">
        <v>1273</v>
      </c>
      <c r="C840" s="1" t="s">
        <v>176</v>
      </c>
      <c r="D840" s="1" t="s">
        <v>362</v>
      </c>
      <c r="E840" s="6" t="n">
        <v>46173</v>
      </c>
      <c r="F840" s="6" t="n">
        <v>46173</v>
      </c>
      <c r="G840" s="1" t="s">
        <v>38</v>
      </c>
      <c r="H840" s="1" t="s">
        <v>2147</v>
      </c>
      <c r="I840" s="1" t="s">
        <v>2704</v>
      </c>
      <c r="J840" s="1" t="n">
        <v>29345.59</v>
      </c>
      <c r="K840" s="1" t="n">
        <v>19137.6</v>
      </c>
      <c r="L840" s="1" t="n">
        <v>17711.01</v>
      </c>
      <c r="M840" s="1" t="n">
        <v>1426.59</v>
      </c>
      <c r="N840" s="1" t="s">
        <v>41</v>
      </c>
      <c r="P840" s="1" t="n">
        <v>6</v>
      </c>
      <c r="Q840" s="1" t="s">
        <v>155</v>
      </c>
      <c r="R840" s="1" t="s">
        <v>74</v>
      </c>
      <c r="S840" s="6" t="n">
        <v>46179</v>
      </c>
    </row>
    <row r="841" customFormat="false" ht="14.25" hidden="false" customHeight="true" outlineLevel="0" collapsed="false">
      <c r="A841" s="1" t="s">
        <v>2705</v>
      </c>
      <c r="B841" s="1" t="s">
        <v>202</v>
      </c>
      <c r="C841" s="1" t="s">
        <v>215</v>
      </c>
      <c r="D841" s="1" t="s">
        <v>953</v>
      </c>
      <c r="E841" s="6" t="n">
        <v>46217</v>
      </c>
      <c r="F841" s="6" t="n">
        <v>46213</v>
      </c>
      <c r="G841" s="1" t="s">
        <v>70</v>
      </c>
      <c r="H841" s="1" t="s">
        <v>2706</v>
      </c>
      <c r="I841" s="1" t="s">
        <v>2707</v>
      </c>
      <c r="J841" s="1" t="n">
        <v>28035</v>
      </c>
      <c r="K841" s="1" t="n">
        <v>22519.5</v>
      </c>
      <c r="L841" s="1" t="n">
        <v>17789.64</v>
      </c>
      <c r="M841" s="1" t="n">
        <v>4729.86</v>
      </c>
      <c r="N841" s="1" t="s">
        <v>41</v>
      </c>
      <c r="P841" s="1" t="n">
        <v>4</v>
      </c>
      <c r="Q841" s="1" t="s">
        <v>155</v>
      </c>
      <c r="R841" s="1" t="s">
        <v>74</v>
      </c>
      <c r="S841" s="6" t="n">
        <v>46221</v>
      </c>
    </row>
    <row r="842" customFormat="false" ht="14.25" hidden="false" customHeight="true" outlineLevel="0" collapsed="false">
      <c r="A842" s="1" t="s">
        <v>2708</v>
      </c>
      <c r="B842" s="1" t="s">
        <v>696</v>
      </c>
      <c r="C842" s="1" t="s">
        <v>68</v>
      </c>
      <c r="D842" s="1" t="s">
        <v>501</v>
      </c>
      <c r="E842" s="6" t="n">
        <v>46099</v>
      </c>
      <c r="F842" s="6" t="n">
        <v>46096</v>
      </c>
      <c r="G842" s="1" t="s">
        <v>108</v>
      </c>
      <c r="H842" s="1" t="s">
        <v>2709</v>
      </c>
      <c r="I842" s="1" t="s">
        <v>2710</v>
      </c>
      <c r="J842" s="1" t="n">
        <v>30366.71</v>
      </c>
      <c r="K842" s="1" t="n">
        <v>25672.7</v>
      </c>
      <c r="L842" s="1" t="n">
        <v>22539.38</v>
      </c>
      <c r="M842" s="1" t="n">
        <v>3133.32</v>
      </c>
      <c r="N842" s="1" t="s">
        <v>41</v>
      </c>
      <c r="P842" s="1" t="n">
        <v>7</v>
      </c>
      <c r="Q842" s="1" t="s">
        <v>42</v>
      </c>
      <c r="R842" s="1" t="s">
        <v>125</v>
      </c>
      <c r="S842" s="6" t="n">
        <v>46106</v>
      </c>
    </row>
    <row r="843" customFormat="false" ht="14.25" hidden="false" customHeight="true" outlineLevel="0" collapsed="false">
      <c r="A843" s="1" t="s">
        <v>2711</v>
      </c>
      <c r="B843" s="1" t="s">
        <v>1052</v>
      </c>
      <c r="C843" s="1" t="s">
        <v>58</v>
      </c>
      <c r="D843" s="1" t="s">
        <v>391</v>
      </c>
      <c r="E843" s="6" t="n">
        <v>46076</v>
      </c>
      <c r="F843" s="6" t="n">
        <v>46075</v>
      </c>
      <c r="G843" s="1" t="s">
        <v>108</v>
      </c>
      <c r="H843" s="1" t="s">
        <v>1290</v>
      </c>
      <c r="I843" s="1" t="s">
        <v>2712</v>
      </c>
      <c r="J843" s="1" t="n">
        <v>36917.28</v>
      </c>
      <c r="K843" s="1" t="n">
        <v>27303.39</v>
      </c>
      <c r="L843" s="1" t="n">
        <v>0</v>
      </c>
      <c r="M843" s="1" t="n">
        <v>27303.39</v>
      </c>
      <c r="N843" s="1" t="s">
        <v>52</v>
      </c>
      <c r="O843" s="1" t="s">
        <v>73</v>
      </c>
      <c r="P843" s="1" t="n">
        <v>4</v>
      </c>
      <c r="Q843" s="1" t="s">
        <v>42</v>
      </c>
      <c r="R843" s="1" t="s">
        <v>125</v>
      </c>
    </row>
    <row r="844" customFormat="false" ht="14.25" hidden="false" customHeight="true" outlineLevel="0" collapsed="false">
      <c r="A844" s="1" t="s">
        <v>2713</v>
      </c>
      <c r="B844" s="1" t="s">
        <v>1353</v>
      </c>
      <c r="C844" s="1" t="s">
        <v>900</v>
      </c>
      <c r="D844" s="1" t="s">
        <v>222</v>
      </c>
      <c r="E844" s="6" t="n">
        <v>46088</v>
      </c>
      <c r="F844" s="6" t="n">
        <v>46087</v>
      </c>
      <c r="G844" s="1" t="s">
        <v>49</v>
      </c>
      <c r="H844" s="1" t="s">
        <v>2524</v>
      </c>
      <c r="I844" s="1" t="s">
        <v>823</v>
      </c>
      <c r="J844" s="1" t="n">
        <v>15840.13</v>
      </c>
      <c r="K844" s="1" t="n">
        <v>11324.54</v>
      </c>
      <c r="L844" s="1" t="n">
        <v>9005.61</v>
      </c>
      <c r="M844" s="1" t="n">
        <v>2318.93</v>
      </c>
      <c r="N844" s="1" t="s">
        <v>41</v>
      </c>
      <c r="P844" s="1" t="n">
        <v>6</v>
      </c>
      <c r="Q844" s="1" t="s">
        <v>63</v>
      </c>
      <c r="R844" s="1" t="s">
        <v>43</v>
      </c>
      <c r="S844" s="6" t="n">
        <v>46094</v>
      </c>
    </row>
    <row r="845" customFormat="false" ht="14.25" hidden="false" customHeight="true" outlineLevel="0" collapsed="false">
      <c r="A845" s="1" t="s">
        <v>2714</v>
      </c>
      <c r="B845" s="1" t="s">
        <v>1805</v>
      </c>
      <c r="C845" s="1" t="s">
        <v>151</v>
      </c>
      <c r="D845" s="1" t="s">
        <v>1166</v>
      </c>
      <c r="E845" s="6" t="n">
        <v>46178</v>
      </c>
      <c r="F845" s="6" t="n">
        <v>46177</v>
      </c>
      <c r="G845" s="1" t="s">
        <v>108</v>
      </c>
      <c r="H845" s="1" t="s">
        <v>2715</v>
      </c>
      <c r="I845" s="1" t="s">
        <v>2716</v>
      </c>
      <c r="J845" s="1" t="n">
        <v>24268.69</v>
      </c>
      <c r="K845" s="1" t="n">
        <v>20119.28</v>
      </c>
      <c r="L845" s="1" t="n">
        <v>0</v>
      </c>
      <c r="M845" s="1" t="n">
        <v>20119.28</v>
      </c>
      <c r="N845" s="1" t="s">
        <v>52</v>
      </c>
      <c r="O845" s="1" t="s">
        <v>53</v>
      </c>
      <c r="P845" s="1" t="n">
        <v>4</v>
      </c>
      <c r="Q845" s="1" t="s">
        <v>63</v>
      </c>
      <c r="R845" s="1" t="s">
        <v>54</v>
      </c>
    </row>
    <row r="846" customFormat="false" ht="14.25" hidden="false" customHeight="true" outlineLevel="0" collapsed="false">
      <c r="A846" s="1" t="s">
        <v>2717</v>
      </c>
      <c r="B846" s="1" t="s">
        <v>752</v>
      </c>
      <c r="C846" s="1" t="s">
        <v>279</v>
      </c>
      <c r="D846" s="1" t="s">
        <v>964</v>
      </c>
      <c r="E846" s="6" t="n">
        <v>46103</v>
      </c>
      <c r="F846" s="6" t="n">
        <v>46100</v>
      </c>
      <c r="G846" s="1" t="s">
        <v>70</v>
      </c>
      <c r="H846" s="1" t="s">
        <v>2718</v>
      </c>
      <c r="I846" s="1" t="s">
        <v>2719</v>
      </c>
      <c r="J846" s="1" t="n">
        <v>28621.49</v>
      </c>
      <c r="K846" s="1" t="n">
        <v>19973.4</v>
      </c>
      <c r="L846" s="1" t="n">
        <v>15247.38</v>
      </c>
      <c r="M846" s="1" t="n">
        <v>4726.02</v>
      </c>
      <c r="N846" s="1" t="s">
        <v>41</v>
      </c>
      <c r="P846" s="1" t="n">
        <v>4</v>
      </c>
      <c r="Q846" s="1" t="s">
        <v>63</v>
      </c>
      <c r="R846" s="1" t="s">
        <v>74</v>
      </c>
      <c r="S846" s="6" t="n">
        <v>46107</v>
      </c>
    </row>
    <row r="847" customFormat="false" ht="14.25" hidden="false" customHeight="true" outlineLevel="0" collapsed="false">
      <c r="A847" s="1" t="s">
        <v>2720</v>
      </c>
      <c r="B847" s="1" t="s">
        <v>696</v>
      </c>
      <c r="C847" s="1" t="s">
        <v>367</v>
      </c>
      <c r="D847" s="1" t="s">
        <v>590</v>
      </c>
      <c r="E847" s="6" t="n">
        <v>46030</v>
      </c>
      <c r="F847" s="6" t="n">
        <v>46028</v>
      </c>
      <c r="G847" s="1" t="s">
        <v>108</v>
      </c>
      <c r="H847" s="1" t="s">
        <v>447</v>
      </c>
      <c r="I847" s="1" t="s">
        <v>2721</v>
      </c>
      <c r="J847" s="1" t="n">
        <v>44976.82</v>
      </c>
      <c r="K847" s="1" t="n">
        <v>33310.51</v>
      </c>
      <c r="L847" s="1" t="n">
        <v>0</v>
      </c>
      <c r="M847" s="1" t="n">
        <v>33310.51</v>
      </c>
      <c r="N847" s="1" t="s">
        <v>52</v>
      </c>
      <c r="O847" s="1" t="s">
        <v>62</v>
      </c>
      <c r="P847" s="1" t="n">
        <v>5</v>
      </c>
      <c r="Q847" s="1" t="s">
        <v>155</v>
      </c>
      <c r="R847" s="1" t="s">
        <v>54</v>
      </c>
    </row>
    <row r="848" customFormat="false" ht="14.25" hidden="false" customHeight="true" outlineLevel="0" collapsed="false">
      <c r="A848" s="1" t="s">
        <v>2722</v>
      </c>
      <c r="B848" s="1" t="s">
        <v>828</v>
      </c>
      <c r="C848" s="1" t="s">
        <v>221</v>
      </c>
      <c r="D848" s="1" t="s">
        <v>137</v>
      </c>
      <c r="E848" s="6" t="n">
        <v>46050</v>
      </c>
      <c r="F848" s="6" t="n">
        <v>46045</v>
      </c>
      <c r="G848" s="1" t="s">
        <v>49</v>
      </c>
      <c r="H848" s="1" t="s">
        <v>2723</v>
      </c>
      <c r="I848" s="1" t="s">
        <v>2724</v>
      </c>
      <c r="J848" s="1" t="n">
        <v>43554.69</v>
      </c>
      <c r="K848" s="1" t="n">
        <v>35886.15</v>
      </c>
      <c r="L848" s="1" t="n">
        <v>31915.75</v>
      </c>
      <c r="M848" s="1" t="n">
        <v>3970.4</v>
      </c>
      <c r="N848" s="1" t="s">
        <v>41</v>
      </c>
      <c r="P848" s="1" t="n">
        <v>5</v>
      </c>
      <c r="Q848" s="1" t="s">
        <v>155</v>
      </c>
      <c r="R848" s="1" t="s">
        <v>54</v>
      </c>
      <c r="S848" s="6" t="n">
        <v>46055</v>
      </c>
    </row>
    <row r="849" customFormat="false" ht="14.25" hidden="false" customHeight="true" outlineLevel="0" collapsed="false">
      <c r="A849" s="1" t="s">
        <v>2725</v>
      </c>
      <c r="B849" s="1" t="s">
        <v>602</v>
      </c>
      <c r="C849" s="1" t="s">
        <v>459</v>
      </c>
      <c r="D849" s="1" t="s">
        <v>368</v>
      </c>
      <c r="E849" s="6" t="n">
        <v>46129</v>
      </c>
      <c r="F849" s="6" t="n">
        <v>46124</v>
      </c>
      <c r="G849" s="1" t="s">
        <v>108</v>
      </c>
      <c r="H849" s="1" t="s">
        <v>2330</v>
      </c>
      <c r="I849" s="1" t="s">
        <v>2726</v>
      </c>
      <c r="J849" s="1" t="n">
        <v>2339.48</v>
      </c>
      <c r="K849" s="1" t="n">
        <v>1824.2</v>
      </c>
      <c r="L849" s="1" t="n">
        <v>1580.53</v>
      </c>
      <c r="M849" s="1" t="n">
        <v>243.67</v>
      </c>
      <c r="N849" s="1" t="s">
        <v>41</v>
      </c>
      <c r="P849" s="1" t="n">
        <v>3</v>
      </c>
      <c r="Q849" s="1" t="s">
        <v>42</v>
      </c>
      <c r="R849" s="1" t="s">
        <v>102</v>
      </c>
      <c r="S849" s="6" t="n">
        <v>46132</v>
      </c>
    </row>
    <row r="850" customFormat="false" ht="14.25" hidden="false" customHeight="true" outlineLevel="0" collapsed="false">
      <c r="A850" s="1" t="s">
        <v>2727</v>
      </c>
      <c r="B850" s="1" t="s">
        <v>537</v>
      </c>
      <c r="C850" s="1" t="s">
        <v>221</v>
      </c>
      <c r="D850" s="1" t="s">
        <v>757</v>
      </c>
      <c r="E850" s="6" t="n">
        <v>46210</v>
      </c>
      <c r="F850" s="6" t="n">
        <v>46207</v>
      </c>
      <c r="G850" s="1" t="s">
        <v>108</v>
      </c>
      <c r="H850" s="1" t="s">
        <v>1306</v>
      </c>
      <c r="I850" s="1" t="s">
        <v>2728</v>
      </c>
      <c r="J850" s="1" t="n">
        <v>13730.58</v>
      </c>
      <c r="K850" s="1" t="n">
        <v>11689.84</v>
      </c>
      <c r="L850" s="1" t="n">
        <v>11582.26</v>
      </c>
      <c r="M850" s="1" t="n">
        <v>107.58</v>
      </c>
      <c r="N850" s="1" t="s">
        <v>41</v>
      </c>
      <c r="P850" s="1" t="n">
        <v>4</v>
      </c>
      <c r="Q850" s="1" t="s">
        <v>42</v>
      </c>
      <c r="R850" s="1" t="s">
        <v>125</v>
      </c>
      <c r="S850" s="6" t="n">
        <v>46214</v>
      </c>
    </row>
    <row r="851" customFormat="false" ht="14.25" hidden="false" customHeight="true" outlineLevel="0" collapsed="false">
      <c r="A851" s="1" t="s">
        <v>2729</v>
      </c>
      <c r="B851" s="1" t="s">
        <v>899</v>
      </c>
      <c r="C851" s="1" t="s">
        <v>58</v>
      </c>
      <c r="D851" s="1" t="s">
        <v>122</v>
      </c>
      <c r="E851" s="6" t="n">
        <v>46138</v>
      </c>
      <c r="F851" s="6" t="n">
        <v>46134</v>
      </c>
      <c r="G851" s="1" t="s">
        <v>70</v>
      </c>
      <c r="H851" s="1" t="s">
        <v>2730</v>
      </c>
      <c r="I851" s="1" t="s">
        <v>2731</v>
      </c>
      <c r="J851" s="1" t="n">
        <v>24682.12</v>
      </c>
      <c r="K851" s="1" t="n">
        <v>17757.71</v>
      </c>
      <c r="L851" s="1" t="n">
        <v>0</v>
      </c>
      <c r="M851" s="1" t="n">
        <v>17757.71</v>
      </c>
      <c r="N851" s="1" t="s">
        <v>260</v>
      </c>
      <c r="P851" s="1" t="n">
        <v>1</v>
      </c>
      <c r="Q851" s="1" t="s">
        <v>42</v>
      </c>
      <c r="R851" s="1" t="s">
        <v>140</v>
      </c>
    </row>
    <row r="852" customFormat="false" ht="14.25" hidden="false" customHeight="true" outlineLevel="0" collapsed="false">
      <c r="A852" s="1" t="s">
        <v>2732</v>
      </c>
      <c r="B852" s="1" t="s">
        <v>1852</v>
      </c>
      <c r="C852" s="1" t="s">
        <v>68</v>
      </c>
      <c r="D852" s="1" t="s">
        <v>280</v>
      </c>
      <c r="E852" s="6" t="n">
        <v>46123</v>
      </c>
      <c r="F852" s="6" t="n">
        <v>46118</v>
      </c>
      <c r="G852" s="1" t="s">
        <v>49</v>
      </c>
      <c r="H852" s="1" t="s">
        <v>2733</v>
      </c>
      <c r="I852" s="1" t="s">
        <v>2734</v>
      </c>
      <c r="J852" s="1" t="n">
        <v>36446.83</v>
      </c>
      <c r="K852" s="1" t="n">
        <v>29603.21</v>
      </c>
      <c r="L852" s="1" t="n">
        <v>0</v>
      </c>
      <c r="M852" s="1" t="n">
        <v>29603.21</v>
      </c>
      <c r="N852" s="1" t="s">
        <v>52</v>
      </c>
      <c r="O852" s="1" t="s">
        <v>230</v>
      </c>
      <c r="P852" s="1" t="n">
        <v>6</v>
      </c>
      <c r="Q852" s="1" t="s">
        <v>63</v>
      </c>
      <c r="R852" s="1" t="s">
        <v>125</v>
      </c>
    </row>
    <row r="853" customFormat="false" ht="14.25" hidden="false" customHeight="true" outlineLevel="0" collapsed="false">
      <c r="A853" s="1" t="s">
        <v>2735</v>
      </c>
      <c r="B853" s="1" t="s">
        <v>917</v>
      </c>
      <c r="C853" s="1" t="s">
        <v>436</v>
      </c>
      <c r="D853" s="1" t="s">
        <v>86</v>
      </c>
      <c r="E853" s="6" t="n">
        <v>46098</v>
      </c>
      <c r="F853" s="6" t="n">
        <v>46097</v>
      </c>
      <c r="G853" s="1" t="s">
        <v>70</v>
      </c>
      <c r="H853" s="1" t="s">
        <v>2097</v>
      </c>
      <c r="I853" s="1" t="s">
        <v>2736</v>
      </c>
      <c r="J853" s="1" t="n">
        <v>37707.13</v>
      </c>
      <c r="K853" s="1" t="n">
        <v>30103.61</v>
      </c>
      <c r="L853" s="1" t="n">
        <v>0</v>
      </c>
      <c r="M853" s="1" t="n">
        <v>30103.61</v>
      </c>
      <c r="N853" s="1" t="s">
        <v>52</v>
      </c>
      <c r="O853" s="1" t="s">
        <v>230</v>
      </c>
      <c r="P853" s="1" t="n">
        <v>7</v>
      </c>
      <c r="Q853" s="1" t="s">
        <v>63</v>
      </c>
      <c r="R853" s="1" t="s">
        <v>74</v>
      </c>
    </row>
    <row r="854" customFormat="false" ht="14.25" hidden="false" customHeight="true" outlineLevel="0" collapsed="false">
      <c r="A854" s="1" t="s">
        <v>2737</v>
      </c>
      <c r="B854" s="1" t="s">
        <v>243</v>
      </c>
      <c r="C854" s="1" t="s">
        <v>286</v>
      </c>
      <c r="D854" s="1" t="s">
        <v>476</v>
      </c>
      <c r="E854" s="6" t="n">
        <v>46145</v>
      </c>
      <c r="F854" s="6" t="n">
        <v>46142</v>
      </c>
      <c r="G854" s="1" t="s">
        <v>70</v>
      </c>
      <c r="H854" s="1" t="s">
        <v>835</v>
      </c>
      <c r="I854" s="1" t="s">
        <v>2738</v>
      </c>
      <c r="J854" s="1" t="n">
        <v>43159.1</v>
      </c>
      <c r="K854" s="1" t="n">
        <v>30180.42</v>
      </c>
      <c r="L854" s="1" t="n">
        <v>0</v>
      </c>
      <c r="M854" s="1" t="n">
        <v>30180.42</v>
      </c>
      <c r="N854" s="1" t="s">
        <v>52</v>
      </c>
      <c r="O854" s="1" t="s">
        <v>230</v>
      </c>
      <c r="P854" s="1" t="n">
        <v>1</v>
      </c>
      <c r="Q854" s="1" t="s">
        <v>42</v>
      </c>
      <c r="R854" s="1" t="s">
        <v>140</v>
      </c>
    </row>
    <row r="855" customFormat="false" ht="14.25" hidden="false" customHeight="true" outlineLevel="0" collapsed="false">
      <c r="A855" s="1" t="s">
        <v>2739</v>
      </c>
      <c r="B855" s="1" t="s">
        <v>774</v>
      </c>
      <c r="C855" s="1" t="s">
        <v>671</v>
      </c>
      <c r="D855" s="1" t="s">
        <v>234</v>
      </c>
      <c r="E855" s="6" t="n">
        <v>46232</v>
      </c>
      <c r="F855" s="6" t="n">
        <v>46231</v>
      </c>
      <c r="G855" s="1" t="s">
        <v>108</v>
      </c>
      <c r="H855" s="1" t="s">
        <v>1233</v>
      </c>
      <c r="I855" s="1" t="s">
        <v>2740</v>
      </c>
      <c r="J855" s="1" t="n">
        <v>20119.33</v>
      </c>
      <c r="K855" s="1" t="n">
        <v>18047.7</v>
      </c>
      <c r="L855" s="1" t="n">
        <v>0</v>
      </c>
      <c r="M855" s="1" t="n">
        <v>18047.7</v>
      </c>
      <c r="N855" s="1" t="s">
        <v>52</v>
      </c>
      <c r="O855" s="1" t="s">
        <v>73</v>
      </c>
      <c r="P855" s="1" t="n">
        <v>2</v>
      </c>
      <c r="Q855" s="1" t="s">
        <v>63</v>
      </c>
      <c r="R855" s="1" t="s">
        <v>64</v>
      </c>
    </row>
    <row r="856" customFormat="false" ht="14.25" hidden="false" customHeight="true" outlineLevel="0" collapsed="false">
      <c r="A856" s="1" t="s">
        <v>2741</v>
      </c>
      <c r="B856" s="1" t="s">
        <v>207</v>
      </c>
      <c r="C856" s="1" t="s">
        <v>386</v>
      </c>
      <c r="D856" s="1" t="s">
        <v>227</v>
      </c>
      <c r="E856" s="6" t="n">
        <v>46194</v>
      </c>
      <c r="F856" s="6" t="n">
        <v>46193</v>
      </c>
      <c r="G856" s="1" t="s">
        <v>70</v>
      </c>
      <c r="H856" s="1" t="s">
        <v>697</v>
      </c>
      <c r="I856" s="1" t="s">
        <v>1304</v>
      </c>
      <c r="J856" s="1" t="n">
        <v>34358.53</v>
      </c>
      <c r="K856" s="1" t="n">
        <v>30452.56</v>
      </c>
      <c r="L856" s="1" t="n">
        <v>0</v>
      </c>
      <c r="M856" s="1" t="n">
        <v>30452.56</v>
      </c>
      <c r="N856" s="1" t="s">
        <v>111</v>
      </c>
      <c r="P856" s="1" t="n">
        <v>11</v>
      </c>
      <c r="Q856" s="1" t="s">
        <v>42</v>
      </c>
      <c r="R856" s="1" t="s">
        <v>74</v>
      </c>
    </row>
    <row r="857" customFormat="false" ht="14.25" hidden="false" customHeight="true" outlineLevel="0" collapsed="false">
      <c r="A857" s="1" t="s">
        <v>2742</v>
      </c>
      <c r="B857" s="1" t="s">
        <v>739</v>
      </c>
      <c r="C857" s="1" t="s">
        <v>286</v>
      </c>
      <c r="D857" s="1" t="s">
        <v>239</v>
      </c>
      <c r="E857" s="6" t="n">
        <v>46235</v>
      </c>
      <c r="F857" s="6" t="n">
        <v>46232</v>
      </c>
      <c r="G857" s="1" t="s">
        <v>49</v>
      </c>
      <c r="H857" s="1" t="s">
        <v>807</v>
      </c>
      <c r="I857" s="1" t="s">
        <v>2743</v>
      </c>
      <c r="J857" s="1" t="n">
        <v>17881.15</v>
      </c>
      <c r="K857" s="1" t="n">
        <v>13811.39</v>
      </c>
      <c r="L857" s="1" t="n">
        <v>12953.58</v>
      </c>
      <c r="M857" s="1" t="n">
        <v>857.81</v>
      </c>
      <c r="N857" s="1" t="s">
        <v>41</v>
      </c>
      <c r="P857" s="1" t="n">
        <v>2</v>
      </c>
      <c r="Q857" s="1" t="s">
        <v>42</v>
      </c>
      <c r="R857" s="1" t="s">
        <v>54</v>
      </c>
      <c r="S857" s="6" t="n">
        <v>46237</v>
      </c>
    </row>
    <row r="858" customFormat="false" ht="14.25" hidden="false" customHeight="true" outlineLevel="0" collapsed="false">
      <c r="A858" s="1" t="s">
        <v>2744</v>
      </c>
      <c r="B858" s="1" t="s">
        <v>872</v>
      </c>
      <c r="C858" s="1" t="s">
        <v>543</v>
      </c>
      <c r="D858" s="1" t="s">
        <v>145</v>
      </c>
      <c r="E858" s="6" t="n">
        <v>46230</v>
      </c>
      <c r="F858" s="6" t="n">
        <v>46226</v>
      </c>
      <c r="G858" s="1" t="s">
        <v>108</v>
      </c>
      <c r="H858" s="1" t="s">
        <v>1663</v>
      </c>
      <c r="I858" s="1" t="s">
        <v>2244</v>
      </c>
      <c r="J858" s="1" t="n">
        <v>25012.54</v>
      </c>
      <c r="K858" s="1" t="n">
        <v>23130.42</v>
      </c>
      <c r="L858" s="1" t="n">
        <v>0</v>
      </c>
      <c r="M858" s="1" t="n">
        <v>23130.42</v>
      </c>
      <c r="N858" s="1" t="s">
        <v>52</v>
      </c>
      <c r="O858" s="1" t="s">
        <v>265</v>
      </c>
      <c r="P858" s="1" t="n">
        <v>5</v>
      </c>
      <c r="Q858" s="1" t="s">
        <v>155</v>
      </c>
      <c r="R858" s="1" t="s">
        <v>54</v>
      </c>
    </row>
    <row r="859" customFormat="false" ht="14.25" hidden="false" customHeight="true" outlineLevel="0" collapsed="false">
      <c r="A859" s="1" t="s">
        <v>2745</v>
      </c>
      <c r="B859" s="1" t="s">
        <v>143</v>
      </c>
      <c r="C859" s="1" t="s">
        <v>367</v>
      </c>
      <c r="D859" s="1" t="s">
        <v>387</v>
      </c>
      <c r="E859" s="6" t="n">
        <v>46032</v>
      </c>
      <c r="F859" s="6" t="n">
        <v>46030</v>
      </c>
      <c r="G859" s="1" t="s">
        <v>70</v>
      </c>
      <c r="H859" s="1" t="s">
        <v>1171</v>
      </c>
      <c r="I859" s="1" t="s">
        <v>2746</v>
      </c>
      <c r="J859" s="1" t="n">
        <v>9692.85</v>
      </c>
      <c r="K859" s="1" t="n">
        <v>8557.05</v>
      </c>
      <c r="L859" s="1" t="n">
        <v>6570.39</v>
      </c>
      <c r="M859" s="1" t="n">
        <v>1986.66</v>
      </c>
      <c r="N859" s="1" t="s">
        <v>41</v>
      </c>
      <c r="P859" s="1" t="n">
        <v>5</v>
      </c>
      <c r="Q859" s="1" t="s">
        <v>155</v>
      </c>
      <c r="R859" s="1" t="s">
        <v>74</v>
      </c>
      <c r="S859" s="6" t="n">
        <v>46037</v>
      </c>
    </row>
    <row r="860" customFormat="false" ht="14.25" hidden="false" customHeight="true" outlineLevel="0" collapsed="false">
      <c r="A860" s="1" t="s">
        <v>2747</v>
      </c>
      <c r="B860" s="1" t="s">
        <v>1725</v>
      </c>
      <c r="C860" s="1" t="s">
        <v>164</v>
      </c>
      <c r="D860" s="1" t="s">
        <v>635</v>
      </c>
      <c r="E860" s="6" t="n">
        <v>46177</v>
      </c>
      <c r="F860" s="6" t="n">
        <v>46175</v>
      </c>
      <c r="G860" s="1" t="s">
        <v>108</v>
      </c>
      <c r="H860" s="1" t="s">
        <v>2748</v>
      </c>
      <c r="I860" s="1" t="s">
        <v>2749</v>
      </c>
      <c r="J860" s="1" t="n">
        <v>19058.34</v>
      </c>
      <c r="K860" s="1" t="n">
        <v>14124.82</v>
      </c>
      <c r="L860" s="1" t="n">
        <v>12780.34</v>
      </c>
      <c r="M860" s="1" t="n">
        <v>1344.48</v>
      </c>
      <c r="N860" s="1" t="s">
        <v>41</v>
      </c>
      <c r="P860" s="1" t="n">
        <v>8</v>
      </c>
      <c r="Q860" s="1" t="s">
        <v>63</v>
      </c>
      <c r="R860" s="1" t="s">
        <v>54</v>
      </c>
      <c r="S860" s="6" t="n">
        <v>46185</v>
      </c>
    </row>
    <row r="861" customFormat="false" ht="14.25" hidden="false" customHeight="true" outlineLevel="0" collapsed="false">
      <c r="A861" s="1" t="s">
        <v>2750</v>
      </c>
      <c r="B861" s="1" t="s">
        <v>2751</v>
      </c>
      <c r="C861" s="1" t="s">
        <v>164</v>
      </c>
      <c r="D861" s="1" t="s">
        <v>635</v>
      </c>
      <c r="E861" s="6" t="n">
        <v>46093</v>
      </c>
      <c r="F861" s="6" t="n">
        <v>46088</v>
      </c>
      <c r="G861" s="1" t="s">
        <v>108</v>
      </c>
      <c r="H861" s="1" t="s">
        <v>1593</v>
      </c>
      <c r="I861" s="1" t="s">
        <v>2752</v>
      </c>
      <c r="J861" s="1" t="n">
        <v>39992.67</v>
      </c>
      <c r="K861" s="1" t="n">
        <v>35028.6</v>
      </c>
      <c r="L861" s="1" t="n">
        <v>33012.59</v>
      </c>
      <c r="M861" s="1" t="n">
        <v>2016.01</v>
      </c>
      <c r="N861" s="1" t="s">
        <v>41</v>
      </c>
      <c r="P861" s="1" t="n">
        <v>7</v>
      </c>
      <c r="Q861" s="1" t="s">
        <v>63</v>
      </c>
      <c r="R861" s="1" t="s">
        <v>125</v>
      </c>
      <c r="S861" s="6" t="n">
        <v>46100</v>
      </c>
    </row>
    <row r="862" customFormat="false" ht="14.25" hidden="false" customHeight="true" outlineLevel="0" collapsed="false">
      <c r="A862" s="1" t="s">
        <v>2753</v>
      </c>
      <c r="B862" s="1" t="s">
        <v>1462</v>
      </c>
      <c r="C862" s="1" t="s">
        <v>335</v>
      </c>
      <c r="D862" s="1" t="s">
        <v>268</v>
      </c>
      <c r="E862" s="6" t="n">
        <v>46048</v>
      </c>
      <c r="F862" s="6" t="n">
        <v>46045</v>
      </c>
      <c r="G862" s="1" t="s">
        <v>70</v>
      </c>
      <c r="H862" s="1" t="s">
        <v>2342</v>
      </c>
      <c r="I862" s="1" t="s">
        <v>241</v>
      </c>
      <c r="J862" s="1" t="n">
        <v>5056.42</v>
      </c>
      <c r="K862" s="1" t="n">
        <v>3658.91</v>
      </c>
      <c r="L862" s="1" t="n">
        <v>3503.98</v>
      </c>
      <c r="M862" s="1" t="n">
        <v>154.93</v>
      </c>
      <c r="N862" s="1" t="s">
        <v>41</v>
      </c>
      <c r="P862" s="1" t="n">
        <v>2</v>
      </c>
      <c r="Q862" s="1" t="s">
        <v>155</v>
      </c>
      <c r="R862" s="1" t="s">
        <v>102</v>
      </c>
      <c r="S862" s="6" t="n">
        <v>46050</v>
      </c>
    </row>
    <row r="863" customFormat="false" ht="14.25" hidden="false" customHeight="true" outlineLevel="0" collapsed="false">
      <c r="A863" s="1" t="s">
        <v>2754</v>
      </c>
      <c r="B863" s="1" t="s">
        <v>1479</v>
      </c>
      <c r="C863" s="1" t="s">
        <v>164</v>
      </c>
      <c r="D863" s="1" t="s">
        <v>984</v>
      </c>
      <c r="E863" s="6" t="n">
        <v>46106</v>
      </c>
      <c r="F863" s="6" t="n">
        <v>46102</v>
      </c>
      <c r="G863" s="1" t="s">
        <v>108</v>
      </c>
      <c r="H863" s="1" t="s">
        <v>1162</v>
      </c>
      <c r="I863" s="1" t="s">
        <v>2755</v>
      </c>
      <c r="J863" s="1" t="n">
        <v>42804.79</v>
      </c>
      <c r="K863" s="1" t="n">
        <v>30604</v>
      </c>
      <c r="L863" s="1" t="n">
        <v>0</v>
      </c>
      <c r="M863" s="1" t="n">
        <v>30604</v>
      </c>
      <c r="N863" s="1" t="s">
        <v>52</v>
      </c>
      <c r="O863" s="1" t="s">
        <v>53</v>
      </c>
      <c r="P863" s="1" t="n">
        <v>7</v>
      </c>
      <c r="Q863" s="1" t="s">
        <v>155</v>
      </c>
      <c r="R863" s="1" t="s">
        <v>64</v>
      </c>
    </row>
    <row r="864" customFormat="false" ht="14.25" hidden="false" customHeight="true" outlineLevel="0" collapsed="false">
      <c r="A864" s="1" t="s">
        <v>2756</v>
      </c>
      <c r="B864" s="1" t="s">
        <v>463</v>
      </c>
      <c r="C864" s="1" t="s">
        <v>430</v>
      </c>
      <c r="D864" s="1" t="s">
        <v>177</v>
      </c>
      <c r="E864" s="6" t="n">
        <v>46072</v>
      </c>
      <c r="F864" s="6" t="n">
        <v>46069</v>
      </c>
      <c r="G864" s="1" t="s">
        <v>49</v>
      </c>
      <c r="H864" s="1" t="s">
        <v>2438</v>
      </c>
      <c r="I864" s="1" t="s">
        <v>2757</v>
      </c>
      <c r="J864" s="1" t="n">
        <v>28469.97</v>
      </c>
      <c r="K864" s="1" t="n">
        <v>25349.44</v>
      </c>
      <c r="L864" s="1" t="n">
        <v>22406.77</v>
      </c>
      <c r="M864" s="1" t="n">
        <v>2942.67</v>
      </c>
      <c r="N864" s="1" t="s">
        <v>41</v>
      </c>
      <c r="P864" s="1" t="n">
        <v>1</v>
      </c>
      <c r="Q864" s="1" t="s">
        <v>63</v>
      </c>
      <c r="R864" s="1" t="s">
        <v>125</v>
      </c>
      <c r="S864" s="6" t="n">
        <v>46073</v>
      </c>
    </row>
    <row r="865" customFormat="false" ht="14.25" hidden="false" customHeight="true" outlineLevel="0" collapsed="false">
      <c r="A865" s="1" t="s">
        <v>2758</v>
      </c>
      <c r="B865" s="1" t="s">
        <v>708</v>
      </c>
      <c r="C865" s="1" t="s">
        <v>129</v>
      </c>
      <c r="D865" s="1" t="s">
        <v>635</v>
      </c>
      <c r="E865" s="6" t="n">
        <v>46064</v>
      </c>
      <c r="F865" s="6" t="n">
        <v>46064</v>
      </c>
      <c r="G865" s="1" t="s">
        <v>38</v>
      </c>
      <c r="H865" s="1" t="s">
        <v>1743</v>
      </c>
      <c r="I865" s="1" t="s">
        <v>2759</v>
      </c>
      <c r="J865" s="1" t="n">
        <v>16905.07</v>
      </c>
      <c r="K865" s="1" t="n">
        <v>11544.51</v>
      </c>
      <c r="L865" s="1" t="n">
        <v>9105.14</v>
      </c>
      <c r="M865" s="1" t="n">
        <v>2439.37</v>
      </c>
      <c r="N865" s="1" t="s">
        <v>41</v>
      </c>
      <c r="P865" s="1" t="n">
        <v>2</v>
      </c>
      <c r="Q865" s="1" t="s">
        <v>42</v>
      </c>
      <c r="R865" s="1" t="s">
        <v>125</v>
      </c>
      <c r="S865" s="6" t="n">
        <v>46066</v>
      </c>
    </row>
    <row r="866" customFormat="false" ht="14.25" hidden="false" customHeight="true" outlineLevel="0" collapsed="false">
      <c r="A866" s="1" t="s">
        <v>2760</v>
      </c>
      <c r="B866" s="1" t="s">
        <v>794</v>
      </c>
      <c r="C866" s="1" t="s">
        <v>244</v>
      </c>
      <c r="D866" s="1" t="s">
        <v>481</v>
      </c>
      <c r="E866" s="6" t="n">
        <v>46191</v>
      </c>
      <c r="F866" s="6" t="n">
        <v>46190</v>
      </c>
      <c r="G866" s="1" t="s">
        <v>49</v>
      </c>
      <c r="H866" s="1" t="s">
        <v>903</v>
      </c>
      <c r="I866" s="1" t="s">
        <v>2761</v>
      </c>
      <c r="J866" s="1" t="n">
        <v>2671.8</v>
      </c>
      <c r="K866" s="1" t="n">
        <v>1883.09</v>
      </c>
      <c r="L866" s="1" t="n">
        <v>0</v>
      </c>
      <c r="M866" s="1" t="n">
        <v>1883.09</v>
      </c>
      <c r="N866" s="1" t="s">
        <v>52</v>
      </c>
      <c r="O866" s="1" t="s">
        <v>73</v>
      </c>
      <c r="P866" s="1" t="n">
        <v>6</v>
      </c>
      <c r="Q866" s="1" t="s">
        <v>155</v>
      </c>
      <c r="R866" s="1" t="s">
        <v>140</v>
      </c>
    </row>
    <row r="867" customFormat="false" ht="14.25" hidden="false" customHeight="true" outlineLevel="0" collapsed="false">
      <c r="A867" s="1" t="s">
        <v>2762</v>
      </c>
      <c r="B867" s="1" t="s">
        <v>193</v>
      </c>
      <c r="C867" s="1" t="s">
        <v>58</v>
      </c>
      <c r="D867" s="1" t="s">
        <v>485</v>
      </c>
      <c r="E867" s="6" t="n">
        <v>46059</v>
      </c>
      <c r="F867" s="6" t="n">
        <v>46058</v>
      </c>
      <c r="G867" s="1" t="s">
        <v>49</v>
      </c>
      <c r="H867" s="1" t="s">
        <v>1215</v>
      </c>
      <c r="I867" s="1" t="s">
        <v>2763</v>
      </c>
      <c r="J867" s="1" t="n">
        <v>47360.29</v>
      </c>
      <c r="K867" s="1" t="n">
        <v>38780.08</v>
      </c>
      <c r="L867" s="1" t="n">
        <v>0</v>
      </c>
      <c r="M867" s="1" t="n">
        <v>38780.08</v>
      </c>
      <c r="N867" s="1" t="s">
        <v>111</v>
      </c>
      <c r="P867" s="1" t="n">
        <v>11</v>
      </c>
      <c r="Q867" s="1" t="s">
        <v>42</v>
      </c>
      <c r="R867" s="1" t="s">
        <v>102</v>
      </c>
    </row>
    <row r="868" customFormat="false" ht="14.25" hidden="false" customHeight="true" outlineLevel="0" collapsed="false">
      <c r="A868" s="1" t="s">
        <v>2764</v>
      </c>
      <c r="B868" s="1" t="s">
        <v>1090</v>
      </c>
      <c r="C868" s="1" t="s">
        <v>686</v>
      </c>
      <c r="D868" s="1" t="s">
        <v>122</v>
      </c>
      <c r="E868" s="6" t="n">
        <v>46189</v>
      </c>
      <c r="F868" s="6" t="n">
        <v>46185</v>
      </c>
      <c r="G868" s="1" t="s">
        <v>70</v>
      </c>
      <c r="H868" s="1" t="s">
        <v>2171</v>
      </c>
      <c r="I868" s="1" t="s">
        <v>2765</v>
      </c>
      <c r="J868" s="1" t="n">
        <v>23946.07</v>
      </c>
      <c r="K868" s="1" t="n">
        <v>17568.53</v>
      </c>
      <c r="L868" s="1" t="n">
        <v>15624.05</v>
      </c>
      <c r="M868" s="1" t="n">
        <v>1944.48</v>
      </c>
      <c r="N868" s="1" t="s">
        <v>41</v>
      </c>
      <c r="P868" s="1" t="n">
        <v>7</v>
      </c>
      <c r="Q868" s="1" t="s">
        <v>63</v>
      </c>
      <c r="R868" s="1" t="s">
        <v>43</v>
      </c>
      <c r="S868" s="6" t="n">
        <v>46196</v>
      </c>
    </row>
    <row r="869" customFormat="false" ht="14.25" hidden="false" customHeight="true" outlineLevel="0" collapsed="false">
      <c r="A869" s="1" t="s">
        <v>2766</v>
      </c>
      <c r="B869" s="1" t="s">
        <v>748</v>
      </c>
      <c r="C869" s="1" t="s">
        <v>68</v>
      </c>
      <c r="D869" s="1" t="s">
        <v>377</v>
      </c>
      <c r="E869" s="6" t="n">
        <v>46153</v>
      </c>
      <c r="F869" s="6" t="n">
        <v>46152</v>
      </c>
      <c r="G869" s="1" t="s">
        <v>38</v>
      </c>
      <c r="H869" s="1" t="s">
        <v>2501</v>
      </c>
      <c r="I869" s="1" t="s">
        <v>2767</v>
      </c>
      <c r="J869" s="1" t="n">
        <v>43838.88</v>
      </c>
      <c r="K869" s="1" t="n">
        <v>30086.77</v>
      </c>
      <c r="L869" s="1" t="n">
        <v>0</v>
      </c>
      <c r="M869" s="1" t="n">
        <v>30086.77</v>
      </c>
      <c r="N869" s="1" t="s">
        <v>52</v>
      </c>
      <c r="O869" s="1" t="s">
        <v>53</v>
      </c>
      <c r="P869" s="1" t="n">
        <v>3</v>
      </c>
      <c r="Q869" s="1" t="s">
        <v>63</v>
      </c>
      <c r="R869" s="1" t="s">
        <v>64</v>
      </c>
    </row>
    <row r="870" customFormat="false" ht="14.25" hidden="false" customHeight="true" outlineLevel="0" collapsed="false">
      <c r="A870" s="1" t="s">
        <v>2768</v>
      </c>
      <c r="B870" s="1" t="s">
        <v>582</v>
      </c>
      <c r="C870" s="1" t="s">
        <v>36</v>
      </c>
      <c r="D870" s="1" t="s">
        <v>476</v>
      </c>
      <c r="E870" s="6" t="n">
        <v>46093</v>
      </c>
      <c r="F870" s="6" t="n">
        <v>46090</v>
      </c>
      <c r="G870" s="1" t="s">
        <v>70</v>
      </c>
      <c r="H870" s="1" t="s">
        <v>1252</v>
      </c>
      <c r="I870" s="1" t="s">
        <v>2769</v>
      </c>
      <c r="J870" s="1" t="n">
        <v>39604.91</v>
      </c>
      <c r="K870" s="1" t="n">
        <v>27947.33</v>
      </c>
      <c r="L870" s="1" t="n">
        <v>23847.85</v>
      </c>
      <c r="M870" s="1" t="n">
        <v>4099.48</v>
      </c>
      <c r="N870" s="1" t="s">
        <v>41</v>
      </c>
      <c r="P870" s="1" t="n">
        <v>1</v>
      </c>
      <c r="Q870" s="1" t="s">
        <v>155</v>
      </c>
      <c r="R870" s="1" t="s">
        <v>102</v>
      </c>
      <c r="S870" s="6" t="n">
        <v>46094</v>
      </c>
    </row>
    <row r="871" customFormat="false" ht="14.25" hidden="false" customHeight="true" outlineLevel="0" collapsed="false">
      <c r="A871" s="1" t="s">
        <v>2770</v>
      </c>
      <c r="B871" s="1" t="s">
        <v>1025</v>
      </c>
      <c r="C871" s="1" t="s">
        <v>386</v>
      </c>
      <c r="D871" s="1" t="s">
        <v>1448</v>
      </c>
      <c r="E871" s="6" t="n">
        <v>46042</v>
      </c>
      <c r="F871" s="6" t="n">
        <v>46038</v>
      </c>
      <c r="G871" s="1" t="s">
        <v>49</v>
      </c>
      <c r="H871" s="1" t="s">
        <v>2771</v>
      </c>
      <c r="I871" s="1" t="s">
        <v>2772</v>
      </c>
      <c r="J871" s="1" t="n">
        <v>6081.25</v>
      </c>
      <c r="K871" s="1" t="n">
        <v>5167.68</v>
      </c>
      <c r="L871" s="1" t="n">
        <v>0</v>
      </c>
      <c r="M871" s="1" t="n">
        <v>5167.68</v>
      </c>
      <c r="N871" s="1" t="s">
        <v>52</v>
      </c>
      <c r="O871" s="1" t="s">
        <v>230</v>
      </c>
      <c r="P871" s="1" t="n">
        <v>1</v>
      </c>
      <c r="Q871" s="1" t="s">
        <v>155</v>
      </c>
      <c r="R871" s="1" t="s">
        <v>74</v>
      </c>
    </row>
    <row r="872" customFormat="false" ht="14.25" hidden="false" customHeight="true" outlineLevel="0" collapsed="false">
      <c r="A872" s="1" t="s">
        <v>2773</v>
      </c>
      <c r="B872" s="1" t="s">
        <v>906</v>
      </c>
      <c r="C872" s="1" t="s">
        <v>188</v>
      </c>
      <c r="D872" s="1" t="s">
        <v>984</v>
      </c>
      <c r="E872" s="6" t="n">
        <v>46147</v>
      </c>
      <c r="F872" s="6" t="n">
        <v>46144</v>
      </c>
      <c r="G872" s="1" t="s">
        <v>38</v>
      </c>
      <c r="H872" s="1" t="s">
        <v>2774</v>
      </c>
      <c r="I872" s="1" t="s">
        <v>2407</v>
      </c>
      <c r="J872" s="1" t="n">
        <v>5402.83</v>
      </c>
      <c r="K872" s="1" t="n">
        <v>4140.5</v>
      </c>
      <c r="L872" s="1" t="n">
        <v>3761.02</v>
      </c>
      <c r="M872" s="1" t="n">
        <v>379.48</v>
      </c>
      <c r="N872" s="1" t="s">
        <v>41</v>
      </c>
      <c r="P872" s="1" t="n">
        <v>2</v>
      </c>
      <c r="Q872" s="1" t="s">
        <v>63</v>
      </c>
      <c r="R872" s="1" t="s">
        <v>64</v>
      </c>
      <c r="S872" s="6" t="n">
        <v>46149</v>
      </c>
    </row>
    <row r="873" customFormat="false" ht="14.25" hidden="false" customHeight="true" outlineLevel="0" collapsed="false">
      <c r="A873" s="1" t="s">
        <v>2775</v>
      </c>
      <c r="B873" s="1" t="s">
        <v>682</v>
      </c>
      <c r="C873" s="1" t="s">
        <v>136</v>
      </c>
      <c r="D873" s="1" t="s">
        <v>937</v>
      </c>
      <c r="E873" s="6" t="n">
        <v>46045</v>
      </c>
      <c r="F873" s="6" t="n">
        <v>46041</v>
      </c>
      <c r="G873" s="1" t="s">
        <v>49</v>
      </c>
      <c r="H873" s="1" t="s">
        <v>1085</v>
      </c>
      <c r="I873" s="1" t="s">
        <v>2776</v>
      </c>
      <c r="J873" s="1" t="n">
        <v>31533.58</v>
      </c>
      <c r="K873" s="1" t="n">
        <v>24408.65</v>
      </c>
      <c r="L873" s="1" t="n">
        <v>22124.14</v>
      </c>
      <c r="M873" s="1" t="n">
        <v>2284.51</v>
      </c>
      <c r="N873" s="1" t="s">
        <v>41</v>
      </c>
      <c r="P873" s="1" t="n">
        <v>4</v>
      </c>
      <c r="Q873" s="1" t="s">
        <v>63</v>
      </c>
      <c r="R873" s="1" t="s">
        <v>54</v>
      </c>
      <c r="S873" s="6" t="n">
        <v>46049</v>
      </c>
    </row>
    <row r="874" customFormat="false" ht="14.25" hidden="false" customHeight="true" outlineLevel="0" collapsed="false">
      <c r="A874" s="1" t="s">
        <v>2777</v>
      </c>
      <c r="B874" s="1" t="s">
        <v>2177</v>
      </c>
      <c r="C874" s="1" t="s">
        <v>129</v>
      </c>
      <c r="D874" s="1" t="s">
        <v>529</v>
      </c>
      <c r="E874" s="6" t="n">
        <v>46077</v>
      </c>
      <c r="F874" s="6" t="n">
        <v>46072</v>
      </c>
      <c r="G874" s="1" t="s">
        <v>49</v>
      </c>
      <c r="H874" s="1" t="s">
        <v>2778</v>
      </c>
      <c r="I874" s="1" t="s">
        <v>2779</v>
      </c>
      <c r="J874" s="1" t="n">
        <v>18997.27</v>
      </c>
      <c r="K874" s="1" t="n">
        <v>14911.88</v>
      </c>
      <c r="L874" s="1" t="n">
        <v>0</v>
      </c>
      <c r="M874" s="1" t="n">
        <v>14911.88</v>
      </c>
      <c r="N874" s="1" t="s">
        <v>111</v>
      </c>
      <c r="P874" s="1" t="n">
        <v>7</v>
      </c>
      <c r="Q874" s="1" t="s">
        <v>155</v>
      </c>
      <c r="R874" s="1" t="s">
        <v>64</v>
      </c>
    </row>
    <row r="875" customFormat="false" ht="14.25" hidden="false" customHeight="true" outlineLevel="0" collapsed="false">
      <c r="A875" s="1" t="s">
        <v>2780</v>
      </c>
      <c r="B875" s="1" t="s">
        <v>906</v>
      </c>
      <c r="C875" s="1" t="s">
        <v>310</v>
      </c>
      <c r="D875" s="1" t="s">
        <v>239</v>
      </c>
      <c r="E875" s="6" t="n">
        <v>46158</v>
      </c>
      <c r="F875" s="6" t="n">
        <v>46156</v>
      </c>
      <c r="G875" s="1" t="s">
        <v>108</v>
      </c>
      <c r="H875" s="1" t="s">
        <v>1074</v>
      </c>
      <c r="I875" s="1" t="s">
        <v>2781</v>
      </c>
      <c r="J875" s="1" t="n">
        <v>4215.24</v>
      </c>
      <c r="K875" s="1" t="n">
        <v>3498.42</v>
      </c>
      <c r="L875" s="1" t="n">
        <v>2988.8</v>
      </c>
      <c r="M875" s="1" t="n">
        <v>509.62</v>
      </c>
      <c r="N875" s="1" t="s">
        <v>41</v>
      </c>
      <c r="P875" s="1" t="n">
        <v>2</v>
      </c>
      <c r="Q875" s="1" t="s">
        <v>63</v>
      </c>
      <c r="R875" s="1" t="s">
        <v>102</v>
      </c>
      <c r="S875" s="6" t="n">
        <v>46160</v>
      </c>
    </row>
    <row r="876" customFormat="false" ht="14.25" hidden="false" customHeight="true" outlineLevel="0" collapsed="false">
      <c r="A876" s="1" t="s">
        <v>2782</v>
      </c>
      <c r="B876" s="1" t="s">
        <v>412</v>
      </c>
      <c r="C876" s="1" t="s">
        <v>115</v>
      </c>
      <c r="D876" s="1" t="s">
        <v>635</v>
      </c>
      <c r="E876" s="6" t="n">
        <v>46146</v>
      </c>
      <c r="F876" s="6" t="n">
        <v>46141</v>
      </c>
      <c r="G876" s="1" t="s">
        <v>49</v>
      </c>
      <c r="H876" s="1" t="s">
        <v>862</v>
      </c>
      <c r="I876" s="1" t="s">
        <v>2783</v>
      </c>
      <c r="J876" s="1" t="n">
        <v>45896.98</v>
      </c>
      <c r="K876" s="1" t="n">
        <v>34011.91</v>
      </c>
      <c r="L876" s="1" t="n">
        <v>0</v>
      </c>
      <c r="M876" s="1" t="n">
        <v>34011.91</v>
      </c>
      <c r="N876" s="1" t="s">
        <v>52</v>
      </c>
      <c r="O876" s="1" t="s">
        <v>230</v>
      </c>
      <c r="P876" s="1" t="n">
        <v>6</v>
      </c>
      <c r="Q876" s="1" t="s">
        <v>63</v>
      </c>
      <c r="R876" s="1" t="s">
        <v>102</v>
      </c>
    </row>
    <row r="877" customFormat="false" ht="14.25" hidden="false" customHeight="true" outlineLevel="0" collapsed="false">
      <c r="A877" s="1" t="s">
        <v>2784</v>
      </c>
      <c r="B877" s="1" t="s">
        <v>2785</v>
      </c>
      <c r="C877" s="1" t="s">
        <v>144</v>
      </c>
      <c r="D877" s="1" t="s">
        <v>1077</v>
      </c>
      <c r="E877" s="6" t="n">
        <v>46051</v>
      </c>
      <c r="F877" s="6" t="n">
        <v>46046</v>
      </c>
      <c r="G877" s="1" t="s">
        <v>38</v>
      </c>
      <c r="H877" s="1" t="s">
        <v>2212</v>
      </c>
      <c r="I877" s="1" t="s">
        <v>2786</v>
      </c>
      <c r="J877" s="1" t="n">
        <v>17449.3</v>
      </c>
      <c r="K877" s="1" t="n">
        <v>14048.42</v>
      </c>
      <c r="L877" s="1" t="n">
        <v>12753.74</v>
      </c>
      <c r="M877" s="1" t="n">
        <v>1294.68</v>
      </c>
      <c r="N877" s="1" t="s">
        <v>41</v>
      </c>
      <c r="P877" s="1" t="n">
        <v>5</v>
      </c>
      <c r="Q877" s="1" t="s">
        <v>155</v>
      </c>
      <c r="R877" s="1" t="s">
        <v>64</v>
      </c>
      <c r="S877" s="6" t="n">
        <v>46056</v>
      </c>
    </row>
    <row r="878" customFormat="false" ht="14.25" hidden="false" customHeight="true" outlineLevel="0" collapsed="false">
      <c r="A878" s="1" t="s">
        <v>2787</v>
      </c>
      <c r="B878" s="1" t="s">
        <v>1562</v>
      </c>
      <c r="C878" s="1" t="s">
        <v>85</v>
      </c>
      <c r="D878" s="1" t="s">
        <v>678</v>
      </c>
      <c r="E878" s="6" t="n">
        <v>46073</v>
      </c>
      <c r="F878" s="6" t="n">
        <v>46071</v>
      </c>
      <c r="G878" s="1" t="s">
        <v>49</v>
      </c>
      <c r="H878" s="1" t="s">
        <v>2788</v>
      </c>
      <c r="I878" s="1" t="s">
        <v>2743</v>
      </c>
      <c r="J878" s="1" t="n">
        <v>9996.4</v>
      </c>
      <c r="K878" s="1" t="n">
        <v>7502.29</v>
      </c>
      <c r="L878" s="1" t="n">
        <v>0</v>
      </c>
      <c r="M878" s="1" t="n">
        <v>7502.29</v>
      </c>
      <c r="N878" s="1" t="s">
        <v>260</v>
      </c>
      <c r="P878" s="1" t="n">
        <v>7</v>
      </c>
      <c r="Q878" s="1" t="s">
        <v>42</v>
      </c>
      <c r="R878" s="1" t="s">
        <v>125</v>
      </c>
    </row>
    <row r="879" customFormat="false" ht="14.25" hidden="false" customHeight="true" outlineLevel="0" collapsed="false">
      <c r="A879" s="1" t="s">
        <v>2789</v>
      </c>
      <c r="B879" s="1" t="s">
        <v>696</v>
      </c>
      <c r="C879" s="1" t="s">
        <v>413</v>
      </c>
      <c r="D879" s="1" t="s">
        <v>280</v>
      </c>
      <c r="E879" s="6" t="n">
        <v>46063</v>
      </c>
      <c r="F879" s="6" t="n">
        <v>46058</v>
      </c>
      <c r="G879" s="1" t="s">
        <v>38</v>
      </c>
      <c r="H879" s="1" t="s">
        <v>2257</v>
      </c>
      <c r="I879" s="1" t="s">
        <v>2790</v>
      </c>
      <c r="J879" s="1" t="n">
        <v>34511.62</v>
      </c>
      <c r="K879" s="1" t="n">
        <v>26175.2</v>
      </c>
      <c r="L879" s="1" t="n">
        <v>23183.22</v>
      </c>
      <c r="M879" s="1" t="n">
        <v>2991.98</v>
      </c>
      <c r="N879" s="1" t="s">
        <v>41</v>
      </c>
      <c r="P879" s="1" t="n">
        <v>6</v>
      </c>
      <c r="Q879" s="1" t="s">
        <v>42</v>
      </c>
      <c r="R879" s="1" t="s">
        <v>140</v>
      </c>
      <c r="S879" s="6" t="n">
        <v>46069</v>
      </c>
    </row>
    <row r="880" customFormat="false" ht="14.25" hidden="false" customHeight="true" outlineLevel="0" collapsed="false">
      <c r="A880" s="1" t="s">
        <v>2791</v>
      </c>
      <c r="B880" s="1" t="s">
        <v>1421</v>
      </c>
      <c r="C880" s="1" t="s">
        <v>106</v>
      </c>
      <c r="D880" s="1" t="s">
        <v>1929</v>
      </c>
      <c r="E880" s="6" t="n">
        <v>46079</v>
      </c>
      <c r="F880" s="6" t="n">
        <v>46075</v>
      </c>
      <c r="G880" s="1" t="s">
        <v>70</v>
      </c>
      <c r="H880" s="1" t="s">
        <v>1409</v>
      </c>
      <c r="I880" s="1" t="s">
        <v>2792</v>
      </c>
      <c r="J880" s="1" t="n">
        <v>41604.27</v>
      </c>
      <c r="K880" s="1" t="n">
        <v>29327.82</v>
      </c>
      <c r="L880" s="1" t="n">
        <v>0</v>
      </c>
      <c r="M880" s="1" t="n">
        <v>29327.82</v>
      </c>
      <c r="N880" s="1" t="s">
        <v>52</v>
      </c>
      <c r="O880" s="1" t="s">
        <v>230</v>
      </c>
      <c r="P880" s="1" t="n">
        <v>8</v>
      </c>
      <c r="Q880" s="1" t="s">
        <v>42</v>
      </c>
      <c r="R880" s="1" t="s">
        <v>102</v>
      </c>
    </row>
    <row r="881" customFormat="false" ht="14.25" hidden="false" customHeight="true" outlineLevel="0" collapsed="false">
      <c r="A881" s="1" t="s">
        <v>2793</v>
      </c>
      <c r="B881" s="1" t="s">
        <v>2202</v>
      </c>
      <c r="C881" s="1" t="s">
        <v>151</v>
      </c>
      <c r="D881" s="1" t="s">
        <v>727</v>
      </c>
      <c r="E881" s="6" t="n">
        <v>46062</v>
      </c>
      <c r="F881" s="6" t="n">
        <v>46060</v>
      </c>
      <c r="G881" s="1" t="s">
        <v>38</v>
      </c>
      <c r="H881" s="1" t="s">
        <v>1218</v>
      </c>
      <c r="I881" s="1" t="s">
        <v>2794</v>
      </c>
      <c r="J881" s="1" t="n">
        <v>13000.52</v>
      </c>
      <c r="K881" s="1" t="n">
        <v>12219.89</v>
      </c>
      <c r="L881" s="1" t="n">
        <v>0</v>
      </c>
      <c r="M881" s="1" t="n">
        <v>12219.89</v>
      </c>
      <c r="N881" s="1" t="s">
        <v>111</v>
      </c>
      <c r="P881" s="1" t="n">
        <v>12</v>
      </c>
      <c r="Q881" s="1" t="s">
        <v>63</v>
      </c>
      <c r="R881" s="1" t="s">
        <v>43</v>
      </c>
    </row>
    <row r="882" customFormat="false" ht="14.25" hidden="false" customHeight="true" outlineLevel="0" collapsed="false">
      <c r="A882" s="1" t="s">
        <v>2795</v>
      </c>
      <c r="B882" s="1" t="s">
        <v>2086</v>
      </c>
      <c r="C882" s="1" t="s">
        <v>286</v>
      </c>
      <c r="D882" s="1" t="s">
        <v>635</v>
      </c>
      <c r="E882" s="6" t="n">
        <v>46167</v>
      </c>
      <c r="F882" s="6" t="n">
        <v>46163</v>
      </c>
      <c r="G882" s="1" t="s">
        <v>108</v>
      </c>
      <c r="H882" s="1" t="s">
        <v>447</v>
      </c>
      <c r="I882" s="1" t="s">
        <v>2796</v>
      </c>
      <c r="J882" s="1" t="n">
        <v>25800.36</v>
      </c>
      <c r="K882" s="1" t="n">
        <v>20024.9</v>
      </c>
      <c r="L882" s="1" t="n">
        <v>0</v>
      </c>
      <c r="M882" s="1" t="n">
        <v>20024.9</v>
      </c>
      <c r="N882" s="1" t="s">
        <v>52</v>
      </c>
      <c r="O882" s="1" t="s">
        <v>53</v>
      </c>
      <c r="P882" s="1" t="n">
        <v>5</v>
      </c>
      <c r="Q882" s="1" t="s">
        <v>63</v>
      </c>
      <c r="R882" s="1" t="s">
        <v>102</v>
      </c>
    </row>
    <row r="883" customFormat="false" ht="14.25" hidden="false" customHeight="true" outlineLevel="0" collapsed="false">
      <c r="A883" s="1" t="s">
        <v>2797</v>
      </c>
      <c r="B883" s="1" t="s">
        <v>1562</v>
      </c>
      <c r="C883" s="1" t="s">
        <v>92</v>
      </c>
      <c r="D883" s="1" t="s">
        <v>245</v>
      </c>
      <c r="E883" s="6" t="n">
        <v>46054</v>
      </c>
      <c r="F883" s="6" t="n">
        <v>46053</v>
      </c>
      <c r="G883" s="1" t="s">
        <v>70</v>
      </c>
      <c r="H883" s="1" t="s">
        <v>2030</v>
      </c>
      <c r="I883" s="1" t="s">
        <v>2798</v>
      </c>
      <c r="J883" s="1" t="n">
        <v>18386.08</v>
      </c>
      <c r="K883" s="1" t="n">
        <v>16370.78</v>
      </c>
      <c r="L883" s="1" t="n">
        <v>12501.15</v>
      </c>
      <c r="M883" s="1" t="n">
        <v>3869.63</v>
      </c>
      <c r="N883" s="1" t="s">
        <v>41</v>
      </c>
      <c r="P883" s="1" t="n">
        <v>2</v>
      </c>
      <c r="Q883" s="1" t="s">
        <v>42</v>
      </c>
      <c r="R883" s="1" t="s">
        <v>74</v>
      </c>
      <c r="S883" s="6" t="n">
        <v>46056</v>
      </c>
    </row>
    <row r="884" customFormat="false" ht="14.25" hidden="false" customHeight="true" outlineLevel="0" collapsed="false">
      <c r="A884" s="1" t="s">
        <v>2799</v>
      </c>
      <c r="B884" s="1" t="s">
        <v>435</v>
      </c>
      <c r="C884" s="1" t="s">
        <v>279</v>
      </c>
      <c r="D884" s="1" t="s">
        <v>855</v>
      </c>
      <c r="E884" s="6" t="n">
        <v>46132</v>
      </c>
      <c r="F884" s="6" t="n">
        <v>46131</v>
      </c>
      <c r="G884" s="1" t="s">
        <v>38</v>
      </c>
      <c r="H884" s="1" t="s">
        <v>1646</v>
      </c>
      <c r="I884" s="1" t="s">
        <v>2800</v>
      </c>
      <c r="J884" s="1" t="n">
        <v>33184.7</v>
      </c>
      <c r="K884" s="1" t="n">
        <v>22166.18</v>
      </c>
      <c r="L884" s="1" t="n">
        <v>17242.14</v>
      </c>
      <c r="M884" s="1" t="n">
        <v>4924.04</v>
      </c>
      <c r="N884" s="1" t="s">
        <v>41</v>
      </c>
      <c r="P884" s="1" t="n">
        <v>5</v>
      </c>
      <c r="Q884" s="1" t="s">
        <v>42</v>
      </c>
      <c r="R884" s="1" t="s">
        <v>102</v>
      </c>
      <c r="S884" s="6" t="n">
        <v>46137</v>
      </c>
    </row>
    <row r="885" customFormat="false" ht="14.25" hidden="false" customHeight="true" outlineLevel="0" collapsed="false">
      <c r="A885" s="1" t="s">
        <v>2801</v>
      </c>
      <c r="B885" s="1" t="s">
        <v>696</v>
      </c>
      <c r="C885" s="1" t="s">
        <v>325</v>
      </c>
      <c r="D885" s="1" t="s">
        <v>529</v>
      </c>
      <c r="E885" s="6" t="n">
        <v>46084</v>
      </c>
      <c r="F885" s="6" t="n">
        <v>46083</v>
      </c>
      <c r="G885" s="1" t="s">
        <v>108</v>
      </c>
      <c r="H885" s="1" t="s">
        <v>2123</v>
      </c>
      <c r="I885" s="1" t="s">
        <v>2802</v>
      </c>
      <c r="J885" s="1" t="n">
        <v>29413.94</v>
      </c>
      <c r="K885" s="1" t="n">
        <v>25846.19</v>
      </c>
      <c r="L885" s="1" t="n">
        <v>20495.01</v>
      </c>
      <c r="M885" s="1" t="n">
        <v>5351.18</v>
      </c>
      <c r="N885" s="1" t="s">
        <v>41</v>
      </c>
      <c r="P885" s="1" t="n">
        <v>7</v>
      </c>
      <c r="Q885" s="1" t="s">
        <v>42</v>
      </c>
      <c r="R885" s="1" t="s">
        <v>74</v>
      </c>
      <c r="S885" s="6" t="n">
        <v>46091</v>
      </c>
    </row>
    <row r="886" customFormat="false" ht="14.25" hidden="false" customHeight="true" outlineLevel="0" collapsed="false">
      <c r="A886" s="1" t="s">
        <v>2803</v>
      </c>
      <c r="B886" s="1" t="s">
        <v>921</v>
      </c>
      <c r="C886" s="1" t="s">
        <v>413</v>
      </c>
      <c r="D886" s="1" t="s">
        <v>529</v>
      </c>
      <c r="E886" s="6" t="n">
        <v>46182</v>
      </c>
      <c r="F886" s="6" t="n">
        <v>46180</v>
      </c>
      <c r="G886" s="1" t="s">
        <v>38</v>
      </c>
      <c r="H886" s="1" t="s">
        <v>2021</v>
      </c>
      <c r="I886" s="1" t="s">
        <v>2804</v>
      </c>
      <c r="J886" s="1" t="n">
        <v>6665.88</v>
      </c>
      <c r="K886" s="1" t="n">
        <v>4825.15</v>
      </c>
      <c r="L886" s="1" t="n">
        <v>0</v>
      </c>
      <c r="M886" s="1" t="n">
        <v>4825.15</v>
      </c>
      <c r="N886" s="1" t="s">
        <v>52</v>
      </c>
      <c r="O886" s="1" t="s">
        <v>265</v>
      </c>
      <c r="P886" s="1" t="n">
        <v>7</v>
      </c>
      <c r="Q886" s="1" t="s">
        <v>63</v>
      </c>
      <c r="R886" s="1" t="s">
        <v>54</v>
      </c>
    </row>
    <row r="887" customFormat="false" ht="14.25" hidden="false" customHeight="true" outlineLevel="0" collapsed="false">
      <c r="A887" s="1" t="s">
        <v>2805</v>
      </c>
      <c r="B887" s="1" t="s">
        <v>67</v>
      </c>
      <c r="C887" s="1" t="s">
        <v>510</v>
      </c>
      <c r="D887" s="1" t="s">
        <v>203</v>
      </c>
      <c r="E887" s="6" t="n">
        <v>46024</v>
      </c>
      <c r="F887" s="6" t="n">
        <v>46023</v>
      </c>
      <c r="G887" s="1" t="s">
        <v>108</v>
      </c>
      <c r="H887" s="1" t="s">
        <v>2806</v>
      </c>
      <c r="I887" s="1" t="s">
        <v>2807</v>
      </c>
      <c r="J887" s="1" t="n">
        <v>22042.07</v>
      </c>
      <c r="K887" s="1" t="n">
        <v>20020.12</v>
      </c>
      <c r="L887" s="1" t="n">
        <v>0</v>
      </c>
      <c r="M887" s="1" t="n">
        <v>20020.12</v>
      </c>
      <c r="N887" s="1" t="s">
        <v>111</v>
      </c>
      <c r="P887" s="1" t="n">
        <v>10</v>
      </c>
      <c r="Q887" s="1" t="s">
        <v>63</v>
      </c>
      <c r="R887" s="1" t="s">
        <v>74</v>
      </c>
    </row>
    <row r="888" customFormat="false" ht="14.25" hidden="false" customHeight="true" outlineLevel="0" collapsed="false">
      <c r="A888" s="1" t="s">
        <v>2808</v>
      </c>
      <c r="B888" s="1" t="s">
        <v>2809</v>
      </c>
      <c r="C888" s="1" t="s">
        <v>273</v>
      </c>
      <c r="D888" s="1" t="s">
        <v>595</v>
      </c>
      <c r="E888" s="6" t="n">
        <v>46139</v>
      </c>
      <c r="F888" s="6" t="n">
        <v>46136</v>
      </c>
      <c r="G888" s="1" t="s">
        <v>38</v>
      </c>
      <c r="H888" s="1" t="s">
        <v>2810</v>
      </c>
      <c r="I888" s="1" t="s">
        <v>2811</v>
      </c>
      <c r="J888" s="1" t="n">
        <v>44461.86</v>
      </c>
      <c r="K888" s="1" t="n">
        <v>40245.8</v>
      </c>
      <c r="L888" s="1" t="n">
        <v>37737.42</v>
      </c>
      <c r="M888" s="1" t="n">
        <v>2508.38</v>
      </c>
      <c r="N888" s="1" t="s">
        <v>41</v>
      </c>
      <c r="P888" s="1" t="n">
        <v>1</v>
      </c>
      <c r="Q888" s="1" t="s">
        <v>63</v>
      </c>
      <c r="R888" s="1" t="s">
        <v>125</v>
      </c>
      <c r="S888" s="6" t="n">
        <v>46140</v>
      </c>
    </row>
    <row r="889" customFormat="false" ht="14.25" hidden="false" customHeight="true" outlineLevel="0" collapsed="false">
      <c r="A889" s="1" t="s">
        <v>2812</v>
      </c>
      <c r="B889" s="1" t="s">
        <v>214</v>
      </c>
      <c r="C889" s="1" t="s">
        <v>296</v>
      </c>
      <c r="D889" s="1" t="s">
        <v>59</v>
      </c>
      <c r="E889" s="6" t="n">
        <v>46159</v>
      </c>
      <c r="F889" s="6" t="n">
        <v>46157</v>
      </c>
      <c r="G889" s="1" t="s">
        <v>108</v>
      </c>
      <c r="H889" s="1" t="s">
        <v>2178</v>
      </c>
      <c r="I889" s="1" t="s">
        <v>1366</v>
      </c>
      <c r="J889" s="1" t="n">
        <v>25202.09</v>
      </c>
      <c r="K889" s="1" t="n">
        <v>21035.97</v>
      </c>
      <c r="L889" s="1" t="n">
        <v>20185.16</v>
      </c>
      <c r="M889" s="1" t="n">
        <v>850.81</v>
      </c>
      <c r="N889" s="1" t="s">
        <v>41</v>
      </c>
      <c r="P889" s="1" t="n">
        <v>4</v>
      </c>
      <c r="Q889" s="1" t="s">
        <v>155</v>
      </c>
      <c r="R889" s="1" t="s">
        <v>125</v>
      </c>
      <c r="S889" s="6" t="n">
        <v>46163</v>
      </c>
    </row>
    <row r="890" customFormat="false" ht="14.25" hidden="false" customHeight="true" outlineLevel="0" collapsed="false">
      <c r="A890" s="1" t="s">
        <v>2813</v>
      </c>
      <c r="B890" s="1" t="s">
        <v>1729</v>
      </c>
      <c r="C890" s="1" t="s">
        <v>446</v>
      </c>
      <c r="D890" s="1" t="s">
        <v>69</v>
      </c>
      <c r="E890" s="6" t="n">
        <v>46127</v>
      </c>
      <c r="F890" s="6" t="n">
        <v>46126</v>
      </c>
      <c r="G890" s="1" t="s">
        <v>108</v>
      </c>
      <c r="H890" s="1" t="s">
        <v>2298</v>
      </c>
      <c r="I890" s="1" t="s">
        <v>2814</v>
      </c>
      <c r="J890" s="1" t="n">
        <v>17986.64</v>
      </c>
      <c r="K890" s="1" t="n">
        <v>13170.58</v>
      </c>
      <c r="L890" s="1" t="n">
        <v>12231.96</v>
      </c>
      <c r="M890" s="1" t="n">
        <v>938.62</v>
      </c>
      <c r="N890" s="1" t="s">
        <v>41</v>
      </c>
      <c r="P890" s="1" t="n">
        <v>4</v>
      </c>
      <c r="Q890" s="1" t="s">
        <v>42</v>
      </c>
      <c r="R890" s="1" t="s">
        <v>74</v>
      </c>
      <c r="S890" s="6" t="n">
        <v>46131</v>
      </c>
    </row>
    <row r="891" customFormat="false" ht="14.25" hidden="false" customHeight="true" outlineLevel="0" collapsed="false">
      <c r="A891" s="1" t="s">
        <v>2815</v>
      </c>
      <c r="B891" s="1" t="s">
        <v>295</v>
      </c>
      <c r="C891" s="1" t="s">
        <v>346</v>
      </c>
      <c r="D891" s="1" t="s">
        <v>635</v>
      </c>
      <c r="E891" s="6" t="n">
        <v>46042</v>
      </c>
      <c r="F891" s="6" t="n">
        <v>46039</v>
      </c>
      <c r="G891" s="1" t="s">
        <v>49</v>
      </c>
      <c r="H891" s="1" t="s">
        <v>1556</v>
      </c>
      <c r="I891" s="1" t="s">
        <v>2816</v>
      </c>
      <c r="J891" s="1" t="n">
        <v>1583.03</v>
      </c>
      <c r="K891" s="1" t="n">
        <v>1300.45</v>
      </c>
      <c r="L891" s="1" t="n">
        <v>0</v>
      </c>
      <c r="M891" s="1" t="n">
        <v>1300.45</v>
      </c>
      <c r="N891" s="1" t="s">
        <v>111</v>
      </c>
      <c r="P891" s="1" t="n">
        <v>9</v>
      </c>
      <c r="Q891" s="1" t="s">
        <v>63</v>
      </c>
      <c r="R891" s="1" t="s">
        <v>54</v>
      </c>
    </row>
    <row r="892" customFormat="false" ht="14.25" hidden="false" customHeight="true" outlineLevel="0" collapsed="false">
      <c r="A892" s="1" t="s">
        <v>2817</v>
      </c>
      <c r="B892" s="1" t="s">
        <v>690</v>
      </c>
      <c r="C892" s="1" t="s">
        <v>244</v>
      </c>
      <c r="D892" s="1" t="s">
        <v>280</v>
      </c>
      <c r="E892" s="6" t="n">
        <v>46136</v>
      </c>
      <c r="F892" s="6" t="n">
        <v>46134</v>
      </c>
      <c r="G892" s="1" t="s">
        <v>38</v>
      </c>
      <c r="H892" s="1" t="s">
        <v>1511</v>
      </c>
      <c r="I892" s="1" t="s">
        <v>2818</v>
      </c>
      <c r="J892" s="1" t="n">
        <v>13821.52</v>
      </c>
      <c r="K892" s="1" t="n">
        <v>12763.89</v>
      </c>
      <c r="L892" s="1" t="n">
        <v>10402.12</v>
      </c>
      <c r="M892" s="1" t="n">
        <v>2361.77</v>
      </c>
      <c r="N892" s="1" t="s">
        <v>41</v>
      </c>
      <c r="P892" s="1" t="n">
        <v>3</v>
      </c>
      <c r="Q892" s="1" t="s">
        <v>63</v>
      </c>
      <c r="R892" s="1" t="s">
        <v>102</v>
      </c>
      <c r="S892" s="6" t="n">
        <v>46139</v>
      </c>
    </row>
    <row r="893" customFormat="false" ht="14.25" hidden="false" customHeight="true" outlineLevel="0" collapsed="false">
      <c r="A893" s="1" t="s">
        <v>2819</v>
      </c>
      <c r="B893" s="1" t="s">
        <v>1452</v>
      </c>
      <c r="C893" s="1" t="s">
        <v>436</v>
      </c>
      <c r="D893" s="1" t="s">
        <v>574</v>
      </c>
      <c r="E893" s="6" t="n">
        <v>46036</v>
      </c>
      <c r="F893" s="6" t="n">
        <v>46035</v>
      </c>
      <c r="G893" s="1" t="s">
        <v>70</v>
      </c>
      <c r="H893" s="1" t="s">
        <v>2203</v>
      </c>
      <c r="I893" s="1" t="s">
        <v>2820</v>
      </c>
      <c r="J893" s="1" t="n">
        <v>45834.57</v>
      </c>
      <c r="K893" s="1" t="n">
        <v>31062.69</v>
      </c>
      <c r="L893" s="1" t="n">
        <v>28696.59</v>
      </c>
      <c r="M893" s="1" t="n">
        <v>2366.1</v>
      </c>
      <c r="N893" s="1" t="s">
        <v>41</v>
      </c>
      <c r="P893" s="1" t="n">
        <v>1</v>
      </c>
      <c r="Q893" s="1" t="s">
        <v>63</v>
      </c>
      <c r="R893" s="1" t="s">
        <v>140</v>
      </c>
      <c r="S893" s="6" t="n">
        <v>46037</v>
      </c>
    </row>
    <row r="894" customFormat="false" ht="14.25" hidden="false" customHeight="true" outlineLevel="0" collapsed="false">
      <c r="A894" s="1" t="s">
        <v>2821</v>
      </c>
      <c r="B894" s="1" t="s">
        <v>1090</v>
      </c>
      <c r="C894" s="1" t="s">
        <v>244</v>
      </c>
      <c r="D894" s="1" t="s">
        <v>122</v>
      </c>
      <c r="E894" s="6" t="n">
        <v>46136</v>
      </c>
      <c r="F894" s="6" t="n">
        <v>46134</v>
      </c>
      <c r="G894" s="1" t="s">
        <v>108</v>
      </c>
      <c r="H894" s="1" t="s">
        <v>369</v>
      </c>
      <c r="I894" s="1" t="s">
        <v>2822</v>
      </c>
      <c r="J894" s="1" t="n">
        <v>9707.99</v>
      </c>
      <c r="K894" s="1" t="n">
        <v>7502.72</v>
      </c>
      <c r="L894" s="1" t="n">
        <v>0</v>
      </c>
      <c r="M894" s="1" t="n">
        <v>7502.72</v>
      </c>
      <c r="N894" s="1" t="s">
        <v>52</v>
      </c>
      <c r="O894" s="1" t="s">
        <v>73</v>
      </c>
      <c r="P894" s="1" t="n">
        <v>3</v>
      </c>
      <c r="Q894" s="1" t="s">
        <v>63</v>
      </c>
      <c r="R894" s="1" t="s">
        <v>64</v>
      </c>
    </row>
    <row r="895" customFormat="false" ht="14.25" hidden="false" customHeight="true" outlineLevel="0" collapsed="false">
      <c r="A895" s="1" t="s">
        <v>2823</v>
      </c>
      <c r="B895" s="1" t="s">
        <v>1151</v>
      </c>
      <c r="C895" s="1" t="s">
        <v>686</v>
      </c>
      <c r="D895" s="1" t="s">
        <v>341</v>
      </c>
      <c r="E895" s="6" t="n">
        <v>46146</v>
      </c>
      <c r="F895" s="6" t="n">
        <v>46143</v>
      </c>
      <c r="G895" s="1" t="s">
        <v>108</v>
      </c>
      <c r="H895" s="1" t="s">
        <v>80</v>
      </c>
      <c r="I895" s="1" t="s">
        <v>2824</v>
      </c>
      <c r="J895" s="1" t="n">
        <v>12194.14</v>
      </c>
      <c r="K895" s="1" t="n">
        <v>10881.06</v>
      </c>
      <c r="L895" s="1" t="n">
        <v>0</v>
      </c>
      <c r="M895" s="1" t="n">
        <v>10881.06</v>
      </c>
      <c r="N895" s="1" t="s">
        <v>52</v>
      </c>
      <c r="O895" s="1" t="s">
        <v>73</v>
      </c>
      <c r="P895" s="1" t="n">
        <v>4</v>
      </c>
      <c r="Q895" s="1" t="s">
        <v>42</v>
      </c>
      <c r="R895" s="1" t="s">
        <v>54</v>
      </c>
    </row>
    <row r="896" customFormat="false" ht="14.25" hidden="false" customHeight="true" outlineLevel="0" collapsed="false">
      <c r="A896" s="1" t="s">
        <v>2825</v>
      </c>
      <c r="B896" s="1" t="s">
        <v>1421</v>
      </c>
      <c r="C896" s="1" t="s">
        <v>151</v>
      </c>
      <c r="D896" s="1" t="s">
        <v>550</v>
      </c>
      <c r="E896" s="6" t="n">
        <v>46225</v>
      </c>
      <c r="F896" s="6" t="n">
        <v>46222</v>
      </c>
      <c r="G896" s="1" t="s">
        <v>38</v>
      </c>
      <c r="H896" s="1" t="s">
        <v>2826</v>
      </c>
      <c r="I896" s="1" t="s">
        <v>2827</v>
      </c>
      <c r="J896" s="1" t="n">
        <v>18762.06</v>
      </c>
      <c r="K896" s="1" t="n">
        <v>13202.43</v>
      </c>
      <c r="L896" s="1" t="n">
        <v>11663.22</v>
      </c>
      <c r="M896" s="1" t="n">
        <v>1539.21</v>
      </c>
      <c r="N896" s="1" t="s">
        <v>41</v>
      </c>
      <c r="P896" s="1" t="n">
        <v>3</v>
      </c>
      <c r="Q896" s="1" t="s">
        <v>42</v>
      </c>
      <c r="R896" s="1" t="s">
        <v>125</v>
      </c>
      <c r="S896" s="6" t="n">
        <v>46228</v>
      </c>
    </row>
    <row r="897" customFormat="false" ht="14.25" hidden="false" customHeight="true" outlineLevel="0" collapsed="false">
      <c r="A897" s="1" t="s">
        <v>2828</v>
      </c>
      <c r="B897" s="1" t="s">
        <v>220</v>
      </c>
      <c r="C897" s="1" t="s">
        <v>198</v>
      </c>
      <c r="D897" s="1" t="s">
        <v>86</v>
      </c>
      <c r="E897" s="6" t="n">
        <v>46032</v>
      </c>
      <c r="F897" s="6" t="n">
        <v>46028</v>
      </c>
      <c r="G897" s="1" t="s">
        <v>70</v>
      </c>
      <c r="H897" s="1" t="s">
        <v>2548</v>
      </c>
      <c r="I897" s="1" t="s">
        <v>2829</v>
      </c>
      <c r="J897" s="1" t="n">
        <v>3314.08</v>
      </c>
      <c r="K897" s="1" t="n">
        <v>2288.32</v>
      </c>
      <c r="L897" s="1" t="n">
        <v>1743.9</v>
      </c>
      <c r="M897" s="1" t="n">
        <v>544.42</v>
      </c>
      <c r="N897" s="1" t="s">
        <v>41</v>
      </c>
      <c r="P897" s="1" t="n">
        <v>3</v>
      </c>
      <c r="Q897" s="1" t="s">
        <v>63</v>
      </c>
      <c r="R897" s="1" t="s">
        <v>140</v>
      </c>
      <c r="S897" s="6" t="n">
        <v>46035</v>
      </c>
    </row>
    <row r="898" customFormat="false" ht="14.25" hidden="false" customHeight="true" outlineLevel="0" collapsed="false">
      <c r="A898" s="1" t="s">
        <v>2830</v>
      </c>
      <c r="B898" s="1" t="s">
        <v>1725</v>
      </c>
      <c r="C898" s="1" t="s">
        <v>686</v>
      </c>
      <c r="D898" s="1" t="s">
        <v>717</v>
      </c>
      <c r="E898" s="6" t="n">
        <v>46140</v>
      </c>
      <c r="F898" s="6" t="n">
        <v>46139</v>
      </c>
      <c r="G898" s="1" t="s">
        <v>38</v>
      </c>
      <c r="H898" s="1" t="s">
        <v>870</v>
      </c>
      <c r="I898" s="1" t="s">
        <v>2831</v>
      </c>
      <c r="J898" s="1" t="n">
        <v>35814.77</v>
      </c>
      <c r="K898" s="1" t="n">
        <v>25021.13</v>
      </c>
      <c r="L898" s="1" t="n">
        <v>0</v>
      </c>
      <c r="M898" s="1" t="n">
        <v>25021.13</v>
      </c>
      <c r="N898" s="1" t="s">
        <v>111</v>
      </c>
      <c r="P898" s="1" t="n">
        <v>13</v>
      </c>
      <c r="Q898" s="1" t="s">
        <v>63</v>
      </c>
      <c r="R898" s="1" t="s">
        <v>64</v>
      </c>
    </row>
    <row r="899" customFormat="false" ht="14.25" hidden="false" customHeight="true" outlineLevel="0" collapsed="false">
      <c r="A899" s="1" t="s">
        <v>2832</v>
      </c>
      <c r="B899" s="1" t="s">
        <v>924</v>
      </c>
      <c r="C899" s="1" t="s">
        <v>413</v>
      </c>
      <c r="D899" s="1" t="s">
        <v>239</v>
      </c>
      <c r="E899" s="6" t="n">
        <v>46230</v>
      </c>
      <c r="F899" s="6" t="n">
        <v>46227</v>
      </c>
      <c r="G899" s="1" t="s">
        <v>70</v>
      </c>
      <c r="H899" s="1" t="s">
        <v>2833</v>
      </c>
      <c r="I899" s="1" t="s">
        <v>2834</v>
      </c>
      <c r="J899" s="1" t="n">
        <v>20053.34</v>
      </c>
      <c r="K899" s="1" t="n">
        <v>16292.15</v>
      </c>
      <c r="L899" s="1" t="n">
        <v>0</v>
      </c>
      <c r="M899" s="1" t="n">
        <v>16292.15</v>
      </c>
      <c r="N899" s="1" t="s">
        <v>111</v>
      </c>
      <c r="P899" s="1" t="n">
        <v>10</v>
      </c>
      <c r="Q899" s="1" t="s">
        <v>63</v>
      </c>
      <c r="R899" s="1" t="s">
        <v>64</v>
      </c>
    </row>
    <row r="900" customFormat="false" ht="14.25" hidden="false" customHeight="true" outlineLevel="0" collapsed="false">
      <c r="A900" s="1" t="s">
        <v>2835</v>
      </c>
      <c r="B900" s="1" t="s">
        <v>98</v>
      </c>
      <c r="C900" s="1" t="s">
        <v>367</v>
      </c>
      <c r="D900" s="1" t="s">
        <v>86</v>
      </c>
      <c r="E900" s="6" t="n">
        <v>46128</v>
      </c>
      <c r="F900" s="6" t="n">
        <v>46127</v>
      </c>
      <c r="G900" s="1" t="s">
        <v>49</v>
      </c>
      <c r="H900" s="1" t="s">
        <v>1569</v>
      </c>
      <c r="I900" s="1" t="s">
        <v>2836</v>
      </c>
      <c r="J900" s="1" t="n">
        <v>25236.47</v>
      </c>
      <c r="K900" s="1" t="n">
        <v>22497.09</v>
      </c>
      <c r="L900" s="1" t="n">
        <v>18036.44</v>
      </c>
      <c r="M900" s="1" t="n">
        <v>4460.65</v>
      </c>
      <c r="N900" s="1" t="s">
        <v>41</v>
      </c>
      <c r="P900" s="1" t="n">
        <v>6</v>
      </c>
      <c r="Q900" s="1" t="s">
        <v>63</v>
      </c>
      <c r="R900" s="1" t="s">
        <v>102</v>
      </c>
      <c r="S900" s="6" t="n">
        <v>46134</v>
      </c>
    </row>
    <row r="901" customFormat="false" ht="14.25" hidden="false" customHeight="true" outlineLevel="0" collapsed="false">
      <c r="A901" s="1" t="s">
        <v>2837</v>
      </c>
      <c r="B901" s="1" t="s">
        <v>351</v>
      </c>
      <c r="C901" s="1" t="s">
        <v>430</v>
      </c>
      <c r="D901" s="1" t="s">
        <v>208</v>
      </c>
      <c r="E901" s="6" t="n">
        <v>46031</v>
      </c>
      <c r="F901" s="6" t="n">
        <v>46029</v>
      </c>
      <c r="G901" s="1" t="s">
        <v>38</v>
      </c>
      <c r="H901" s="1" t="s">
        <v>414</v>
      </c>
      <c r="I901" s="1" t="s">
        <v>1086</v>
      </c>
      <c r="J901" s="1" t="n">
        <v>37640.41</v>
      </c>
      <c r="K901" s="1" t="n">
        <v>26900.51</v>
      </c>
      <c r="L901" s="1" t="n">
        <v>25387.84</v>
      </c>
      <c r="M901" s="1" t="n">
        <v>1512.67</v>
      </c>
      <c r="N901" s="1" t="s">
        <v>41</v>
      </c>
      <c r="P901" s="1" t="n">
        <v>3</v>
      </c>
      <c r="Q901" s="1" t="s">
        <v>63</v>
      </c>
      <c r="R901" s="1" t="s">
        <v>140</v>
      </c>
      <c r="S901" s="6" t="n">
        <v>46034</v>
      </c>
    </row>
    <row r="902" customFormat="false" ht="14.25" hidden="false" customHeight="true" outlineLevel="0" collapsed="false">
      <c r="A902" s="1" t="s">
        <v>2838</v>
      </c>
      <c r="B902" s="1" t="s">
        <v>889</v>
      </c>
      <c r="C902" s="1" t="s">
        <v>58</v>
      </c>
      <c r="D902" s="1" t="s">
        <v>145</v>
      </c>
      <c r="E902" s="6" t="n">
        <v>46059</v>
      </c>
      <c r="F902" s="6" t="n">
        <v>46059</v>
      </c>
      <c r="G902" s="1" t="s">
        <v>49</v>
      </c>
      <c r="H902" s="1" t="s">
        <v>316</v>
      </c>
      <c r="I902" s="1" t="s">
        <v>2839</v>
      </c>
      <c r="J902" s="1" t="n">
        <v>45231.35</v>
      </c>
      <c r="K902" s="1" t="n">
        <v>32832.35</v>
      </c>
      <c r="L902" s="1" t="n">
        <v>0</v>
      </c>
      <c r="M902" s="1" t="n">
        <v>32832.35</v>
      </c>
      <c r="N902" s="1" t="s">
        <v>52</v>
      </c>
      <c r="O902" s="1" t="s">
        <v>62</v>
      </c>
      <c r="P902" s="1" t="n">
        <v>7</v>
      </c>
      <c r="Q902" s="1" t="s">
        <v>155</v>
      </c>
      <c r="R902" s="1" t="s">
        <v>140</v>
      </c>
    </row>
    <row r="903" customFormat="false" ht="14.25" hidden="false" customHeight="true" outlineLevel="0" collapsed="false">
      <c r="A903" s="1" t="s">
        <v>2840</v>
      </c>
      <c r="B903" s="1" t="s">
        <v>917</v>
      </c>
      <c r="C903" s="1" t="s">
        <v>686</v>
      </c>
      <c r="D903" s="1" t="s">
        <v>678</v>
      </c>
      <c r="E903" s="6" t="n">
        <v>46065</v>
      </c>
      <c r="F903" s="6" t="n">
        <v>46060</v>
      </c>
      <c r="G903" s="1" t="s">
        <v>70</v>
      </c>
      <c r="H903" s="1" t="s">
        <v>123</v>
      </c>
      <c r="I903" s="1" t="s">
        <v>2841</v>
      </c>
      <c r="J903" s="1" t="n">
        <v>15123.2</v>
      </c>
      <c r="K903" s="1" t="n">
        <v>10071.08</v>
      </c>
      <c r="L903" s="1" t="n">
        <v>0</v>
      </c>
      <c r="M903" s="1" t="n">
        <v>10071.08</v>
      </c>
      <c r="N903" s="1" t="s">
        <v>52</v>
      </c>
      <c r="O903" s="1" t="s">
        <v>62</v>
      </c>
      <c r="P903" s="1" t="n">
        <v>8</v>
      </c>
      <c r="Q903" s="1" t="s">
        <v>42</v>
      </c>
      <c r="R903" s="1" t="s">
        <v>43</v>
      </c>
    </row>
    <row r="904" customFormat="false" ht="14.25" hidden="false" customHeight="true" outlineLevel="0" collapsed="false">
      <c r="A904" s="1" t="s">
        <v>2842</v>
      </c>
      <c r="B904" s="1" t="s">
        <v>381</v>
      </c>
      <c r="C904" s="1" t="s">
        <v>296</v>
      </c>
      <c r="D904" s="1" t="s">
        <v>268</v>
      </c>
      <c r="E904" s="6" t="n">
        <v>46036</v>
      </c>
      <c r="F904" s="6" t="n">
        <v>46033</v>
      </c>
      <c r="G904" s="1" t="s">
        <v>70</v>
      </c>
      <c r="H904" s="1" t="s">
        <v>701</v>
      </c>
      <c r="I904" s="1" t="s">
        <v>2843</v>
      </c>
      <c r="J904" s="1" t="n">
        <v>16906.89</v>
      </c>
      <c r="K904" s="1" t="n">
        <v>12563.55</v>
      </c>
      <c r="L904" s="1" t="n">
        <v>11014.21</v>
      </c>
      <c r="M904" s="1" t="n">
        <v>1549.34</v>
      </c>
      <c r="N904" s="1" t="s">
        <v>41</v>
      </c>
      <c r="P904" s="1" t="n">
        <v>1</v>
      </c>
      <c r="Q904" s="1" t="s">
        <v>42</v>
      </c>
      <c r="R904" s="1" t="s">
        <v>140</v>
      </c>
      <c r="S904" s="6" t="n">
        <v>46037</v>
      </c>
    </row>
    <row r="905" customFormat="false" ht="14.25" hidden="false" customHeight="true" outlineLevel="0" collapsed="false">
      <c r="A905" s="1" t="s">
        <v>2844</v>
      </c>
      <c r="B905" s="1" t="s">
        <v>2845</v>
      </c>
      <c r="C905" s="1" t="s">
        <v>376</v>
      </c>
      <c r="D905" s="1" t="s">
        <v>1211</v>
      </c>
      <c r="E905" s="6" t="n">
        <v>46188</v>
      </c>
      <c r="F905" s="6" t="n">
        <v>46184</v>
      </c>
      <c r="G905" s="1" t="s">
        <v>108</v>
      </c>
      <c r="H905" s="1" t="s">
        <v>2771</v>
      </c>
      <c r="I905" s="1" t="s">
        <v>2846</v>
      </c>
      <c r="J905" s="1" t="n">
        <v>22693.75</v>
      </c>
      <c r="K905" s="1" t="n">
        <v>17025.13</v>
      </c>
      <c r="L905" s="1" t="n">
        <v>15377.63</v>
      </c>
      <c r="M905" s="1" t="n">
        <v>1647.5</v>
      </c>
      <c r="N905" s="1" t="s">
        <v>41</v>
      </c>
      <c r="P905" s="1" t="n">
        <v>6</v>
      </c>
      <c r="Q905" s="1" t="s">
        <v>42</v>
      </c>
      <c r="R905" s="1" t="s">
        <v>54</v>
      </c>
      <c r="S905" s="6" t="n">
        <v>46194</v>
      </c>
    </row>
    <row r="906" customFormat="false" ht="14.25" hidden="false" customHeight="true" outlineLevel="0" collapsed="false">
      <c r="A906" s="1" t="s">
        <v>2847</v>
      </c>
      <c r="B906" s="1" t="s">
        <v>345</v>
      </c>
      <c r="C906" s="1" t="s">
        <v>335</v>
      </c>
      <c r="D906" s="1" t="s">
        <v>799</v>
      </c>
      <c r="E906" s="6" t="n">
        <v>46138</v>
      </c>
      <c r="F906" s="6" t="n">
        <v>46135</v>
      </c>
      <c r="G906" s="1" t="s">
        <v>49</v>
      </c>
      <c r="H906" s="1" t="s">
        <v>1359</v>
      </c>
      <c r="I906" s="1" t="s">
        <v>2848</v>
      </c>
      <c r="J906" s="1" t="n">
        <v>25941.6</v>
      </c>
      <c r="K906" s="1" t="n">
        <v>22047.66</v>
      </c>
      <c r="L906" s="1" t="n">
        <v>19556.22</v>
      </c>
      <c r="M906" s="1" t="n">
        <v>2491.44</v>
      </c>
      <c r="N906" s="1" t="s">
        <v>41</v>
      </c>
      <c r="P906" s="1" t="n">
        <v>2</v>
      </c>
      <c r="Q906" s="1" t="s">
        <v>155</v>
      </c>
      <c r="R906" s="1" t="s">
        <v>140</v>
      </c>
      <c r="S906" s="6" t="n">
        <v>46140</v>
      </c>
    </row>
    <row r="907" customFormat="false" ht="14.25" hidden="false" customHeight="true" outlineLevel="0" collapsed="false">
      <c r="A907" s="1" t="s">
        <v>2849</v>
      </c>
      <c r="B907" s="1" t="s">
        <v>602</v>
      </c>
      <c r="C907" s="1" t="s">
        <v>158</v>
      </c>
      <c r="D907" s="1" t="s">
        <v>732</v>
      </c>
      <c r="E907" s="6" t="n">
        <v>46219</v>
      </c>
      <c r="F907" s="6" t="n">
        <v>46218</v>
      </c>
      <c r="G907" s="1" t="s">
        <v>49</v>
      </c>
      <c r="H907" s="1" t="s">
        <v>2850</v>
      </c>
      <c r="I907" s="1" t="s">
        <v>2851</v>
      </c>
      <c r="J907" s="1" t="n">
        <v>19502.53</v>
      </c>
      <c r="K907" s="1" t="n">
        <v>14984.18</v>
      </c>
      <c r="L907" s="1" t="n">
        <v>11395.06</v>
      </c>
      <c r="M907" s="1" t="n">
        <v>3589.12</v>
      </c>
      <c r="N907" s="1" t="s">
        <v>41</v>
      </c>
      <c r="P907" s="1" t="n">
        <v>5</v>
      </c>
      <c r="Q907" s="1" t="s">
        <v>63</v>
      </c>
      <c r="R907" s="1" t="s">
        <v>125</v>
      </c>
      <c r="S907" s="6" t="n">
        <v>46224</v>
      </c>
    </row>
    <row r="908" customFormat="false" ht="14.25" hidden="false" customHeight="true" outlineLevel="0" collapsed="false">
      <c r="A908" s="1" t="s">
        <v>2852</v>
      </c>
      <c r="B908" s="1" t="s">
        <v>2853</v>
      </c>
      <c r="C908" s="1" t="s">
        <v>671</v>
      </c>
      <c r="D908" s="1" t="s">
        <v>396</v>
      </c>
      <c r="E908" s="6" t="n">
        <v>46064</v>
      </c>
      <c r="F908" s="6" t="n">
        <v>46061</v>
      </c>
      <c r="G908" s="1" t="s">
        <v>49</v>
      </c>
      <c r="H908" s="1" t="s">
        <v>2833</v>
      </c>
      <c r="I908" s="1" t="s">
        <v>2854</v>
      </c>
      <c r="J908" s="1" t="n">
        <v>13129.82</v>
      </c>
      <c r="K908" s="1" t="n">
        <v>12142.74</v>
      </c>
      <c r="L908" s="1" t="n">
        <v>9108.78</v>
      </c>
      <c r="M908" s="1" t="n">
        <v>3033.96</v>
      </c>
      <c r="N908" s="1" t="s">
        <v>41</v>
      </c>
      <c r="P908" s="1" t="n">
        <v>2</v>
      </c>
      <c r="Q908" s="1" t="s">
        <v>155</v>
      </c>
      <c r="R908" s="1" t="s">
        <v>43</v>
      </c>
      <c r="S908" s="6" t="n">
        <v>46066</v>
      </c>
    </row>
    <row r="909" customFormat="false" ht="14.25" hidden="false" customHeight="true" outlineLevel="0" collapsed="false">
      <c r="A909" s="1" t="s">
        <v>2855</v>
      </c>
      <c r="B909" s="1" t="s">
        <v>412</v>
      </c>
      <c r="C909" s="1" t="s">
        <v>85</v>
      </c>
      <c r="D909" s="1" t="s">
        <v>511</v>
      </c>
      <c r="E909" s="6" t="n">
        <v>46070</v>
      </c>
      <c r="F909" s="6" t="n">
        <v>46065</v>
      </c>
      <c r="G909" s="1" t="s">
        <v>70</v>
      </c>
      <c r="H909" s="1" t="s">
        <v>1566</v>
      </c>
      <c r="I909" s="1" t="s">
        <v>2856</v>
      </c>
      <c r="J909" s="1" t="n">
        <v>4458.49</v>
      </c>
      <c r="K909" s="1" t="n">
        <v>3512.76</v>
      </c>
      <c r="L909" s="1" t="n">
        <v>3424.42</v>
      </c>
      <c r="M909" s="1" t="n">
        <v>88.34</v>
      </c>
      <c r="N909" s="1" t="s">
        <v>41</v>
      </c>
      <c r="P909" s="1" t="n">
        <v>6</v>
      </c>
      <c r="Q909" s="1" t="s">
        <v>42</v>
      </c>
      <c r="R909" s="1" t="s">
        <v>140</v>
      </c>
      <c r="S909" s="6" t="n">
        <v>46076</v>
      </c>
    </row>
    <row r="910" customFormat="false" ht="14.25" hidden="false" customHeight="true" outlineLevel="0" collapsed="false">
      <c r="A910" s="1" t="s">
        <v>2857</v>
      </c>
      <c r="B910" s="1" t="s">
        <v>828</v>
      </c>
      <c r="C910" s="1" t="s">
        <v>279</v>
      </c>
      <c r="D910" s="1" t="s">
        <v>1929</v>
      </c>
      <c r="E910" s="6" t="n">
        <v>46198</v>
      </c>
      <c r="F910" s="6" t="n">
        <v>46193</v>
      </c>
      <c r="G910" s="1" t="s">
        <v>70</v>
      </c>
      <c r="H910" s="1" t="s">
        <v>2858</v>
      </c>
      <c r="I910" s="1" t="s">
        <v>2859</v>
      </c>
      <c r="J910" s="1" t="n">
        <v>29694.09</v>
      </c>
      <c r="K910" s="1" t="n">
        <v>25381.93</v>
      </c>
      <c r="L910" s="1" t="n">
        <v>0</v>
      </c>
      <c r="M910" s="1" t="n">
        <v>25381.93</v>
      </c>
      <c r="N910" s="1" t="s">
        <v>52</v>
      </c>
      <c r="O910" s="1" t="s">
        <v>265</v>
      </c>
      <c r="P910" s="1" t="n">
        <v>4</v>
      </c>
      <c r="Q910" s="1" t="s">
        <v>63</v>
      </c>
      <c r="R910" s="1" t="s">
        <v>43</v>
      </c>
    </row>
    <row r="911" customFormat="false" ht="14.25" hidden="false" customHeight="true" outlineLevel="0" collapsed="false">
      <c r="A911" s="1" t="s">
        <v>2860</v>
      </c>
      <c r="B911" s="1" t="s">
        <v>1408</v>
      </c>
      <c r="C911" s="1" t="s">
        <v>244</v>
      </c>
      <c r="D911" s="1" t="s">
        <v>79</v>
      </c>
      <c r="E911" s="6" t="n">
        <v>46211</v>
      </c>
      <c r="F911" s="6" t="n">
        <v>46208</v>
      </c>
      <c r="G911" s="1" t="s">
        <v>38</v>
      </c>
      <c r="H911" s="1" t="s">
        <v>2861</v>
      </c>
      <c r="I911" s="1" t="s">
        <v>2862</v>
      </c>
      <c r="J911" s="1" t="n">
        <v>29788.8</v>
      </c>
      <c r="K911" s="1" t="n">
        <v>26526.99</v>
      </c>
      <c r="L911" s="1" t="n">
        <v>21603.86</v>
      </c>
      <c r="M911" s="1" t="n">
        <v>4923.13</v>
      </c>
      <c r="N911" s="1" t="s">
        <v>41</v>
      </c>
      <c r="P911" s="1" t="n">
        <v>3</v>
      </c>
      <c r="Q911" s="1" t="s">
        <v>155</v>
      </c>
      <c r="R911" s="1" t="s">
        <v>74</v>
      </c>
      <c r="S911" s="6" t="n">
        <v>46214</v>
      </c>
    </row>
    <row r="912" customFormat="false" ht="14.25" hidden="false" customHeight="true" outlineLevel="0" collapsed="false">
      <c r="A912" s="1" t="s">
        <v>2863</v>
      </c>
      <c r="B912" s="1" t="s">
        <v>685</v>
      </c>
      <c r="C912" s="1" t="s">
        <v>176</v>
      </c>
      <c r="D912" s="1" t="s">
        <v>382</v>
      </c>
      <c r="E912" s="6" t="n">
        <v>46165</v>
      </c>
      <c r="F912" s="6" t="n">
        <v>46161</v>
      </c>
      <c r="G912" s="1" t="s">
        <v>49</v>
      </c>
      <c r="H912" s="1" t="s">
        <v>405</v>
      </c>
      <c r="I912" s="1" t="s">
        <v>2864</v>
      </c>
      <c r="J912" s="1" t="n">
        <v>37254.92</v>
      </c>
      <c r="K912" s="1" t="n">
        <v>28901.9</v>
      </c>
      <c r="L912" s="1" t="n">
        <v>24069.6</v>
      </c>
      <c r="M912" s="1" t="n">
        <v>4832.3</v>
      </c>
      <c r="N912" s="1" t="s">
        <v>41</v>
      </c>
      <c r="P912" s="1" t="n">
        <v>2</v>
      </c>
      <c r="Q912" s="1" t="s">
        <v>63</v>
      </c>
      <c r="R912" s="1" t="s">
        <v>54</v>
      </c>
      <c r="S912" s="6" t="n">
        <v>46167</v>
      </c>
    </row>
    <row r="913" customFormat="false" ht="14.25" hidden="false" customHeight="true" outlineLevel="0" collapsed="false">
      <c r="A913" s="1" t="s">
        <v>2865</v>
      </c>
      <c r="B913" s="1" t="s">
        <v>467</v>
      </c>
      <c r="C913" s="1" t="s">
        <v>367</v>
      </c>
      <c r="D913" s="1" t="s">
        <v>607</v>
      </c>
      <c r="E913" s="6" t="n">
        <v>46137</v>
      </c>
      <c r="F913" s="6" t="n">
        <v>46134</v>
      </c>
      <c r="G913" s="1" t="s">
        <v>38</v>
      </c>
      <c r="H913" s="1" t="s">
        <v>980</v>
      </c>
      <c r="I913" s="1" t="s">
        <v>2866</v>
      </c>
      <c r="J913" s="1" t="n">
        <v>8125.27</v>
      </c>
      <c r="K913" s="1" t="n">
        <v>6434.83</v>
      </c>
      <c r="L913" s="1" t="n">
        <v>0</v>
      </c>
      <c r="M913" s="1" t="n">
        <v>6434.83</v>
      </c>
      <c r="N913" s="1" t="s">
        <v>52</v>
      </c>
      <c r="O913" s="1" t="s">
        <v>230</v>
      </c>
      <c r="P913" s="1" t="n">
        <v>1</v>
      </c>
      <c r="Q913" s="1" t="s">
        <v>63</v>
      </c>
      <c r="R913" s="1" t="s">
        <v>64</v>
      </c>
    </row>
    <row r="914" customFormat="false" ht="14.25" hidden="false" customHeight="true" outlineLevel="0" collapsed="false">
      <c r="A914" s="1" t="s">
        <v>2867</v>
      </c>
      <c r="B914" s="1" t="s">
        <v>993</v>
      </c>
      <c r="C914" s="1" t="s">
        <v>446</v>
      </c>
      <c r="D914" s="1" t="s">
        <v>550</v>
      </c>
      <c r="E914" s="6" t="n">
        <v>46080</v>
      </c>
      <c r="F914" s="6" t="n">
        <v>46077</v>
      </c>
      <c r="G914" s="1" t="s">
        <v>49</v>
      </c>
      <c r="H914" s="1" t="s">
        <v>1806</v>
      </c>
      <c r="I914" s="1" t="s">
        <v>2868</v>
      </c>
      <c r="J914" s="1" t="n">
        <v>12138.01</v>
      </c>
      <c r="K914" s="1" t="n">
        <v>8775.43</v>
      </c>
      <c r="L914" s="1" t="n">
        <v>8346.6</v>
      </c>
      <c r="M914" s="1" t="n">
        <v>428.83</v>
      </c>
      <c r="N914" s="1" t="s">
        <v>41</v>
      </c>
      <c r="P914" s="1" t="n">
        <v>6</v>
      </c>
      <c r="Q914" s="1" t="s">
        <v>155</v>
      </c>
      <c r="R914" s="1" t="s">
        <v>54</v>
      </c>
      <c r="S914" s="6" t="n">
        <v>46086</v>
      </c>
    </row>
    <row r="915" customFormat="false" ht="14.25" hidden="false" customHeight="true" outlineLevel="0" collapsed="false">
      <c r="A915" s="1" t="s">
        <v>2869</v>
      </c>
      <c r="B915" s="1" t="s">
        <v>319</v>
      </c>
      <c r="C915" s="1" t="s">
        <v>151</v>
      </c>
      <c r="D915" s="1" t="s">
        <v>69</v>
      </c>
      <c r="E915" s="6" t="n">
        <v>46049</v>
      </c>
      <c r="F915" s="6" t="n">
        <v>46044</v>
      </c>
      <c r="G915" s="1" t="s">
        <v>38</v>
      </c>
      <c r="H915" s="1" t="s">
        <v>2870</v>
      </c>
      <c r="I915" s="1" t="s">
        <v>2871</v>
      </c>
      <c r="J915" s="1" t="n">
        <v>27248.34</v>
      </c>
      <c r="K915" s="1" t="n">
        <v>21738.58</v>
      </c>
      <c r="L915" s="1" t="n">
        <v>16805.63</v>
      </c>
      <c r="M915" s="1" t="n">
        <v>4932.95</v>
      </c>
      <c r="N915" s="1" t="s">
        <v>41</v>
      </c>
      <c r="P915" s="1" t="n">
        <v>3</v>
      </c>
      <c r="Q915" s="1" t="s">
        <v>63</v>
      </c>
      <c r="R915" s="1" t="s">
        <v>125</v>
      </c>
      <c r="S915" s="6" t="n">
        <v>46052</v>
      </c>
    </row>
    <row r="916" customFormat="false" ht="14.25" hidden="false" customHeight="true" outlineLevel="0" collapsed="false">
      <c r="A916" s="1" t="s">
        <v>2872</v>
      </c>
      <c r="B916" s="1" t="s">
        <v>716</v>
      </c>
      <c r="C916" s="1" t="s">
        <v>671</v>
      </c>
      <c r="D916" s="1" t="s">
        <v>441</v>
      </c>
      <c r="E916" s="6" t="n">
        <v>46121</v>
      </c>
      <c r="F916" s="6" t="n">
        <v>46116</v>
      </c>
      <c r="G916" s="1" t="s">
        <v>70</v>
      </c>
      <c r="H916" s="1" t="s">
        <v>599</v>
      </c>
      <c r="I916" s="1" t="s">
        <v>2873</v>
      </c>
      <c r="J916" s="1" t="n">
        <v>41424.49</v>
      </c>
      <c r="K916" s="1" t="n">
        <v>31365.59</v>
      </c>
      <c r="L916" s="1" t="n">
        <v>0</v>
      </c>
      <c r="M916" s="1" t="n">
        <v>31365.59</v>
      </c>
      <c r="N916" s="1" t="s">
        <v>111</v>
      </c>
      <c r="P916" s="1" t="n">
        <v>13</v>
      </c>
      <c r="Q916" s="1" t="s">
        <v>155</v>
      </c>
      <c r="R916" s="1" t="s">
        <v>64</v>
      </c>
    </row>
    <row r="917" customFormat="false" ht="14.25" hidden="false" customHeight="true" outlineLevel="0" collapsed="false">
      <c r="A917" s="1" t="s">
        <v>2874</v>
      </c>
      <c r="B917" s="1" t="s">
        <v>838</v>
      </c>
      <c r="C917" s="1" t="s">
        <v>900</v>
      </c>
      <c r="D917" s="1" t="s">
        <v>159</v>
      </c>
      <c r="E917" s="6" t="n">
        <v>46044</v>
      </c>
      <c r="F917" s="6" t="n">
        <v>46044</v>
      </c>
      <c r="G917" s="1" t="s">
        <v>70</v>
      </c>
      <c r="H917" s="1" t="s">
        <v>1674</v>
      </c>
      <c r="I917" s="1" t="s">
        <v>2875</v>
      </c>
      <c r="J917" s="1" t="n">
        <v>41160.77</v>
      </c>
      <c r="K917" s="1" t="n">
        <v>29128.43</v>
      </c>
      <c r="L917" s="1" t="n">
        <v>0</v>
      </c>
      <c r="M917" s="1" t="n">
        <v>29128.43</v>
      </c>
      <c r="N917" s="1" t="s">
        <v>111</v>
      </c>
      <c r="P917" s="1" t="n">
        <v>6</v>
      </c>
      <c r="Q917" s="1" t="s">
        <v>42</v>
      </c>
      <c r="R917" s="1" t="s">
        <v>125</v>
      </c>
    </row>
    <row r="918" customFormat="false" ht="14.25" hidden="false" customHeight="true" outlineLevel="0" collapsed="false">
      <c r="A918" s="1" t="s">
        <v>2876</v>
      </c>
      <c r="B918" s="1" t="s">
        <v>2141</v>
      </c>
      <c r="C918" s="1" t="s">
        <v>92</v>
      </c>
      <c r="D918" s="1" t="s">
        <v>1128</v>
      </c>
      <c r="E918" s="6" t="n">
        <v>46157</v>
      </c>
      <c r="F918" s="6" t="n">
        <v>46157</v>
      </c>
      <c r="G918" s="1" t="s">
        <v>38</v>
      </c>
      <c r="H918" s="1" t="s">
        <v>2309</v>
      </c>
      <c r="I918" s="1" t="s">
        <v>2877</v>
      </c>
      <c r="J918" s="1" t="n">
        <v>14580.02</v>
      </c>
      <c r="K918" s="1" t="n">
        <v>9761.07</v>
      </c>
      <c r="L918" s="1" t="n">
        <v>0</v>
      </c>
      <c r="M918" s="1" t="n">
        <v>9761.07</v>
      </c>
      <c r="N918" s="1" t="s">
        <v>52</v>
      </c>
      <c r="O918" s="1" t="s">
        <v>265</v>
      </c>
      <c r="P918" s="1" t="n">
        <v>5</v>
      </c>
      <c r="Q918" s="1" t="s">
        <v>155</v>
      </c>
      <c r="R918" s="1" t="s">
        <v>43</v>
      </c>
    </row>
    <row r="919" customFormat="false" ht="14.25" hidden="false" customHeight="true" outlineLevel="0" collapsed="false">
      <c r="A919" s="1" t="s">
        <v>2878</v>
      </c>
      <c r="B919" s="1" t="s">
        <v>932</v>
      </c>
      <c r="C919" s="1" t="s">
        <v>78</v>
      </c>
      <c r="D919" s="1" t="s">
        <v>59</v>
      </c>
      <c r="E919" s="6" t="n">
        <v>46114</v>
      </c>
      <c r="F919" s="6" t="n">
        <v>46109</v>
      </c>
      <c r="G919" s="1" t="s">
        <v>49</v>
      </c>
      <c r="H919" s="1" t="s">
        <v>987</v>
      </c>
      <c r="I919" s="1" t="s">
        <v>2879</v>
      </c>
      <c r="J919" s="1" t="n">
        <v>23896.69</v>
      </c>
      <c r="K919" s="1" t="n">
        <v>18776.88</v>
      </c>
      <c r="L919" s="1" t="n">
        <v>18550.17</v>
      </c>
      <c r="M919" s="1" t="n">
        <v>226.71</v>
      </c>
      <c r="N919" s="1" t="s">
        <v>41</v>
      </c>
      <c r="P919" s="1" t="n">
        <v>5</v>
      </c>
      <c r="Q919" s="1" t="s">
        <v>63</v>
      </c>
      <c r="R919" s="1" t="s">
        <v>74</v>
      </c>
      <c r="S919" s="6" t="n">
        <v>46119</v>
      </c>
    </row>
    <row r="920" customFormat="false" ht="14.25" hidden="false" customHeight="true" outlineLevel="0" collapsed="false">
      <c r="A920" s="1" t="s">
        <v>2880</v>
      </c>
      <c r="B920" s="1" t="s">
        <v>1368</v>
      </c>
      <c r="C920" s="1" t="s">
        <v>92</v>
      </c>
      <c r="D920" s="1" t="s">
        <v>757</v>
      </c>
      <c r="E920" s="6" t="n">
        <v>46107</v>
      </c>
      <c r="F920" s="6" t="n">
        <v>46106</v>
      </c>
      <c r="G920" s="1" t="s">
        <v>38</v>
      </c>
      <c r="H920" s="1" t="s">
        <v>2881</v>
      </c>
      <c r="I920" s="1" t="s">
        <v>2882</v>
      </c>
      <c r="J920" s="1" t="n">
        <v>7861.69</v>
      </c>
      <c r="K920" s="1" t="n">
        <v>5476.18</v>
      </c>
      <c r="L920" s="1" t="n">
        <v>4215.91</v>
      </c>
      <c r="M920" s="1" t="n">
        <v>1260.27</v>
      </c>
      <c r="N920" s="1" t="s">
        <v>41</v>
      </c>
      <c r="P920" s="1" t="n">
        <v>2</v>
      </c>
      <c r="Q920" s="1" t="s">
        <v>63</v>
      </c>
      <c r="R920" s="1" t="s">
        <v>125</v>
      </c>
      <c r="S920" s="6" t="n">
        <v>46109</v>
      </c>
    </row>
    <row r="921" customFormat="false" ht="14.25" hidden="false" customHeight="true" outlineLevel="0" collapsed="false">
      <c r="A921" s="1" t="s">
        <v>2883</v>
      </c>
      <c r="B921" s="1" t="s">
        <v>533</v>
      </c>
      <c r="C921" s="1" t="s">
        <v>129</v>
      </c>
      <c r="D921" s="1" t="s">
        <v>331</v>
      </c>
      <c r="E921" s="6" t="n">
        <v>46113</v>
      </c>
      <c r="F921" s="6" t="n">
        <v>46108</v>
      </c>
      <c r="G921" s="1" t="s">
        <v>108</v>
      </c>
      <c r="H921" s="1" t="s">
        <v>2884</v>
      </c>
      <c r="I921" s="1" t="s">
        <v>2885</v>
      </c>
      <c r="J921" s="1" t="n">
        <v>12343.08</v>
      </c>
      <c r="K921" s="1" t="n">
        <v>9806.32</v>
      </c>
      <c r="L921" s="1" t="n">
        <v>8359.59</v>
      </c>
      <c r="M921" s="1" t="n">
        <v>1446.73</v>
      </c>
      <c r="N921" s="1" t="s">
        <v>41</v>
      </c>
      <c r="P921" s="1" t="n">
        <v>5</v>
      </c>
      <c r="Q921" s="1" t="s">
        <v>63</v>
      </c>
      <c r="R921" s="1" t="s">
        <v>140</v>
      </c>
      <c r="S921" s="6" t="n">
        <v>46118</v>
      </c>
    </row>
    <row r="922" customFormat="false" ht="14.25" hidden="false" customHeight="true" outlineLevel="0" collapsed="false">
      <c r="A922" s="1" t="s">
        <v>2886</v>
      </c>
      <c r="B922" s="1" t="s">
        <v>756</v>
      </c>
      <c r="C922" s="1" t="s">
        <v>188</v>
      </c>
      <c r="D922" s="1" t="s">
        <v>362</v>
      </c>
      <c r="E922" s="6" t="n">
        <v>46111</v>
      </c>
      <c r="F922" s="6" t="n">
        <v>46111</v>
      </c>
      <c r="G922" s="1" t="s">
        <v>70</v>
      </c>
      <c r="H922" s="1" t="s">
        <v>1156</v>
      </c>
      <c r="I922" s="1" t="s">
        <v>2887</v>
      </c>
      <c r="J922" s="1" t="n">
        <v>42135.51</v>
      </c>
      <c r="K922" s="1" t="n">
        <v>37546.46</v>
      </c>
      <c r="L922" s="1" t="n">
        <v>31816.49</v>
      </c>
      <c r="M922" s="1" t="n">
        <v>5729.97</v>
      </c>
      <c r="N922" s="1" t="s">
        <v>41</v>
      </c>
      <c r="P922" s="1" t="n">
        <v>8</v>
      </c>
      <c r="Q922" s="1" t="s">
        <v>63</v>
      </c>
      <c r="R922" s="1" t="s">
        <v>74</v>
      </c>
      <c r="S922" s="6" t="n">
        <v>46119</v>
      </c>
    </row>
    <row r="923" customFormat="false" ht="14.25" hidden="false" customHeight="true" outlineLevel="0" collapsed="false">
      <c r="A923" s="1" t="s">
        <v>2888</v>
      </c>
      <c r="B923" s="1" t="s">
        <v>627</v>
      </c>
      <c r="C923" s="1" t="s">
        <v>151</v>
      </c>
      <c r="D923" s="1" t="s">
        <v>441</v>
      </c>
      <c r="E923" s="6" t="n">
        <v>46207</v>
      </c>
      <c r="F923" s="6" t="n">
        <v>46204</v>
      </c>
      <c r="G923" s="1" t="s">
        <v>70</v>
      </c>
      <c r="H923" s="1" t="s">
        <v>1312</v>
      </c>
      <c r="I923" s="1" t="s">
        <v>2889</v>
      </c>
      <c r="J923" s="1" t="n">
        <v>47924.22</v>
      </c>
      <c r="K923" s="1" t="n">
        <v>41955.46</v>
      </c>
      <c r="L923" s="1" t="n">
        <v>0</v>
      </c>
      <c r="M923" s="1" t="n">
        <v>41955.46</v>
      </c>
      <c r="N923" s="1" t="s">
        <v>111</v>
      </c>
      <c r="P923" s="1" t="n">
        <v>15</v>
      </c>
      <c r="Q923" s="1" t="s">
        <v>63</v>
      </c>
      <c r="R923" s="1" t="s">
        <v>102</v>
      </c>
    </row>
    <row r="924" customFormat="false" ht="14.25" hidden="false" customHeight="true" outlineLevel="0" collapsed="false">
      <c r="A924" s="1" t="s">
        <v>2890</v>
      </c>
      <c r="B924" s="1" t="s">
        <v>880</v>
      </c>
      <c r="C924" s="1" t="s">
        <v>136</v>
      </c>
      <c r="D924" s="1" t="s">
        <v>152</v>
      </c>
      <c r="E924" s="6" t="n">
        <v>46060</v>
      </c>
      <c r="F924" s="6" t="n">
        <v>46060</v>
      </c>
      <c r="G924" s="1" t="s">
        <v>108</v>
      </c>
      <c r="H924" s="1" t="s">
        <v>1566</v>
      </c>
      <c r="I924" s="1" t="s">
        <v>2891</v>
      </c>
      <c r="J924" s="1" t="n">
        <v>12381.16</v>
      </c>
      <c r="K924" s="1" t="n">
        <v>10290.93</v>
      </c>
      <c r="L924" s="1" t="n">
        <v>0</v>
      </c>
      <c r="M924" s="1" t="n">
        <v>10290.93</v>
      </c>
      <c r="N924" s="1" t="s">
        <v>52</v>
      </c>
      <c r="O924" s="1" t="s">
        <v>265</v>
      </c>
      <c r="P924" s="1" t="n">
        <v>5</v>
      </c>
      <c r="Q924" s="1" t="s">
        <v>42</v>
      </c>
      <c r="R924" s="1" t="s">
        <v>102</v>
      </c>
    </row>
    <row r="925" customFormat="false" ht="14.25" hidden="false" customHeight="true" outlineLevel="0" collapsed="false">
      <c r="A925" s="1" t="s">
        <v>2892</v>
      </c>
      <c r="B925" s="1" t="s">
        <v>1376</v>
      </c>
      <c r="C925" s="1" t="s">
        <v>296</v>
      </c>
      <c r="D925" s="1" t="s">
        <v>799</v>
      </c>
      <c r="E925" s="6" t="n">
        <v>46231</v>
      </c>
      <c r="F925" s="6" t="n">
        <v>46227</v>
      </c>
      <c r="G925" s="1" t="s">
        <v>70</v>
      </c>
      <c r="H925" s="1" t="s">
        <v>2650</v>
      </c>
      <c r="I925" s="1" t="s">
        <v>2769</v>
      </c>
      <c r="J925" s="1" t="n">
        <v>635.5</v>
      </c>
      <c r="K925" s="1" t="n">
        <v>505.12</v>
      </c>
      <c r="L925" s="1" t="n">
        <v>482.94</v>
      </c>
      <c r="M925" s="1" t="n">
        <v>22.18</v>
      </c>
      <c r="N925" s="1" t="s">
        <v>41</v>
      </c>
      <c r="P925" s="1" t="n">
        <v>4</v>
      </c>
      <c r="Q925" s="1" t="s">
        <v>42</v>
      </c>
      <c r="R925" s="1" t="s">
        <v>64</v>
      </c>
      <c r="S925" s="6" t="n">
        <v>46235</v>
      </c>
    </row>
    <row r="926" customFormat="false" ht="14.25" hidden="false" customHeight="true" outlineLevel="0" collapsed="false">
      <c r="A926" s="1" t="s">
        <v>2893</v>
      </c>
      <c r="B926" s="1" t="s">
        <v>395</v>
      </c>
      <c r="C926" s="1" t="s">
        <v>273</v>
      </c>
      <c r="D926" s="1" t="s">
        <v>347</v>
      </c>
      <c r="E926" s="6" t="n">
        <v>46183</v>
      </c>
      <c r="F926" s="6" t="n">
        <v>46179</v>
      </c>
      <c r="G926" s="1" t="s">
        <v>108</v>
      </c>
      <c r="H926" s="1" t="s">
        <v>2578</v>
      </c>
      <c r="I926" s="1" t="s">
        <v>2894</v>
      </c>
      <c r="J926" s="1" t="n">
        <v>38600.74</v>
      </c>
      <c r="K926" s="1" t="n">
        <v>33558.76</v>
      </c>
      <c r="L926" s="1" t="n">
        <v>25499.84</v>
      </c>
      <c r="M926" s="1" t="n">
        <v>8058.92</v>
      </c>
      <c r="N926" s="1" t="s">
        <v>41</v>
      </c>
      <c r="P926" s="1" t="n">
        <v>5</v>
      </c>
      <c r="Q926" s="1" t="s">
        <v>155</v>
      </c>
      <c r="R926" s="1" t="s">
        <v>43</v>
      </c>
      <c r="S926" s="6" t="n">
        <v>46188</v>
      </c>
    </row>
    <row r="927" customFormat="false" ht="14.25" hidden="false" customHeight="true" outlineLevel="0" collapsed="false">
      <c r="A927" s="1" t="s">
        <v>2895</v>
      </c>
      <c r="B927" s="1" t="s">
        <v>756</v>
      </c>
      <c r="C927" s="1" t="s">
        <v>446</v>
      </c>
      <c r="D927" s="1" t="s">
        <v>511</v>
      </c>
      <c r="E927" s="6" t="n">
        <v>46178</v>
      </c>
      <c r="F927" s="6" t="n">
        <v>46173</v>
      </c>
      <c r="G927" s="1" t="s">
        <v>38</v>
      </c>
      <c r="H927" s="1" t="s">
        <v>2896</v>
      </c>
      <c r="I927" s="1" t="s">
        <v>2897</v>
      </c>
      <c r="J927" s="1" t="n">
        <v>3608.52</v>
      </c>
      <c r="K927" s="1" t="n">
        <v>3243.58</v>
      </c>
      <c r="L927" s="1" t="n">
        <v>0</v>
      </c>
      <c r="M927" s="1" t="n">
        <v>3243.58</v>
      </c>
      <c r="N927" s="1" t="s">
        <v>260</v>
      </c>
      <c r="P927" s="1" t="n">
        <v>7</v>
      </c>
      <c r="Q927" s="1" t="s">
        <v>63</v>
      </c>
      <c r="R927" s="1" t="s">
        <v>102</v>
      </c>
    </row>
    <row r="928" customFormat="false" ht="14.25" hidden="false" customHeight="true" outlineLevel="0" collapsed="false">
      <c r="A928" s="1" t="s">
        <v>2898</v>
      </c>
      <c r="B928" s="1" t="s">
        <v>1372</v>
      </c>
      <c r="C928" s="1" t="s">
        <v>151</v>
      </c>
      <c r="D928" s="1" t="s">
        <v>574</v>
      </c>
      <c r="E928" s="6" t="n">
        <v>46104</v>
      </c>
      <c r="F928" s="6" t="n">
        <v>46099</v>
      </c>
      <c r="G928" s="1" t="s">
        <v>38</v>
      </c>
      <c r="H928" s="1" t="s">
        <v>2899</v>
      </c>
      <c r="I928" s="1" t="s">
        <v>2900</v>
      </c>
      <c r="J928" s="1" t="n">
        <v>40928.45</v>
      </c>
      <c r="K928" s="1" t="n">
        <v>34810.86</v>
      </c>
      <c r="L928" s="1" t="n">
        <v>0</v>
      </c>
      <c r="M928" s="1" t="n">
        <v>34810.86</v>
      </c>
      <c r="N928" s="1" t="s">
        <v>52</v>
      </c>
      <c r="O928" s="1" t="s">
        <v>62</v>
      </c>
      <c r="P928" s="1" t="n">
        <v>5</v>
      </c>
      <c r="Q928" s="1" t="s">
        <v>63</v>
      </c>
      <c r="R928" s="1" t="s">
        <v>140</v>
      </c>
    </row>
    <row r="929" customFormat="false" ht="14.25" hidden="false" customHeight="true" outlineLevel="0" collapsed="false">
      <c r="A929" s="1" t="s">
        <v>2901</v>
      </c>
      <c r="B929" s="1" t="s">
        <v>2627</v>
      </c>
      <c r="C929" s="1" t="s">
        <v>115</v>
      </c>
      <c r="D929" s="1" t="s">
        <v>227</v>
      </c>
      <c r="E929" s="6" t="n">
        <v>46124</v>
      </c>
      <c r="F929" s="6" t="n">
        <v>46124</v>
      </c>
      <c r="G929" s="1" t="s">
        <v>70</v>
      </c>
      <c r="H929" s="1" t="s">
        <v>2902</v>
      </c>
      <c r="I929" s="1" t="s">
        <v>2903</v>
      </c>
      <c r="J929" s="1" t="n">
        <v>47952.55</v>
      </c>
      <c r="K929" s="1" t="n">
        <v>42712.17</v>
      </c>
      <c r="L929" s="1" t="n">
        <v>34956.01</v>
      </c>
      <c r="M929" s="1" t="n">
        <v>7756.16</v>
      </c>
      <c r="N929" s="1" t="s">
        <v>41</v>
      </c>
      <c r="P929" s="1" t="n">
        <v>7</v>
      </c>
      <c r="Q929" s="1" t="s">
        <v>63</v>
      </c>
      <c r="R929" s="1" t="s">
        <v>64</v>
      </c>
      <c r="S929" s="6" t="n">
        <v>46131</v>
      </c>
    </row>
    <row r="930" customFormat="false" ht="14.25" hidden="false" customHeight="true" outlineLevel="0" collapsed="false">
      <c r="A930" s="1" t="s">
        <v>2904</v>
      </c>
      <c r="B930" s="1" t="s">
        <v>606</v>
      </c>
      <c r="C930" s="1" t="s">
        <v>468</v>
      </c>
      <c r="D930" s="1" t="s">
        <v>222</v>
      </c>
      <c r="E930" s="6" t="n">
        <v>46081</v>
      </c>
      <c r="F930" s="6" t="n">
        <v>46077</v>
      </c>
      <c r="G930" s="1" t="s">
        <v>70</v>
      </c>
      <c r="H930" s="1" t="s">
        <v>2372</v>
      </c>
      <c r="I930" s="1" t="s">
        <v>1876</v>
      </c>
      <c r="J930" s="1" t="n">
        <v>14734.08</v>
      </c>
      <c r="K930" s="1" t="n">
        <v>10089.33</v>
      </c>
      <c r="L930" s="1" t="n">
        <v>0</v>
      </c>
      <c r="M930" s="1" t="n">
        <v>10089.33</v>
      </c>
      <c r="N930" s="1" t="s">
        <v>111</v>
      </c>
      <c r="P930" s="1" t="n">
        <v>7</v>
      </c>
      <c r="Q930" s="1" t="s">
        <v>42</v>
      </c>
      <c r="R930" s="1" t="s">
        <v>140</v>
      </c>
    </row>
    <row r="931" customFormat="false" ht="14.25" hidden="false" customHeight="true" outlineLevel="0" collapsed="false">
      <c r="A931" s="1" t="s">
        <v>2905</v>
      </c>
      <c r="B931" s="1" t="s">
        <v>1528</v>
      </c>
      <c r="C931" s="1" t="s">
        <v>361</v>
      </c>
      <c r="D931" s="1" t="s">
        <v>227</v>
      </c>
      <c r="E931" s="6" t="n">
        <v>46031</v>
      </c>
      <c r="F931" s="6" t="n">
        <v>46026</v>
      </c>
      <c r="G931" s="1" t="s">
        <v>70</v>
      </c>
      <c r="H931" s="1" t="s">
        <v>2628</v>
      </c>
      <c r="I931" s="1" t="s">
        <v>2360</v>
      </c>
      <c r="J931" s="1" t="n">
        <v>16774.35</v>
      </c>
      <c r="K931" s="1" t="n">
        <v>12139.24</v>
      </c>
      <c r="L931" s="1" t="n">
        <v>10560.73</v>
      </c>
      <c r="M931" s="1" t="n">
        <v>1578.51</v>
      </c>
      <c r="N931" s="1" t="s">
        <v>41</v>
      </c>
      <c r="P931" s="1" t="n">
        <v>2</v>
      </c>
      <c r="Q931" s="1" t="s">
        <v>42</v>
      </c>
      <c r="R931" s="1" t="s">
        <v>102</v>
      </c>
      <c r="S931" s="6" t="n">
        <v>46033</v>
      </c>
    </row>
    <row r="932" customFormat="false" ht="14.25" hidden="false" customHeight="true" outlineLevel="0" collapsed="false">
      <c r="A932" s="1" t="s">
        <v>2906</v>
      </c>
      <c r="B932" s="1" t="s">
        <v>770</v>
      </c>
      <c r="C932" s="1" t="s">
        <v>325</v>
      </c>
      <c r="D932" s="1" t="s">
        <v>183</v>
      </c>
      <c r="E932" s="6" t="n">
        <v>46130</v>
      </c>
      <c r="F932" s="6" t="n">
        <v>46129</v>
      </c>
      <c r="G932" s="1" t="s">
        <v>108</v>
      </c>
      <c r="H932" s="1" t="s">
        <v>2195</v>
      </c>
      <c r="I932" s="1" t="s">
        <v>2907</v>
      </c>
      <c r="J932" s="1" t="n">
        <v>10602.62</v>
      </c>
      <c r="K932" s="1" t="n">
        <v>7413.06</v>
      </c>
      <c r="L932" s="1" t="n">
        <v>0</v>
      </c>
      <c r="M932" s="1" t="n">
        <v>7413.06</v>
      </c>
      <c r="N932" s="1" t="s">
        <v>52</v>
      </c>
      <c r="O932" s="1" t="s">
        <v>230</v>
      </c>
      <c r="P932" s="1" t="n">
        <v>2</v>
      </c>
      <c r="Q932" s="1" t="s">
        <v>155</v>
      </c>
      <c r="R932" s="1" t="s">
        <v>125</v>
      </c>
    </row>
    <row r="933" customFormat="false" ht="14.25" hidden="false" customHeight="true" outlineLevel="0" collapsed="false">
      <c r="A933" s="1" t="s">
        <v>2908</v>
      </c>
      <c r="B933" s="1" t="s">
        <v>262</v>
      </c>
      <c r="C933" s="1" t="s">
        <v>273</v>
      </c>
      <c r="D933" s="1" t="s">
        <v>757</v>
      </c>
      <c r="E933" s="6" t="n">
        <v>46024</v>
      </c>
      <c r="F933" s="6" t="n">
        <v>46023</v>
      </c>
      <c r="G933" s="1" t="s">
        <v>70</v>
      </c>
      <c r="H933" s="1" t="s">
        <v>2909</v>
      </c>
      <c r="I933" s="1" t="s">
        <v>2910</v>
      </c>
      <c r="J933" s="1" t="n">
        <v>38631.8</v>
      </c>
      <c r="K933" s="1" t="n">
        <v>33900.73</v>
      </c>
      <c r="L933" s="1" t="n">
        <v>27714.28</v>
      </c>
      <c r="M933" s="1" t="n">
        <v>6186.45</v>
      </c>
      <c r="N933" s="1" t="s">
        <v>41</v>
      </c>
      <c r="P933" s="1" t="n">
        <v>3</v>
      </c>
      <c r="Q933" s="1" t="s">
        <v>42</v>
      </c>
      <c r="R933" s="1" t="s">
        <v>43</v>
      </c>
      <c r="S933" s="6" t="n">
        <v>46027</v>
      </c>
    </row>
    <row r="934" customFormat="false" ht="14.25" hidden="false" customHeight="true" outlineLevel="0" collapsed="false">
      <c r="A934" s="1" t="s">
        <v>2911</v>
      </c>
      <c r="B934" s="1" t="s">
        <v>1896</v>
      </c>
      <c r="C934" s="1" t="s">
        <v>68</v>
      </c>
      <c r="D934" s="1" t="s">
        <v>107</v>
      </c>
      <c r="E934" s="6" t="n">
        <v>46153</v>
      </c>
      <c r="F934" s="6" t="n">
        <v>46153</v>
      </c>
      <c r="G934" s="1" t="s">
        <v>38</v>
      </c>
      <c r="H934" s="1" t="s">
        <v>2458</v>
      </c>
      <c r="I934" s="1" t="s">
        <v>2912</v>
      </c>
      <c r="J934" s="1" t="n">
        <v>30911.12</v>
      </c>
      <c r="K934" s="1" t="n">
        <v>27376.41</v>
      </c>
      <c r="L934" s="1" t="n">
        <v>22970.58</v>
      </c>
      <c r="M934" s="1" t="n">
        <v>4405.83</v>
      </c>
      <c r="N934" s="1" t="s">
        <v>41</v>
      </c>
      <c r="P934" s="1" t="n">
        <v>2</v>
      </c>
      <c r="Q934" s="1" t="s">
        <v>42</v>
      </c>
      <c r="R934" s="1" t="s">
        <v>54</v>
      </c>
      <c r="S934" s="6" t="n">
        <v>46155</v>
      </c>
    </row>
    <row r="935" customFormat="false" ht="14.25" hidden="false" customHeight="true" outlineLevel="0" collapsed="false">
      <c r="A935" s="1" t="s">
        <v>2913</v>
      </c>
      <c r="B935" s="1" t="s">
        <v>1017</v>
      </c>
      <c r="C935" s="1" t="s">
        <v>273</v>
      </c>
      <c r="D935" s="1" t="s">
        <v>320</v>
      </c>
      <c r="E935" s="6" t="n">
        <v>46181</v>
      </c>
      <c r="F935" s="6" t="n">
        <v>46181</v>
      </c>
      <c r="G935" s="1" t="s">
        <v>70</v>
      </c>
      <c r="H935" s="1" t="s">
        <v>1931</v>
      </c>
      <c r="I935" s="1" t="s">
        <v>2914</v>
      </c>
      <c r="J935" s="1" t="n">
        <v>8533.46</v>
      </c>
      <c r="K935" s="1" t="n">
        <v>6422.54</v>
      </c>
      <c r="L935" s="1" t="n">
        <v>0</v>
      </c>
      <c r="M935" s="1" t="n">
        <v>6422.54</v>
      </c>
      <c r="N935" s="1" t="s">
        <v>260</v>
      </c>
      <c r="P935" s="1" t="n">
        <v>4</v>
      </c>
      <c r="Q935" s="1" t="s">
        <v>63</v>
      </c>
      <c r="R935" s="1" t="s">
        <v>125</v>
      </c>
    </row>
    <row r="936" customFormat="false" ht="14.25" hidden="false" customHeight="true" outlineLevel="0" collapsed="false">
      <c r="A936" s="1" t="s">
        <v>2915</v>
      </c>
      <c r="B936" s="1" t="s">
        <v>408</v>
      </c>
      <c r="C936" s="1" t="s">
        <v>310</v>
      </c>
      <c r="D936" s="1" t="s">
        <v>418</v>
      </c>
      <c r="E936" s="6" t="n">
        <v>46219</v>
      </c>
      <c r="F936" s="6" t="n">
        <v>46216</v>
      </c>
      <c r="G936" s="1" t="s">
        <v>108</v>
      </c>
      <c r="H936" s="1" t="s">
        <v>2916</v>
      </c>
      <c r="I936" s="1" t="s">
        <v>2917</v>
      </c>
      <c r="J936" s="1" t="n">
        <v>25864.78</v>
      </c>
      <c r="K936" s="1" t="n">
        <v>23111.29</v>
      </c>
      <c r="L936" s="1" t="n">
        <v>18560.45</v>
      </c>
      <c r="M936" s="1" t="n">
        <v>4550.84</v>
      </c>
      <c r="N936" s="1" t="s">
        <v>41</v>
      </c>
      <c r="P936" s="1" t="n">
        <v>4</v>
      </c>
      <c r="Q936" s="1" t="s">
        <v>42</v>
      </c>
      <c r="R936" s="1" t="s">
        <v>125</v>
      </c>
      <c r="S936" s="6" t="n">
        <v>46223</v>
      </c>
    </row>
    <row r="937" customFormat="false" ht="14.25" hidden="false" customHeight="true" outlineLevel="0" collapsed="false">
      <c r="A937" s="1" t="s">
        <v>2918</v>
      </c>
      <c r="B937" s="1" t="s">
        <v>806</v>
      </c>
      <c r="C937" s="1" t="s">
        <v>300</v>
      </c>
      <c r="D937" s="1" t="s">
        <v>732</v>
      </c>
      <c r="E937" s="6" t="n">
        <v>46153</v>
      </c>
      <c r="F937" s="6" t="n">
        <v>46149</v>
      </c>
      <c r="G937" s="1" t="s">
        <v>108</v>
      </c>
      <c r="H937" s="1" t="s">
        <v>2919</v>
      </c>
      <c r="I937" s="1" t="s">
        <v>2920</v>
      </c>
      <c r="J937" s="1" t="n">
        <v>19670.14</v>
      </c>
      <c r="K937" s="1" t="n">
        <v>16577.17</v>
      </c>
      <c r="L937" s="1" t="n">
        <v>0</v>
      </c>
      <c r="M937" s="1" t="n">
        <v>16577.17</v>
      </c>
      <c r="N937" s="1" t="s">
        <v>52</v>
      </c>
      <c r="O937" s="1" t="s">
        <v>53</v>
      </c>
      <c r="P937" s="1" t="n">
        <v>4</v>
      </c>
      <c r="Q937" s="1" t="s">
        <v>155</v>
      </c>
      <c r="R937" s="1" t="s">
        <v>74</v>
      </c>
    </row>
    <row r="938" customFormat="false" ht="14.25" hidden="false" customHeight="true" outlineLevel="0" collapsed="false">
      <c r="A938" s="1" t="s">
        <v>2921</v>
      </c>
      <c r="B938" s="1" t="s">
        <v>1719</v>
      </c>
      <c r="C938" s="1" t="s">
        <v>158</v>
      </c>
      <c r="D938" s="1" t="s">
        <v>189</v>
      </c>
      <c r="E938" s="6" t="n">
        <v>46123</v>
      </c>
      <c r="F938" s="6" t="n">
        <v>46118</v>
      </c>
      <c r="G938" s="1" t="s">
        <v>108</v>
      </c>
      <c r="H938" s="1" t="s">
        <v>1674</v>
      </c>
      <c r="I938" s="1" t="s">
        <v>2922</v>
      </c>
      <c r="J938" s="1" t="n">
        <v>37611.77</v>
      </c>
      <c r="K938" s="1" t="n">
        <v>24531.58</v>
      </c>
      <c r="L938" s="1" t="n">
        <v>20331.59</v>
      </c>
      <c r="M938" s="1" t="n">
        <v>4199.99</v>
      </c>
      <c r="N938" s="1" t="s">
        <v>41</v>
      </c>
      <c r="P938" s="1" t="n">
        <v>8</v>
      </c>
      <c r="Q938" s="1" t="s">
        <v>63</v>
      </c>
      <c r="R938" s="1" t="s">
        <v>43</v>
      </c>
      <c r="S938" s="6" t="n">
        <v>46131</v>
      </c>
    </row>
    <row r="939" customFormat="false" ht="14.25" hidden="false" customHeight="true" outlineLevel="0" collapsed="false">
      <c r="A939" s="1" t="s">
        <v>2923</v>
      </c>
      <c r="B939" s="1" t="s">
        <v>1177</v>
      </c>
      <c r="C939" s="1" t="s">
        <v>198</v>
      </c>
      <c r="D939" s="1" t="s">
        <v>607</v>
      </c>
      <c r="E939" s="6" t="n">
        <v>46168</v>
      </c>
      <c r="F939" s="6" t="n">
        <v>46164</v>
      </c>
      <c r="G939" s="1" t="s">
        <v>49</v>
      </c>
      <c r="H939" s="1" t="s">
        <v>1047</v>
      </c>
      <c r="I939" s="1" t="s">
        <v>2924</v>
      </c>
      <c r="J939" s="1" t="n">
        <v>17364.81</v>
      </c>
      <c r="K939" s="1" t="n">
        <v>14542.75</v>
      </c>
      <c r="L939" s="1" t="n">
        <v>0</v>
      </c>
      <c r="M939" s="1" t="n">
        <v>14542.75</v>
      </c>
      <c r="N939" s="1" t="s">
        <v>111</v>
      </c>
      <c r="P939" s="1" t="n">
        <v>4</v>
      </c>
      <c r="Q939" s="1" t="s">
        <v>155</v>
      </c>
      <c r="R939" s="1" t="s">
        <v>54</v>
      </c>
    </row>
    <row r="940" customFormat="false" ht="14.25" hidden="false" customHeight="true" outlineLevel="0" collapsed="false">
      <c r="A940" s="1" t="s">
        <v>2925</v>
      </c>
      <c r="B940" s="1" t="s">
        <v>345</v>
      </c>
      <c r="C940" s="1" t="s">
        <v>144</v>
      </c>
      <c r="D940" s="1" t="s">
        <v>1628</v>
      </c>
      <c r="E940" s="6" t="n">
        <v>46104</v>
      </c>
      <c r="F940" s="6" t="n">
        <v>46099</v>
      </c>
      <c r="G940" s="1" t="s">
        <v>49</v>
      </c>
      <c r="H940" s="1" t="s">
        <v>1694</v>
      </c>
      <c r="I940" s="1" t="s">
        <v>2926</v>
      </c>
      <c r="J940" s="1" t="n">
        <v>7277.51</v>
      </c>
      <c r="K940" s="1" t="n">
        <v>5294.28</v>
      </c>
      <c r="L940" s="1" t="n">
        <v>0</v>
      </c>
      <c r="M940" s="1" t="n">
        <v>5294.28</v>
      </c>
      <c r="N940" s="1" t="s">
        <v>260</v>
      </c>
      <c r="P940" s="1" t="n">
        <v>7</v>
      </c>
      <c r="Q940" s="1" t="s">
        <v>63</v>
      </c>
      <c r="R940" s="1" t="s">
        <v>54</v>
      </c>
    </row>
    <row r="941" customFormat="false" ht="14.25" hidden="false" customHeight="true" outlineLevel="0" collapsed="false">
      <c r="A941" s="1" t="s">
        <v>2927</v>
      </c>
      <c r="B941" s="1" t="s">
        <v>2845</v>
      </c>
      <c r="C941" s="1" t="s">
        <v>68</v>
      </c>
      <c r="D941" s="1" t="s">
        <v>481</v>
      </c>
      <c r="E941" s="6" t="n">
        <v>46152</v>
      </c>
      <c r="F941" s="6" t="n">
        <v>46150</v>
      </c>
      <c r="G941" s="1" t="s">
        <v>108</v>
      </c>
      <c r="H941" s="1" t="s">
        <v>2928</v>
      </c>
      <c r="I941" s="1" t="s">
        <v>2929</v>
      </c>
      <c r="J941" s="1" t="n">
        <v>20640.11</v>
      </c>
      <c r="K941" s="1" t="n">
        <v>13577.98</v>
      </c>
      <c r="L941" s="1" t="n">
        <v>0</v>
      </c>
      <c r="M941" s="1" t="n">
        <v>13577.98</v>
      </c>
      <c r="N941" s="1" t="s">
        <v>111</v>
      </c>
      <c r="P941" s="1" t="n">
        <v>8</v>
      </c>
      <c r="Q941" s="1" t="s">
        <v>42</v>
      </c>
      <c r="R941" s="1" t="s">
        <v>64</v>
      </c>
    </row>
    <row r="942" customFormat="false" ht="14.25" hidden="false" customHeight="true" outlineLevel="0" collapsed="false">
      <c r="A942" s="1" t="s">
        <v>2930</v>
      </c>
      <c r="B942" s="1" t="s">
        <v>1239</v>
      </c>
      <c r="C942" s="1" t="s">
        <v>459</v>
      </c>
      <c r="D942" s="1" t="s">
        <v>287</v>
      </c>
      <c r="E942" s="6" t="n">
        <v>46176</v>
      </c>
      <c r="F942" s="6" t="n">
        <v>46176</v>
      </c>
      <c r="G942" s="1" t="s">
        <v>108</v>
      </c>
      <c r="H942" s="1" t="s">
        <v>2931</v>
      </c>
      <c r="I942" s="1" t="s">
        <v>2932</v>
      </c>
      <c r="J942" s="1" t="n">
        <v>5210.28</v>
      </c>
      <c r="K942" s="1" t="n">
        <v>3799.65</v>
      </c>
      <c r="L942" s="1" t="n">
        <v>3166.8</v>
      </c>
      <c r="M942" s="1" t="n">
        <v>632.85</v>
      </c>
      <c r="N942" s="1" t="s">
        <v>41</v>
      </c>
      <c r="P942" s="1" t="n">
        <v>2</v>
      </c>
      <c r="Q942" s="1" t="s">
        <v>63</v>
      </c>
      <c r="R942" s="1" t="s">
        <v>102</v>
      </c>
      <c r="S942" s="6" t="n">
        <v>46178</v>
      </c>
    </row>
    <row r="943" customFormat="false" ht="14.25" hidden="false" customHeight="true" outlineLevel="0" collapsed="false">
      <c r="A943" s="1" t="s">
        <v>2933</v>
      </c>
      <c r="B943" s="1" t="s">
        <v>98</v>
      </c>
      <c r="C943" s="1" t="s">
        <v>92</v>
      </c>
      <c r="D943" s="1" t="s">
        <v>250</v>
      </c>
      <c r="E943" s="6" t="n">
        <v>46221</v>
      </c>
      <c r="F943" s="6" t="n">
        <v>46217</v>
      </c>
      <c r="G943" s="1" t="s">
        <v>108</v>
      </c>
      <c r="H943" s="1" t="s">
        <v>2934</v>
      </c>
      <c r="I943" s="1" t="s">
        <v>2935</v>
      </c>
      <c r="J943" s="1" t="n">
        <v>45692.17</v>
      </c>
      <c r="K943" s="1" t="n">
        <v>30791.91</v>
      </c>
      <c r="L943" s="1" t="n">
        <v>0</v>
      </c>
      <c r="M943" s="1" t="n">
        <v>30791.91</v>
      </c>
      <c r="N943" s="1" t="s">
        <v>52</v>
      </c>
      <c r="O943" s="1" t="s">
        <v>73</v>
      </c>
      <c r="P943" s="1" t="n">
        <v>5</v>
      </c>
      <c r="Q943" s="1" t="s">
        <v>155</v>
      </c>
      <c r="R943" s="1" t="s">
        <v>74</v>
      </c>
    </row>
    <row r="944" customFormat="false" ht="14.25" hidden="false" customHeight="true" outlineLevel="0" collapsed="false">
      <c r="A944" s="1" t="s">
        <v>2936</v>
      </c>
      <c r="B944" s="1" t="s">
        <v>475</v>
      </c>
      <c r="C944" s="1" t="s">
        <v>92</v>
      </c>
      <c r="D944" s="1" t="s">
        <v>1929</v>
      </c>
      <c r="E944" s="6" t="n">
        <v>46110</v>
      </c>
      <c r="F944" s="6" t="n">
        <v>46108</v>
      </c>
      <c r="G944" s="1" t="s">
        <v>108</v>
      </c>
      <c r="H944" s="1" t="s">
        <v>894</v>
      </c>
      <c r="I944" s="1" t="s">
        <v>2937</v>
      </c>
      <c r="J944" s="1" t="n">
        <v>7276.14</v>
      </c>
      <c r="K944" s="1" t="n">
        <v>4935.37</v>
      </c>
      <c r="L944" s="1" t="n">
        <v>0</v>
      </c>
      <c r="M944" s="1" t="n">
        <v>4935.37</v>
      </c>
      <c r="N944" s="1" t="s">
        <v>111</v>
      </c>
      <c r="P944" s="1" t="n">
        <v>13</v>
      </c>
      <c r="Q944" s="1" t="s">
        <v>63</v>
      </c>
      <c r="R944" s="1" t="s">
        <v>64</v>
      </c>
    </row>
    <row r="945" customFormat="false" ht="14.25" hidden="false" customHeight="true" outlineLevel="0" collapsed="false">
      <c r="A945" s="1" t="s">
        <v>2938</v>
      </c>
      <c r="B945" s="1" t="s">
        <v>690</v>
      </c>
      <c r="C945" s="1" t="s">
        <v>68</v>
      </c>
      <c r="D945" s="1" t="s">
        <v>331</v>
      </c>
      <c r="E945" s="6" t="n">
        <v>46052</v>
      </c>
      <c r="F945" s="6" t="n">
        <v>46050</v>
      </c>
      <c r="G945" s="1" t="s">
        <v>108</v>
      </c>
      <c r="H945" s="1" t="s">
        <v>2498</v>
      </c>
      <c r="I945" s="1" t="s">
        <v>2939</v>
      </c>
      <c r="J945" s="1" t="n">
        <v>47013.03</v>
      </c>
      <c r="K945" s="1" t="n">
        <v>43181.81</v>
      </c>
      <c r="L945" s="1" t="n">
        <v>35059.05</v>
      </c>
      <c r="M945" s="1" t="n">
        <v>8122.76</v>
      </c>
      <c r="N945" s="1" t="s">
        <v>41</v>
      </c>
      <c r="P945" s="1" t="n">
        <v>6</v>
      </c>
      <c r="Q945" s="1" t="s">
        <v>63</v>
      </c>
      <c r="R945" s="1" t="s">
        <v>140</v>
      </c>
      <c r="S945" s="6" t="n">
        <v>46058</v>
      </c>
    </row>
    <row r="946" customFormat="false" ht="14.25" hidden="false" customHeight="true" outlineLevel="0" collapsed="false">
      <c r="A946" s="1" t="s">
        <v>2940</v>
      </c>
      <c r="B946" s="1" t="s">
        <v>1852</v>
      </c>
      <c r="C946" s="1" t="s">
        <v>151</v>
      </c>
      <c r="D946" s="1" t="s">
        <v>722</v>
      </c>
      <c r="E946" s="6" t="n">
        <v>46214</v>
      </c>
      <c r="F946" s="6" t="n">
        <v>46209</v>
      </c>
      <c r="G946" s="1" t="s">
        <v>70</v>
      </c>
      <c r="H946" s="1" t="s">
        <v>146</v>
      </c>
      <c r="I946" s="1" t="s">
        <v>2941</v>
      </c>
      <c r="J946" s="1" t="n">
        <v>37024.15</v>
      </c>
      <c r="K946" s="1" t="n">
        <v>33197.8</v>
      </c>
      <c r="L946" s="1" t="n">
        <v>30562.29</v>
      </c>
      <c r="M946" s="1" t="n">
        <v>2635.51</v>
      </c>
      <c r="N946" s="1" t="s">
        <v>41</v>
      </c>
      <c r="P946" s="1" t="n">
        <v>4</v>
      </c>
      <c r="Q946" s="1" t="s">
        <v>63</v>
      </c>
      <c r="R946" s="1" t="s">
        <v>64</v>
      </c>
      <c r="S946" s="6" t="n">
        <v>46218</v>
      </c>
    </row>
    <row r="947" customFormat="false" ht="14.25" hidden="false" customHeight="true" outlineLevel="0" collapsed="false">
      <c r="A947" s="1" t="s">
        <v>2942</v>
      </c>
      <c r="B947" s="1" t="s">
        <v>2228</v>
      </c>
      <c r="C947" s="1" t="s">
        <v>158</v>
      </c>
      <c r="D947" s="1" t="s">
        <v>250</v>
      </c>
      <c r="E947" s="6" t="n">
        <v>46083</v>
      </c>
      <c r="F947" s="6" t="n">
        <v>46083</v>
      </c>
      <c r="G947" s="1" t="s">
        <v>49</v>
      </c>
      <c r="H947" s="1" t="s">
        <v>2943</v>
      </c>
      <c r="I947" s="1" t="s">
        <v>694</v>
      </c>
      <c r="J947" s="1" t="n">
        <v>30856.27</v>
      </c>
      <c r="K947" s="1" t="n">
        <v>23652.33</v>
      </c>
      <c r="L947" s="1" t="n">
        <v>22617.69</v>
      </c>
      <c r="M947" s="1" t="n">
        <v>1034.64</v>
      </c>
      <c r="N947" s="1" t="s">
        <v>41</v>
      </c>
      <c r="P947" s="1" t="n">
        <v>5</v>
      </c>
      <c r="Q947" s="1" t="s">
        <v>63</v>
      </c>
      <c r="R947" s="1" t="s">
        <v>140</v>
      </c>
      <c r="S947" s="6" t="n">
        <v>46088</v>
      </c>
    </row>
    <row r="948" customFormat="false" ht="14.25" hidden="false" customHeight="true" outlineLevel="0" collapsed="false">
      <c r="A948" s="1" t="s">
        <v>2944</v>
      </c>
      <c r="B948" s="1" t="s">
        <v>262</v>
      </c>
      <c r="C948" s="1" t="s">
        <v>106</v>
      </c>
      <c r="D948" s="1" t="s">
        <v>418</v>
      </c>
      <c r="E948" s="6" t="n">
        <v>46180</v>
      </c>
      <c r="F948" s="6" t="n">
        <v>46180</v>
      </c>
      <c r="G948" s="1" t="s">
        <v>38</v>
      </c>
      <c r="H948" s="1" t="s">
        <v>649</v>
      </c>
      <c r="I948" s="1" t="s">
        <v>2945</v>
      </c>
      <c r="J948" s="1" t="n">
        <v>13122.46</v>
      </c>
      <c r="K948" s="1" t="n">
        <v>10912.33</v>
      </c>
      <c r="L948" s="1" t="n">
        <v>0</v>
      </c>
      <c r="M948" s="1" t="n">
        <v>10912.33</v>
      </c>
      <c r="N948" s="1" t="s">
        <v>111</v>
      </c>
      <c r="P948" s="1" t="n">
        <v>4</v>
      </c>
      <c r="Q948" s="1" t="s">
        <v>42</v>
      </c>
      <c r="R948" s="1" t="s">
        <v>140</v>
      </c>
    </row>
    <row r="949" customFormat="false" ht="14.25" hidden="false" customHeight="true" outlineLevel="0" collapsed="false">
      <c r="A949" s="1" t="s">
        <v>2946</v>
      </c>
      <c r="B949" s="1" t="s">
        <v>1269</v>
      </c>
      <c r="C949" s="1" t="s">
        <v>244</v>
      </c>
      <c r="D949" s="1" t="s">
        <v>1448</v>
      </c>
      <c r="E949" s="6" t="n">
        <v>46171</v>
      </c>
      <c r="F949" s="6" t="n">
        <v>46170</v>
      </c>
      <c r="G949" s="1" t="s">
        <v>108</v>
      </c>
      <c r="H949" s="1" t="s">
        <v>153</v>
      </c>
      <c r="I949" s="1" t="s">
        <v>2947</v>
      </c>
      <c r="J949" s="1" t="n">
        <v>29220.1</v>
      </c>
      <c r="K949" s="1" t="n">
        <v>27471.34</v>
      </c>
      <c r="L949" s="1" t="n">
        <v>0</v>
      </c>
      <c r="M949" s="1" t="n">
        <v>27471.34</v>
      </c>
      <c r="N949" s="1" t="s">
        <v>52</v>
      </c>
      <c r="O949" s="1" t="s">
        <v>265</v>
      </c>
      <c r="P949" s="1" t="n">
        <v>4</v>
      </c>
      <c r="Q949" s="1" t="s">
        <v>42</v>
      </c>
      <c r="R949" s="1" t="s">
        <v>43</v>
      </c>
    </row>
    <row r="950" customFormat="false" ht="14.25" hidden="false" customHeight="true" outlineLevel="0" collapsed="false">
      <c r="A950" s="1" t="s">
        <v>2948</v>
      </c>
      <c r="B950" s="1" t="s">
        <v>968</v>
      </c>
      <c r="C950" s="1" t="s">
        <v>136</v>
      </c>
      <c r="D950" s="1" t="s">
        <v>159</v>
      </c>
      <c r="E950" s="6" t="n">
        <v>46058</v>
      </c>
      <c r="F950" s="6" t="n">
        <v>46057</v>
      </c>
      <c r="G950" s="1" t="s">
        <v>70</v>
      </c>
      <c r="H950" s="1" t="s">
        <v>2423</v>
      </c>
      <c r="I950" s="1" t="s">
        <v>2949</v>
      </c>
      <c r="J950" s="1" t="n">
        <v>6074.37</v>
      </c>
      <c r="K950" s="1" t="n">
        <v>3953.48</v>
      </c>
      <c r="L950" s="1" t="n">
        <v>3172.87</v>
      </c>
      <c r="M950" s="1" t="n">
        <v>780.61</v>
      </c>
      <c r="N950" s="1" t="s">
        <v>41</v>
      </c>
      <c r="P950" s="1" t="n">
        <v>2</v>
      </c>
      <c r="Q950" s="1" t="s">
        <v>155</v>
      </c>
      <c r="R950" s="1" t="s">
        <v>140</v>
      </c>
      <c r="S950" s="6" t="n">
        <v>46060</v>
      </c>
    </row>
    <row r="951" customFormat="false" ht="14.25" hidden="false" customHeight="true" outlineLevel="0" collapsed="false">
      <c r="A951" s="1" t="s">
        <v>2950</v>
      </c>
      <c r="B951" s="1" t="s">
        <v>1525</v>
      </c>
      <c r="C951" s="1" t="s">
        <v>164</v>
      </c>
      <c r="D951" s="1" t="s">
        <v>712</v>
      </c>
      <c r="E951" s="6" t="n">
        <v>46213</v>
      </c>
      <c r="F951" s="6" t="n">
        <v>46208</v>
      </c>
      <c r="G951" s="1" t="s">
        <v>49</v>
      </c>
      <c r="H951" s="1" t="s">
        <v>2283</v>
      </c>
      <c r="I951" s="1" t="s">
        <v>2951</v>
      </c>
      <c r="J951" s="1" t="n">
        <v>43505.66</v>
      </c>
      <c r="K951" s="1" t="n">
        <v>32521.94</v>
      </c>
      <c r="L951" s="1" t="n">
        <v>0</v>
      </c>
      <c r="M951" s="1" t="n">
        <v>32521.94</v>
      </c>
      <c r="N951" s="1" t="s">
        <v>52</v>
      </c>
      <c r="O951" s="1" t="s">
        <v>62</v>
      </c>
      <c r="P951" s="1" t="n">
        <v>7</v>
      </c>
      <c r="Q951" s="1" t="s">
        <v>42</v>
      </c>
      <c r="R951" s="1" t="s">
        <v>140</v>
      </c>
    </row>
    <row r="952" customFormat="false" ht="14.25" hidden="false" customHeight="true" outlineLevel="0" collapsed="false">
      <c r="A952" s="1" t="s">
        <v>2952</v>
      </c>
      <c r="B952" s="1" t="s">
        <v>744</v>
      </c>
      <c r="C952" s="1" t="s">
        <v>144</v>
      </c>
      <c r="D952" s="1" t="s">
        <v>538</v>
      </c>
      <c r="E952" s="6" t="n">
        <v>46078</v>
      </c>
      <c r="F952" s="6" t="n">
        <v>46075</v>
      </c>
      <c r="G952" s="1" t="s">
        <v>108</v>
      </c>
      <c r="H952" s="1" t="s">
        <v>2305</v>
      </c>
      <c r="I952" s="1" t="s">
        <v>2953</v>
      </c>
      <c r="J952" s="1" t="n">
        <v>43562.58</v>
      </c>
      <c r="K952" s="1" t="n">
        <v>39530.17</v>
      </c>
      <c r="L952" s="1" t="n">
        <v>36192.87</v>
      </c>
      <c r="M952" s="1" t="n">
        <v>3337.3</v>
      </c>
      <c r="N952" s="1" t="s">
        <v>41</v>
      </c>
      <c r="P952" s="1" t="n">
        <v>8</v>
      </c>
      <c r="Q952" s="1" t="s">
        <v>63</v>
      </c>
      <c r="R952" s="1" t="s">
        <v>43</v>
      </c>
      <c r="S952" s="6" t="n">
        <v>46086</v>
      </c>
    </row>
    <row r="953" customFormat="false" ht="14.25" hidden="false" customHeight="true" outlineLevel="0" collapsed="false">
      <c r="A953" s="1" t="s">
        <v>2954</v>
      </c>
      <c r="B953" s="1" t="s">
        <v>798</v>
      </c>
      <c r="C953" s="1" t="s">
        <v>367</v>
      </c>
      <c r="D953" s="1" t="s">
        <v>1077</v>
      </c>
      <c r="E953" s="6" t="n">
        <v>46063</v>
      </c>
      <c r="F953" s="6" t="n">
        <v>46063</v>
      </c>
      <c r="G953" s="1" t="s">
        <v>38</v>
      </c>
      <c r="H953" s="1" t="s">
        <v>2955</v>
      </c>
      <c r="I953" s="1" t="s">
        <v>2956</v>
      </c>
      <c r="J953" s="1" t="n">
        <v>41767.66</v>
      </c>
      <c r="K953" s="1" t="n">
        <v>36525.71</v>
      </c>
      <c r="L953" s="1" t="n">
        <v>0</v>
      </c>
      <c r="M953" s="1" t="n">
        <v>36525.71</v>
      </c>
      <c r="N953" s="1" t="s">
        <v>52</v>
      </c>
      <c r="O953" s="1" t="s">
        <v>265</v>
      </c>
      <c r="P953" s="1" t="n">
        <v>5</v>
      </c>
      <c r="Q953" s="1" t="s">
        <v>155</v>
      </c>
      <c r="R953" s="1" t="s">
        <v>43</v>
      </c>
    </row>
    <row r="954" customFormat="false" ht="14.25" hidden="false" customHeight="true" outlineLevel="0" collapsed="false">
      <c r="A954" s="1" t="s">
        <v>2957</v>
      </c>
      <c r="B954" s="1" t="s">
        <v>84</v>
      </c>
      <c r="C954" s="1" t="s">
        <v>300</v>
      </c>
      <c r="D954" s="1" t="s">
        <v>953</v>
      </c>
      <c r="E954" s="6" t="n">
        <v>46219</v>
      </c>
      <c r="F954" s="6" t="n">
        <v>46219</v>
      </c>
      <c r="G954" s="1" t="s">
        <v>70</v>
      </c>
      <c r="H954" s="1" t="s">
        <v>2958</v>
      </c>
      <c r="I954" s="1" t="s">
        <v>2959</v>
      </c>
      <c r="J954" s="1" t="n">
        <v>38250.35</v>
      </c>
      <c r="K954" s="1" t="n">
        <v>25611.99</v>
      </c>
      <c r="L954" s="1" t="n">
        <v>22118.7</v>
      </c>
      <c r="M954" s="1" t="n">
        <v>3493.29</v>
      </c>
      <c r="N954" s="1" t="s">
        <v>41</v>
      </c>
      <c r="P954" s="1" t="n">
        <v>5</v>
      </c>
      <c r="Q954" s="1" t="s">
        <v>63</v>
      </c>
      <c r="R954" s="1" t="s">
        <v>102</v>
      </c>
      <c r="S954" s="6" t="n">
        <v>46224</v>
      </c>
    </row>
    <row r="955" customFormat="false" ht="14.25" hidden="false" customHeight="true" outlineLevel="0" collapsed="false">
      <c r="A955" s="1" t="s">
        <v>2960</v>
      </c>
      <c r="B955" s="1" t="s">
        <v>150</v>
      </c>
      <c r="C955" s="1" t="s">
        <v>244</v>
      </c>
      <c r="D955" s="1" t="s">
        <v>245</v>
      </c>
      <c r="E955" s="6" t="n">
        <v>46067</v>
      </c>
      <c r="F955" s="6" t="n">
        <v>46064</v>
      </c>
      <c r="G955" s="1" t="s">
        <v>38</v>
      </c>
      <c r="H955" s="1" t="s">
        <v>1802</v>
      </c>
      <c r="I955" s="1" t="s">
        <v>2961</v>
      </c>
      <c r="J955" s="1" t="n">
        <v>45287.92</v>
      </c>
      <c r="K955" s="1" t="n">
        <v>29670.1</v>
      </c>
      <c r="L955" s="1" t="n">
        <v>23991.4</v>
      </c>
      <c r="M955" s="1" t="n">
        <v>5678.7</v>
      </c>
      <c r="N955" s="1" t="s">
        <v>41</v>
      </c>
      <c r="P955" s="1" t="n">
        <v>8</v>
      </c>
      <c r="Q955" s="1" t="s">
        <v>42</v>
      </c>
      <c r="R955" s="1" t="s">
        <v>102</v>
      </c>
      <c r="S955" s="6" t="n">
        <v>46075</v>
      </c>
    </row>
    <row r="956" customFormat="false" ht="14.25" hidden="false" customHeight="true" outlineLevel="0" collapsed="false">
      <c r="A956" s="1" t="s">
        <v>2962</v>
      </c>
      <c r="B956" s="1" t="s">
        <v>2963</v>
      </c>
      <c r="C956" s="1" t="s">
        <v>346</v>
      </c>
      <c r="D956" s="1" t="s">
        <v>727</v>
      </c>
      <c r="E956" s="6" t="n">
        <v>46158</v>
      </c>
      <c r="F956" s="6" t="n">
        <v>46156</v>
      </c>
      <c r="G956" s="1" t="s">
        <v>108</v>
      </c>
      <c r="H956" s="1" t="s">
        <v>2342</v>
      </c>
      <c r="I956" s="1" t="s">
        <v>2964</v>
      </c>
      <c r="J956" s="1" t="n">
        <v>13954.7</v>
      </c>
      <c r="K956" s="1" t="n">
        <v>11826.44</v>
      </c>
      <c r="L956" s="1" t="n">
        <v>0</v>
      </c>
      <c r="M956" s="1" t="n">
        <v>11826.44</v>
      </c>
      <c r="N956" s="1" t="s">
        <v>111</v>
      </c>
      <c r="P956" s="1" t="n">
        <v>8</v>
      </c>
      <c r="Q956" s="1" t="s">
        <v>63</v>
      </c>
      <c r="R956" s="1" t="s">
        <v>125</v>
      </c>
    </row>
    <row r="957" customFormat="false" ht="14.25" hidden="false" customHeight="true" outlineLevel="0" collapsed="false">
      <c r="A957" s="1" t="s">
        <v>2965</v>
      </c>
      <c r="B957" s="1" t="s">
        <v>1121</v>
      </c>
      <c r="C957" s="1" t="s">
        <v>151</v>
      </c>
      <c r="D957" s="1" t="s">
        <v>99</v>
      </c>
      <c r="E957" s="6" t="n">
        <v>46090</v>
      </c>
      <c r="F957" s="6" t="n">
        <v>46085</v>
      </c>
      <c r="G957" s="1" t="s">
        <v>108</v>
      </c>
      <c r="H957" s="1" t="s">
        <v>1492</v>
      </c>
      <c r="I957" s="1" t="s">
        <v>1882</v>
      </c>
      <c r="J957" s="1" t="n">
        <v>42864.58</v>
      </c>
      <c r="K957" s="1" t="n">
        <v>35248.58</v>
      </c>
      <c r="L957" s="1" t="n">
        <v>0</v>
      </c>
      <c r="M957" s="1" t="n">
        <v>35248.58</v>
      </c>
      <c r="N957" s="1" t="s">
        <v>52</v>
      </c>
      <c r="O957" s="1" t="s">
        <v>62</v>
      </c>
      <c r="P957" s="1" t="n">
        <v>3</v>
      </c>
      <c r="Q957" s="1" t="s">
        <v>42</v>
      </c>
      <c r="R957" s="1" t="s">
        <v>102</v>
      </c>
    </row>
    <row r="958" customFormat="false" ht="14.25" hidden="false" customHeight="true" outlineLevel="0" collapsed="false">
      <c r="A958" s="1" t="s">
        <v>2966</v>
      </c>
      <c r="B958" s="1" t="s">
        <v>1415</v>
      </c>
      <c r="C958" s="1" t="s">
        <v>430</v>
      </c>
      <c r="D958" s="1" t="s">
        <v>953</v>
      </c>
      <c r="E958" s="6" t="n">
        <v>46026</v>
      </c>
      <c r="F958" s="6" t="n">
        <v>46023</v>
      </c>
      <c r="G958" s="1" t="s">
        <v>49</v>
      </c>
      <c r="H958" s="1" t="s">
        <v>2788</v>
      </c>
      <c r="I958" s="1" t="s">
        <v>2967</v>
      </c>
      <c r="J958" s="1" t="n">
        <v>5869.08</v>
      </c>
      <c r="K958" s="1" t="n">
        <v>4354.28</v>
      </c>
      <c r="L958" s="1" t="n">
        <v>4097.55</v>
      </c>
      <c r="M958" s="1" t="n">
        <v>256.73</v>
      </c>
      <c r="N958" s="1" t="s">
        <v>41</v>
      </c>
      <c r="P958" s="1" t="n">
        <v>5</v>
      </c>
      <c r="Q958" s="1" t="s">
        <v>155</v>
      </c>
      <c r="R958" s="1" t="s">
        <v>43</v>
      </c>
      <c r="S958" s="6" t="n">
        <v>46031</v>
      </c>
    </row>
    <row r="959" customFormat="false" ht="14.25" hidden="false" customHeight="true" outlineLevel="0" collapsed="false">
      <c r="A959" s="1" t="s">
        <v>2968</v>
      </c>
      <c r="B959" s="1" t="s">
        <v>921</v>
      </c>
      <c r="C959" s="1" t="s">
        <v>325</v>
      </c>
      <c r="D959" s="1" t="s">
        <v>799</v>
      </c>
      <c r="E959" s="6" t="n">
        <v>46147</v>
      </c>
      <c r="F959" s="6" t="n">
        <v>46143</v>
      </c>
      <c r="G959" s="1" t="s">
        <v>49</v>
      </c>
      <c r="H959" s="1" t="s">
        <v>1001</v>
      </c>
      <c r="I959" s="1" t="s">
        <v>2969</v>
      </c>
      <c r="J959" s="1" t="n">
        <v>12621.76</v>
      </c>
      <c r="K959" s="1" t="n">
        <v>8377.58</v>
      </c>
      <c r="L959" s="1" t="n">
        <v>6987.21</v>
      </c>
      <c r="M959" s="1" t="n">
        <v>1390.37</v>
      </c>
      <c r="N959" s="1" t="s">
        <v>41</v>
      </c>
      <c r="P959" s="1" t="n">
        <v>8</v>
      </c>
      <c r="Q959" s="1" t="s">
        <v>42</v>
      </c>
      <c r="R959" s="1" t="s">
        <v>54</v>
      </c>
      <c r="S959" s="6" t="n">
        <v>46155</v>
      </c>
    </row>
    <row r="960" customFormat="false" ht="14.25" hidden="false" customHeight="true" outlineLevel="0" collapsed="false">
      <c r="A960" s="1" t="s">
        <v>2970</v>
      </c>
      <c r="B960" s="1" t="s">
        <v>1260</v>
      </c>
      <c r="C960" s="1" t="s">
        <v>136</v>
      </c>
      <c r="D960" s="1" t="s">
        <v>326</v>
      </c>
      <c r="E960" s="6" t="n">
        <v>46199</v>
      </c>
      <c r="F960" s="6" t="n">
        <v>46199</v>
      </c>
      <c r="G960" s="1" t="s">
        <v>108</v>
      </c>
      <c r="H960" s="1" t="s">
        <v>2971</v>
      </c>
      <c r="I960" s="1" t="s">
        <v>531</v>
      </c>
      <c r="J960" s="1" t="n">
        <v>44848.3</v>
      </c>
      <c r="K960" s="1" t="n">
        <v>32263.48</v>
      </c>
      <c r="L960" s="1" t="n">
        <v>31187.1</v>
      </c>
      <c r="M960" s="1" t="n">
        <v>1076.38</v>
      </c>
      <c r="N960" s="1" t="s">
        <v>41</v>
      </c>
      <c r="P960" s="1" t="n">
        <v>4</v>
      </c>
      <c r="Q960" s="1" t="s">
        <v>63</v>
      </c>
      <c r="R960" s="1" t="s">
        <v>74</v>
      </c>
      <c r="S960" s="6" t="n">
        <v>46203</v>
      </c>
    </row>
    <row r="961" customFormat="false" ht="14.25" hidden="false" customHeight="true" outlineLevel="0" collapsed="false">
      <c r="A961" s="1" t="s">
        <v>2972</v>
      </c>
      <c r="B961" s="1" t="s">
        <v>1479</v>
      </c>
      <c r="C961" s="1" t="s">
        <v>430</v>
      </c>
      <c r="D961" s="1" t="s">
        <v>740</v>
      </c>
      <c r="E961" s="6" t="n">
        <v>46058</v>
      </c>
      <c r="F961" s="6" t="n">
        <v>46057</v>
      </c>
      <c r="G961" s="1" t="s">
        <v>108</v>
      </c>
      <c r="H961" s="1" t="s">
        <v>1433</v>
      </c>
      <c r="I961" s="1" t="s">
        <v>2973</v>
      </c>
      <c r="J961" s="1" t="n">
        <v>11314.29</v>
      </c>
      <c r="K961" s="1" t="n">
        <v>7683.05</v>
      </c>
      <c r="L961" s="1" t="n">
        <v>0</v>
      </c>
      <c r="M961" s="1" t="n">
        <v>7683.05</v>
      </c>
      <c r="N961" s="1" t="s">
        <v>111</v>
      </c>
      <c r="P961" s="1" t="n">
        <v>8</v>
      </c>
      <c r="Q961" s="1" t="s">
        <v>155</v>
      </c>
      <c r="R961" s="1" t="s">
        <v>54</v>
      </c>
    </row>
    <row r="962" customFormat="false" ht="14.25" hidden="false" customHeight="true" outlineLevel="0" collapsed="false">
      <c r="A962" s="1" t="s">
        <v>2974</v>
      </c>
      <c r="B962" s="1" t="s">
        <v>810</v>
      </c>
      <c r="C962" s="1" t="s">
        <v>361</v>
      </c>
      <c r="D962" s="1" t="s">
        <v>320</v>
      </c>
      <c r="E962" s="6" t="n">
        <v>46111</v>
      </c>
      <c r="F962" s="6" t="n">
        <v>46110</v>
      </c>
      <c r="G962" s="1" t="s">
        <v>38</v>
      </c>
      <c r="H962" s="1" t="s">
        <v>2292</v>
      </c>
      <c r="I962" s="1" t="s">
        <v>2975</v>
      </c>
      <c r="J962" s="1" t="n">
        <v>5128.75</v>
      </c>
      <c r="K962" s="1" t="n">
        <v>3718.83</v>
      </c>
      <c r="L962" s="1" t="n">
        <v>0</v>
      </c>
      <c r="M962" s="1" t="n">
        <v>3718.83</v>
      </c>
      <c r="N962" s="1" t="s">
        <v>111</v>
      </c>
      <c r="P962" s="1" t="n">
        <v>13</v>
      </c>
      <c r="Q962" s="1" t="s">
        <v>42</v>
      </c>
      <c r="R962" s="1" t="s">
        <v>102</v>
      </c>
    </row>
    <row r="963" customFormat="false" ht="14.25" hidden="false" customHeight="true" outlineLevel="0" collapsed="false">
      <c r="A963" s="1" t="s">
        <v>2976</v>
      </c>
      <c r="B963" s="1" t="s">
        <v>818</v>
      </c>
      <c r="C963" s="1" t="s">
        <v>136</v>
      </c>
      <c r="D963" s="1" t="s">
        <v>799</v>
      </c>
      <c r="E963" s="6" t="n">
        <v>46162</v>
      </c>
      <c r="F963" s="6" t="n">
        <v>46161</v>
      </c>
      <c r="G963" s="1" t="s">
        <v>108</v>
      </c>
      <c r="H963" s="1" t="s">
        <v>1081</v>
      </c>
      <c r="I963" s="1" t="s">
        <v>2977</v>
      </c>
      <c r="J963" s="1" t="n">
        <v>34945.51</v>
      </c>
      <c r="K963" s="1" t="n">
        <v>22781.22</v>
      </c>
      <c r="L963" s="1" t="n">
        <v>0</v>
      </c>
      <c r="M963" s="1" t="n">
        <v>22781.22</v>
      </c>
      <c r="N963" s="1" t="s">
        <v>111</v>
      </c>
      <c r="P963" s="1" t="n">
        <v>11</v>
      </c>
      <c r="Q963" s="1" t="s">
        <v>42</v>
      </c>
      <c r="R963" s="1" t="s">
        <v>140</v>
      </c>
    </row>
    <row r="964" customFormat="false" ht="14.25" hidden="false" customHeight="true" outlineLevel="0" collapsed="false">
      <c r="A964" s="1" t="s">
        <v>2978</v>
      </c>
      <c r="B964" s="1" t="s">
        <v>1276</v>
      </c>
      <c r="C964" s="1" t="s">
        <v>361</v>
      </c>
      <c r="D964" s="1" t="s">
        <v>189</v>
      </c>
      <c r="E964" s="6" t="n">
        <v>46172</v>
      </c>
      <c r="F964" s="6" t="n">
        <v>46170</v>
      </c>
      <c r="G964" s="1" t="s">
        <v>108</v>
      </c>
      <c r="H964" s="1" t="s">
        <v>2979</v>
      </c>
      <c r="I964" s="1" t="s">
        <v>2980</v>
      </c>
      <c r="J964" s="1" t="n">
        <v>34970.76</v>
      </c>
      <c r="K964" s="1" t="n">
        <v>32536.67</v>
      </c>
      <c r="L964" s="1" t="n">
        <v>30530.19</v>
      </c>
      <c r="M964" s="1" t="n">
        <v>2006.48</v>
      </c>
      <c r="N964" s="1" t="s">
        <v>41</v>
      </c>
      <c r="P964" s="1" t="n">
        <v>3</v>
      </c>
      <c r="Q964" s="1" t="s">
        <v>155</v>
      </c>
      <c r="R964" s="1" t="s">
        <v>140</v>
      </c>
      <c r="S964" s="6" t="n">
        <v>46175</v>
      </c>
    </row>
    <row r="965" customFormat="false" ht="14.25" hidden="false" customHeight="true" outlineLevel="0" collapsed="false">
      <c r="A965" s="1" t="s">
        <v>2981</v>
      </c>
      <c r="B965" s="1" t="s">
        <v>220</v>
      </c>
      <c r="C965" s="1" t="s">
        <v>376</v>
      </c>
      <c r="D965" s="1" t="s">
        <v>347</v>
      </c>
      <c r="E965" s="6" t="n">
        <v>46234</v>
      </c>
      <c r="F965" s="6" t="n">
        <v>46233</v>
      </c>
      <c r="G965" s="1" t="s">
        <v>108</v>
      </c>
      <c r="H965" s="1" t="s">
        <v>1171</v>
      </c>
      <c r="I965" s="1" t="s">
        <v>2982</v>
      </c>
      <c r="J965" s="1" t="n">
        <v>2737.61</v>
      </c>
      <c r="K965" s="1" t="n">
        <v>1926.78</v>
      </c>
      <c r="L965" s="1" t="n">
        <v>1843.58</v>
      </c>
      <c r="M965" s="1" t="n">
        <v>83.2</v>
      </c>
      <c r="N965" s="1" t="s">
        <v>41</v>
      </c>
      <c r="P965" s="1" t="n">
        <v>4</v>
      </c>
      <c r="Q965" s="1" t="s">
        <v>155</v>
      </c>
      <c r="R965" s="1" t="s">
        <v>64</v>
      </c>
      <c r="S965" s="6" t="n">
        <v>46238</v>
      </c>
    </row>
    <row r="966" customFormat="false" ht="14.25" hidden="false" customHeight="true" outlineLevel="0" collapsed="false">
      <c r="A966" s="1" t="s">
        <v>2983</v>
      </c>
      <c r="B966" s="1" t="s">
        <v>917</v>
      </c>
      <c r="C966" s="1" t="s">
        <v>296</v>
      </c>
      <c r="D966" s="1" t="s">
        <v>183</v>
      </c>
      <c r="E966" s="6" t="n">
        <v>46057</v>
      </c>
      <c r="F966" s="6" t="n">
        <v>46057</v>
      </c>
      <c r="G966" s="1" t="s">
        <v>108</v>
      </c>
      <c r="H966" s="1" t="s">
        <v>2984</v>
      </c>
      <c r="I966" s="1" t="s">
        <v>2985</v>
      </c>
      <c r="J966" s="1" t="n">
        <v>45655.94</v>
      </c>
      <c r="K966" s="1" t="n">
        <v>32472.75</v>
      </c>
      <c r="L966" s="1" t="n">
        <v>29445.73</v>
      </c>
      <c r="M966" s="1" t="n">
        <v>3027.02</v>
      </c>
      <c r="N966" s="1" t="s">
        <v>41</v>
      </c>
      <c r="P966" s="1" t="n">
        <v>5</v>
      </c>
      <c r="Q966" s="1" t="s">
        <v>63</v>
      </c>
      <c r="R966" s="1" t="s">
        <v>43</v>
      </c>
      <c r="S966" s="6" t="n">
        <v>46062</v>
      </c>
    </row>
    <row r="967" customFormat="false" ht="14.25" hidden="false" customHeight="true" outlineLevel="0" collapsed="false">
      <c r="A967" s="1" t="s">
        <v>2986</v>
      </c>
      <c r="B967" s="1" t="s">
        <v>1719</v>
      </c>
      <c r="C967" s="1" t="s">
        <v>273</v>
      </c>
      <c r="D967" s="1" t="s">
        <v>431</v>
      </c>
      <c r="E967" s="6" t="n">
        <v>46025</v>
      </c>
      <c r="F967" s="6" t="n">
        <v>46024</v>
      </c>
      <c r="G967" s="1" t="s">
        <v>38</v>
      </c>
      <c r="H967" s="1" t="s">
        <v>2987</v>
      </c>
      <c r="I967" s="1" t="s">
        <v>2988</v>
      </c>
      <c r="J967" s="1" t="n">
        <v>26884.97</v>
      </c>
      <c r="K967" s="1" t="n">
        <v>22995.57</v>
      </c>
      <c r="L967" s="1" t="n">
        <v>22379.87</v>
      </c>
      <c r="M967" s="1" t="n">
        <v>615.7</v>
      </c>
      <c r="N967" s="1" t="s">
        <v>41</v>
      </c>
      <c r="P967" s="1" t="n">
        <v>2</v>
      </c>
      <c r="Q967" s="1" t="s">
        <v>63</v>
      </c>
      <c r="R967" s="1" t="s">
        <v>54</v>
      </c>
      <c r="S967" s="6" t="n">
        <v>46027</v>
      </c>
    </row>
    <row r="968" customFormat="false" ht="14.25" hidden="false" customHeight="true" outlineLevel="0" collapsed="false">
      <c r="A968" s="1" t="s">
        <v>2989</v>
      </c>
      <c r="B968" s="1" t="s">
        <v>1408</v>
      </c>
      <c r="C968" s="1" t="s">
        <v>164</v>
      </c>
      <c r="D968" s="1" t="s">
        <v>574</v>
      </c>
      <c r="E968" s="6" t="n">
        <v>46135</v>
      </c>
      <c r="F968" s="6" t="n">
        <v>46134</v>
      </c>
      <c r="G968" s="1" t="s">
        <v>70</v>
      </c>
      <c r="H968" s="1" t="s">
        <v>2203</v>
      </c>
      <c r="I968" s="1" t="s">
        <v>2990</v>
      </c>
      <c r="J968" s="1" t="n">
        <v>8726.36</v>
      </c>
      <c r="K968" s="1" t="n">
        <v>7540.53</v>
      </c>
      <c r="L968" s="1" t="n">
        <v>0</v>
      </c>
      <c r="M968" s="1" t="n">
        <v>7540.53</v>
      </c>
      <c r="N968" s="1" t="s">
        <v>111</v>
      </c>
      <c r="P968" s="1" t="n">
        <v>15</v>
      </c>
      <c r="Q968" s="1" t="s">
        <v>42</v>
      </c>
      <c r="R968" s="1" t="s">
        <v>64</v>
      </c>
    </row>
    <row r="969" customFormat="false" ht="14.25" hidden="false" customHeight="true" outlineLevel="0" collapsed="false">
      <c r="A969" s="1" t="s">
        <v>2991</v>
      </c>
      <c r="B969" s="1" t="s">
        <v>1562</v>
      </c>
      <c r="C969" s="1" t="s">
        <v>386</v>
      </c>
      <c r="D969" s="1" t="s">
        <v>396</v>
      </c>
      <c r="E969" s="6" t="n">
        <v>46196</v>
      </c>
      <c r="F969" s="6" t="n">
        <v>46192</v>
      </c>
      <c r="G969" s="1" t="s">
        <v>38</v>
      </c>
      <c r="H969" s="1" t="s">
        <v>667</v>
      </c>
      <c r="I969" s="1" t="s">
        <v>2992</v>
      </c>
      <c r="J969" s="1" t="n">
        <v>22728.4</v>
      </c>
      <c r="K969" s="1" t="n">
        <v>15947.17</v>
      </c>
      <c r="L969" s="1" t="n">
        <v>15296.09</v>
      </c>
      <c r="M969" s="1" t="n">
        <v>651.08</v>
      </c>
      <c r="N969" s="1" t="s">
        <v>41</v>
      </c>
      <c r="P969" s="1" t="n">
        <v>8</v>
      </c>
      <c r="Q969" s="1" t="s">
        <v>155</v>
      </c>
      <c r="R969" s="1" t="s">
        <v>43</v>
      </c>
      <c r="S969" s="6" t="n">
        <v>46204</v>
      </c>
    </row>
    <row r="970" customFormat="false" ht="14.25" hidden="false" customHeight="true" outlineLevel="0" collapsed="false">
      <c r="A970" s="1" t="s">
        <v>2993</v>
      </c>
      <c r="B970" s="1" t="s">
        <v>238</v>
      </c>
      <c r="C970" s="1" t="s">
        <v>244</v>
      </c>
      <c r="D970" s="1" t="s">
        <v>964</v>
      </c>
      <c r="E970" s="6" t="n">
        <v>46101</v>
      </c>
      <c r="F970" s="6" t="n">
        <v>46098</v>
      </c>
      <c r="G970" s="1" t="s">
        <v>108</v>
      </c>
      <c r="H970" s="1" t="s">
        <v>800</v>
      </c>
      <c r="I970" s="1" t="s">
        <v>2994</v>
      </c>
      <c r="J970" s="1" t="n">
        <v>23510.99</v>
      </c>
      <c r="K970" s="1" t="n">
        <v>15924.17</v>
      </c>
      <c r="L970" s="1" t="n">
        <v>0</v>
      </c>
      <c r="M970" s="1" t="n">
        <v>15924.17</v>
      </c>
      <c r="N970" s="1" t="s">
        <v>52</v>
      </c>
      <c r="O970" s="1" t="s">
        <v>265</v>
      </c>
      <c r="P970" s="1" t="n">
        <v>2</v>
      </c>
      <c r="Q970" s="1" t="s">
        <v>63</v>
      </c>
      <c r="R970" s="1" t="s">
        <v>74</v>
      </c>
    </row>
    <row r="971" customFormat="false" ht="14.25" hidden="false" customHeight="true" outlineLevel="0" collapsed="false">
      <c r="A971" s="1" t="s">
        <v>2995</v>
      </c>
      <c r="B971" s="1" t="s">
        <v>582</v>
      </c>
      <c r="C971" s="1" t="s">
        <v>158</v>
      </c>
      <c r="D971" s="1" t="s">
        <v>855</v>
      </c>
      <c r="E971" s="6" t="n">
        <v>46176</v>
      </c>
      <c r="F971" s="6" t="n">
        <v>46171</v>
      </c>
      <c r="G971" s="1" t="s">
        <v>108</v>
      </c>
      <c r="H971" s="1" t="s">
        <v>281</v>
      </c>
      <c r="I971" s="1" t="s">
        <v>2996</v>
      </c>
      <c r="J971" s="1" t="n">
        <v>7193.3</v>
      </c>
      <c r="K971" s="1" t="n">
        <v>5793.39</v>
      </c>
      <c r="L971" s="1" t="n">
        <v>0</v>
      </c>
      <c r="M971" s="1" t="n">
        <v>5793.39</v>
      </c>
      <c r="N971" s="1" t="s">
        <v>111</v>
      </c>
      <c r="P971" s="1" t="n">
        <v>12</v>
      </c>
      <c r="Q971" s="1" t="s">
        <v>155</v>
      </c>
      <c r="R971" s="1" t="s">
        <v>140</v>
      </c>
    </row>
    <row r="972" customFormat="false" ht="14.25" hidden="false" customHeight="true" outlineLevel="0" collapsed="false">
      <c r="A972" s="1" t="s">
        <v>2997</v>
      </c>
      <c r="B972" s="1" t="s">
        <v>941</v>
      </c>
      <c r="C972" s="1" t="s">
        <v>671</v>
      </c>
      <c r="D972" s="1" t="s">
        <v>387</v>
      </c>
      <c r="E972" s="6" t="n">
        <v>46164</v>
      </c>
      <c r="F972" s="6" t="n">
        <v>46160</v>
      </c>
      <c r="G972" s="1" t="s">
        <v>49</v>
      </c>
      <c r="H972" s="1" t="s">
        <v>2998</v>
      </c>
      <c r="I972" s="1" t="s">
        <v>2999</v>
      </c>
      <c r="J972" s="1" t="n">
        <v>26491.26</v>
      </c>
      <c r="K972" s="1" t="n">
        <v>17962.69</v>
      </c>
      <c r="L972" s="1" t="n">
        <v>14644.71</v>
      </c>
      <c r="M972" s="1" t="n">
        <v>3317.98</v>
      </c>
      <c r="N972" s="1" t="s">
        <v>41</v>
      </c>
      <c r="P972" s="1" t="n">
        <v>3</v>
      </c>
      <c r="Q972" s="1" t="s">
        <v>155</v>
      </c>
      <c r="R972" s="1" t="s">
        <v>125</v>
      </c>
      <c r="S972" s="6" t="n">
        <v>46167</v>
      </c>
    </row>
    <row r="973" customFormat="false" ht="14.25" hidden="false" customHeight="true" outlineLevel="0" collapsed="false">
      <c r="A973" s="1" t="s">
        <v>3000</v>
      </c>
      <c r="B973" s="1" t="s">
        <v>639</v>
      </c>
      <c r="C973" s="1" t="s">
        <v>279</v>
      </c>
      <c r="D973" s="1" t="s">
        <v>222</v>
      </c>
      <c r="E973" s="6" t="n">
        <v>46226</v>
      </c>
      <c r="F973" s="6" t="n">
        <v>46225</v>
      </c>
      <c r="G973" s="1" t="s">
        <v>108</v>
      </c>
      <c r="H973" s="1" t="s">
        <v>1037</v>
      </c>
      <c r="I973" s="1" t="s">
        <v>3001</v>
      </c>
      <c r="J973" s="1" t="n">
        <v>4924.46</v>
      </c>
      <c r="K973" s="1" t="n">
        <v>3419.28</v>
      </c>
      <c r="L973" s="1" t="n">
        <v>0</v>
      </c>
      <c r="M973" s="1" t="n">
        <v>3419.28</v>
      </c>
      <c r="N973" s="1" t="s">
        <v>111</v>
      </c>
      <c r="P973" s="1" t="n">
        <v>11</v>
      </c>
      <c r="Q973" s="1" t="s">
        <v>63</v>
      </c>
      <c r="R973" s="1" t="s">
        <v>140</v>
      </c>
    </row>
    <row r="974" customFormat="false" ht="14.25" hidden="false" customHeight="true" outlineLevel="0" collapsed="false">
      <c r="A974" s="1" t="s">
        <v>3002</v>
      </c>
      <c r="B974" s="1" t="s">
        <v>1276</v>
      </c>
      <c r="C974" s="1" t="s">
        <v>310</v>
      </c>
      <c r="D974" s="1" t="s">
        <v>377</v>
      </c>
      <c r="E974" s="6" t="n">
        <v>46199</v>
      </c>
      <c r="F974" s="6" t="n">
        <v>46197</v>
      </c>
      <c r="G974" s="1" t="s">
        <v>108</v>
      </c>
      <c r="H974" s="1" t="s">
        <v>723</v>
      </c>
      <c r="I974" s="1" t="s">
        <v>3003</v>
      </c>
      <c r="J974" s="1" t="n">
        <v>17215.23</v>
      </c>
      <c r="K974" s="1" t="n">
        <v>11360.88</v>
      </c>
      <c r="L974" s="1" t="n">
        <v>0</v>
      </c>
      <c r="M974" s="1" t="n">
        <v>11360.88</v>
      </c>
      <c r="N974" s="1" t="s">
        <v>260</v>
      </c>
      <c r="P974" s="1" t="n">
        <v>1</v>
      </c>
      <c r="Q974" s="1" t="s">
        <v>155</v>
      </c>
      <c r="R974" s="1" t="s">
        <v>102</v>
      </c>
    </row>
    <row r="975" customFormat="false" ht="14.25" hidden="false" customHeight="true" outlineLevel="0" collapsed="false">
      <c r="A975" s="1" t="s">
        <v>3004</v>
      </c>
      <c r="B975" s="1" t="s">
        <v>2335</v>
      </c>
      <c r="C975" s="1" t="s">
        <v>300</v>
      </c>
      <c r="D975" s="1" t="s">
        <v>326</v>
      </c>
      <c r="E975" s="6" t="n">
        <v>46070</v>
      </c>
      <c r="F975" s="6" t="n">
        <v>46065</v>
      </c>
      <c r="G975" s="1" t="s">
        <v>70</v>
      </c>
      <c r="H975" s="1" t="s">
        <v>100</v>
      </c>
      <c r="I975" s="1" t="s">
        <v>3005</v>
      </c>
      <c r="J975" s="1" t="n">
        <v>29499.11</v>
      </c>
      <c r="K975" s="1" t="n">
        <v>19905.7</v>
      </c>
      <c r="L975" s="1" t="n">
        <v>0</v>
      </c>
      <c r="M975" s="1" t="n">
        <v>19905.7</v>
      </c>
      <c r="N975" s="1" t="s">
        <v>52</v>
      </c>
      <c r="O975" s="1" t="s">
        <v>62</v>
      </c>
      <c r="P975" s="1" t="n">
        <v>4</v>
      </c>
      <c r="Q975" s="1" t="s">
        <v>42</v>
      </c>
      <c r="R975" s="1" t="s">
        <v>140</v>
      </c>
    </row>
    <row r="976" customFormat="false" ht="14.25" hidden="false" customHeight="true" outlineLevel="0" collapsed="false">
      <c r="A976" s="1" t="s">
        <v>3006</v>
      </c>
      <c r="B976" s="1" t="s">
        <v>547</v>
      </c>
      <c r="C976" s="1" t="s">
        <v>176</v>
      </c>
      <c r="D976" s="1" t="s">
        <v>890</v>
      </c>
      <c r="E976" s="6" t="n">
        <v>46115</v>
      </c>
      <c r="F976" s="6" t="n">
        <v>46113</v>
      </c>
      <c r="G976" s="1" t="s">
        <v>38</v>
      </c>
      <c r="H976" s="1" t="s">
        <v>477</v>
      </c>
      <c r="I976" s="1" t="s">
        <v>3007</v>
      </c>
      <c r="J976" s="1" t="n">
        <v>6200.3</v>
      </c>
      <c r="K976" s="1" t="n">
        <v>5730.8</v>
      </c>
      <c r="L976" s="1" t="n">
        <v>5223.06</v>
      </c>
      <c r="M976" s="1" t="n">
        <v>507.74</v>
      </c>
      <c r="N976" s="1" t="s">
        <v>41</v>
      </c>
      <c r="P976" s="1" t="n">
        <v>5</v>
      </c>
      <c r="Q976" s="1" t="s">
        <v>63</v>
      </c>
      <c r="R976" s="1" t="s">
        <v>102</v>
      </c>
      <c r="S976" s="6" t="n">
        <v>46120</v>
      </c>
    </row>
    <row r="977" customFormat="false" ht="14.25" hidden="false" customHeight="true" outlineLevel="0" collapsed="false">
      <c r="A977" s="1" t="s">
        <v>3008</v>
      </c>
      <c r="B977" s="1" t="s">
        <v>1725</v>
      </c>
      <c r="C977" s="1" t="s">
        <v>386</v>
      </c>
      <c r="D977" s="1" t="s">
        <v>717</v>
      </c>
      <c r="E977" s="6" t="n">
        <v>46152</v>
      </c>
      <c r="F977" s="6" t="n">
        <v>46148</v>
      </c>
      <c r="G977" s="1" t="s">
        <v>49</v>
      </c>
      <c r="H977" s="1" t="s">
        <v>2899</v>
      </c>
      <c r="I977" s="1" t="s">
        <v>3009</v>
      </c>
      <c r="J977" s="1" t="n">
        <v>4291.89</v>
      </c>
      <c r="K977" s="1" t="n">
        <v>3015.99</v>
      </c>
      <c r="L977" s="1" t="n">
        <v>0</v>
      </c>
      <c r="M977" s="1" t="n">
        <v>3015.99</v>
      </c>
      <c r="N977" s="1" t="s">
        <v>52</v>
      </c>
      <c r="O977" s="1" t="s">
        <v>73</v>
      </c>
      <c r="P977" s="1" t="n">
        <v>5</v>
      </c>
      <c r="Q977" s="1" t="s">
        <v>63</v>
      </c>
      <c r="R977" s="1" t="s">
        <v>43</v>
      </c>
    </row>
    <row r="978" customFormat="false" ht="14.25" hidden="false" customHeight="true" outlineLevel="0" collapsed="false">
      <c r="A978" s="1" t="s">
        <v>3010</v>
      </c>
      <c r="B978" s="1" t="s">
        <v>417</v>
      </c>
      <c r="C978" s="1" t="s">
        <v>356</v>
      </c>
      <c r="D978" s="1" t="s">
        <v>590</v>
      </c>
      <c r="E978" s="6" t="n">
        <v>46029</v>
      </c>
      <c r="F978" s="6" t="n">
        <v>46029</v>
      </c>
      <c r="G978" s="1" t="s">
        <v>70</v>
      </c>
      <c r="H978" s="1" t="s">
        <v>1081</v>
      </c>
      <c r="I978" s="1" t="s">
        <v>3011</v>
      </c>
      <c r="J978" s="1" t="n">
        <v>638.38</v>
      </c>
      <c r="K978" s="1" t="n">
        <v>464.99</v>
      </c>
      <c r="L978" s="1" t="n">
        <v>0</v>
      </c>
      <c r="M978" s="1" t="n">
        <v>464.99</v>
      </c>
      <c r="N978" s="1" t="s">
        <v>111</v>
      </c>
      <c r="P978" s="1" t="n">
        <v>7</v>
      </c>
      <c r="Q978" s="1" t="s">
        <v>42</v>
      </c>
      <c r="R978" s="1" t="s">
        <v>64</v>
      </c>
    </row>
    <row r="979" customFormat="false" ht="14.25" hidden="false" customHeight="true" outlineLevel="0" collapsed="false">
      <c r="A979" s="1" t="s">
        <v>3012</v>
      </c>
      <c r="B979" s="1" t="s">
        <v>440</v>
      </c>
      <c r="C979" s="1" t="s">
        <v>244</v>
      </c>
      <c r="D979" s="1" t="s">
        <v>550</v>
      </c>
      <c r="E979" s="6" t="n">
        <v>46097</v>
      </c>
      <c r="F979" s="6" t="n">
        <v>46093</v>
      </c>
      <c r="G979" s="1" t="s">
        <v>70</v>
      </c>
      <c r="H979" s="1" t="s">
        <v>1171</v>
      </c>
      <c r="I979" s="1" t="s">
        <v>3013</v>
      </c>
      <c r="J979" s="1" t="n">
        <v>19197.2</v>
      </c>
      <c r="K979" s="1" t="n">
        <v>13186.22</v>
      </c>
      <c r="L979" s="1" t="n">
        <v>11251.05</v>
      </c>
      <c r="M979" s="1" t="n">
        <v>1935.17</v>
      </c>
      <c r="N979" s="1" t="s">
        <v>41</v>
      </c>
      <c r="P979" s="1" t="n">
        <v>5</v>
      </c>
      <c r="Q979" s="1" t="s">
        <v>63</v>
      </c>
      <c r="R979" s="1" t="s">
        <v>102</v>
      </c>
      <c r="S979" s="6" t="n">
        <v>46102</v>
      </c>
    </row>
    <row r="980" customFormat="false" ht="14.25" hidden="false" customHeight="true" outlineLevel="0" collapsed="false">
      <c r="A980" s="1" t="s">
        <v>3014</v>
      </c>
      <c r="B980" s="1" t="s">
        <v>238</v>
      </c>
      <c r="C980" s="1" t="s">
        <v>136</v>
      </c>
      <c r="D980" s="1" t="s">
        <v>145</v>
      </c>
      <c r="E980" s="6" t="n">
        <v>46234</v>
      </c>
      <c r="F980" s="6" t="n">
        <v>46233</v>
      </c>
      <c r="G980" s="1" t="s">
        <v>38</v>
      </c>
      <c r="H980" s="1" t="s">
        <v>3015</v>
      </c>
      <c r="I980" s="1" t="s">
        <v>3016</v>
      </c>
      <c r="J980" s="1" t="n">
        <v>19078.61</v>
      </c>
      <c r="K980" s="1" t="n">
        <v>12640.76</v>
      </c>
      <c r="L980" s="1" t="n">
        <v>0</v>
      </c>
      <c r="M980" s="1" t="n">
        <v>12640.76</v>
      </c>
      <c r="N980" s="1" t="s">
        <v>52</v>
      </c>
      <c r="O980" s="1" t="s">
        <v>62</v>
      </c>
      <c r="P980" s="1" t="n">
        <v>1</v>
      </c>
      <c r="Q980" s="1" t="s">
        <v>42</v>
      </c>
      <c r="R980" s="1" t="s">
        <v>102</v>
      </c>
    </row>
    <row r="981" customFormat="false" ht="14.25" hidden="false" customHeight="true" outlineLevel="0" collapsed="false">
      <c r="A981" s="1" t="s">
        <v>3017</v>
      </c>
      <c r="B981" s="1" t="s">
        <v>1140</v>
      </c>
      <c r="C981" s="1" t="s">
        <v>182</v>
      </c>
      <c r="D981" s="1" t="s">
        <v>595</v>
      </c>
      <c r="E981" s="6" t="n">
        <v>46224</v>
      </c>
      <c r="F981" s="6" t="n">
        <v>46224</v>
      </c>
      <c r="G981" s="1" t="s">
        <v>108</v>
      </c>
      <c r="H981" s="1" t="s">
        <v>3018</v>
      </c>
      <c r="I981" s="1" t="s">
        <v>3019</v>
      </c>
      <c r="J981" s="1" t="n">
        <v>39041.38</v>
      </c>
      <c r="K981" s="1" t="n">
        <v>36540.06</v>
      </c>
      <c r="L981" s="1" t="n">
        <v>0</v>
      </c>
      <c r="M981" s="1" t="n">
        <v>36540.06</v>
      </c>
      <c r="N981" s="1" t="s">
        <v>52</v>
      </c>
      <c r="O981" s="1" t="s">
        <v>265</v>
      </c>
      <c r="P981" s="1" t="n">
        <v>3</v>
      </c>
      <c r="Q981" s="1" t="s">
        <v>63</v>
      </c>
      <c r="R981" s="1" t="s">
        <v>125</v>
      </c>
    </row>
    <row r="982" customFormat="false" ht="14.25" hidden="false" customHeight="true" outlineLevel="0" collapsed="false">
      <c r="A982" s="1" t="s">
        <v>3020</v>
      </c>
      <c r="B982" s="1" t="s">
        <v>858</v>
      </c>
      <c r="C982" s="1" t="s">
        <v>468</v>
      </c>
      <c r="D982" s="1" t="s">
        <v>69</v>
      </c>
      <c r="E982" s="6" t="n">
        <v>46158</v>
      </c>
      <c r="F982" s="6" t="n">
        <v>46158</v>
      </c>
      <c r="G982" s="1" t="s">
        <v>49</v>
      </c>
      <c r="H982" s="1" t="s">
        <v>506</v>
      </c>
      <c r="I982" s="1" t="s">
        <v>3021</v>
      </c>
      <c r="J982" s="1" t="n">
        <v>45804.13</v>
      </c>
      <c r="K982" s="1" t="n">
        <v>39920.67</v>
      </c>
      <c r="L982" s="1" t="n">
        <v>0</v>
      </c>
      <c r="M982" s="1" t="n">
        <v>39920.67</v>
      </c>
      <c r="N982" s="1" t="s">
        <v>52</v>
      </c>
      <c r="O982" s="1" t="s">
        <v>230</v>
      </c>
      <c r="P982" s="1" t="n">
        <v>5</v>
      </c>
      <c r="Q982" s="1" t="s">
        <v>155</v>
      </c>
      <c r="R982" s="1" t="s">
        <v>43</v>
      </c>
    </row>
    <row r="983" customFormat="false" ht="14.25" hidden="false" customHeight="true" outlineLevel="0" collapsed="false">
      <c r="A983" s="1" t="s">
        <v>3022</v>
      </c>
      <c r="B983" s="1" t="s">
        <v>366</v>
      </c>
      <c r="C983" s="1" t="s">
        <v>221</v>
      </c>
      <c r="D983" s="1" t="s">
        <v>250</v>
      </c>
      <c r="E983" s="6" t="n">
        <v>46207</v>
      </c>
      <c r="F983" s="6" t="n">
        <v>46206</v>
      </c>
      <c r="G983" s="1" t="s">
        <v>70</v>
      </c>
      <c r="H983" s="1" t="s">
        <v>2479</v>
      </c>
      <c r="I983" s="1" t="s">
        <v>768</v>
      </c>
      <c r="J983" s="1" t="n">
        <v>3676.21</v>
      </c>
      <c r="K983" s="1" t="n">
        <v>2684.88</v>
      </c>
      <c r="L983" s="1" t="n">
        <v>2117.61</v>
      </c>
      <c r="M983" s="1" t="n">
        <v>567.27</v>
      </c>
      <c r="N983" s="1" t="s">
        <v>41</v>
      </c>
      <c r="P983" s="1" t="n">
        <v>2</v>
      </c>
      <c r="Q983" s="1" t="s">
        <v>42</v>
      </c>
      <c r="R983" s="1" t="s">
        <v>64</v>
      </c>
      <c r="S983" s="6" t="n">
        <v>46209</v>
      </c>
    </row>
    <row r="984" customFormat="false" ht="14.25" hidden="false" customHeight="true" outlineLevel="0" collapsed="false">
      <c r="A984" s="1" t="s">
        <v>3023</v>
      </c>
      <c r="B984" s="1" t="s">
        <v>685</v>
      </c>
      <c r="C984" s="1" t="s">
        <v>136</v>
      </c>
      <c r="D984" s="1" t="s">
        <v>1029</v>
      </c>
      <c r="E984" s="6" t="n">
        <v>46193</v>
      </c>
      <c r="F984" s="6" t="n">
        <v>46188</v>
      </c>
      <c r="G984" s="1" t="s">
        <v>38</v>
      </c>
      <c r="H984" s="1" t="s">
        <v>1540</v>
      </c>
      <c r="I984" s="1" t="s">
        <v>3024</v>
      </c>
      <c r="J984" s="1" t="n">
        <v>15721.08</v>
      </c>
      <c r="K984" s="1" t="n">
        <v>11622.22</v>
      </c>
      <c r="L984" s="1" t="n">
        <v>0</v>
      </c>
      <c r="M984" s="1" t="n">
        <v>11622.22</v>
      </c>
      <c r="N984" s="1" t="s">
        <v>111</v>
      </c>
      <c r="P984" s="1" t="n">
        <v>4</v>
      </c>
      <c r="Q984" s="1" t="s">
        <v>63</v>
      </c>
      <c r="R984" s="1" t="s">
        <v>140</v>
      </c>
    </row>
    <row r="985" customFormat="false" ht="14.25" hidden="false" customHeight="true" outlineLevel="0" collapsed="false">
      <c r="A985" s="1" t="s">
        <v>3025</v>
      </c>
      <c r="B985" s="1" t="s">
        <v>606</v>
      </c>
      <c r="C985" s="1" t="s">
        <v>376</v>
      </c>
      <c r="D985" s="1" t="s">
        <v>320</v>
      </c>
      <c r="E985" s="6" t="n">
        <v>46051</v>
      </c>
      <c r="F985" s="6" t="n">
        <v>46049</v>
      </c>
      <c r="G985" s="1" t="s">
        <v>49</v>
      </c>
      <c r="H985" s="1" t="s">
        <v>2389</v>
      </c>
      <c r="I985" s="1" t="s">
        <v>2050</v>
      </c>
      <c r="J985" s="1" t="n">
        <v>12966.57</v>
      </c>
      <c r="K985" s="1" t="n">
        <v>10225.3</v>
      </c>
      <c r="L985" s="1" t="n">
        <v>0</v>
      </c>
      <c r="M985" s="1" t="n">
        <v>10225.3</v>
      </c>
      <c r="N985" s="1" t="s">
        <v>260</v>
      </c>
      <c r="P985" s="1" t="n">
        <v>1</v>
      </c>
      <c r="Q985" s="1" t="s">
        <v>63</v>
      </c>
      <c r="R985" s="1" t="s">
        <v>125</v>
      </c>
    </row>
    <row r="986" customFormat="false" ht="14.25" hidden="false" customHeight="true" outlineLevel="0" collapsed="false">
      <c r="A986" s="1" t="s">
        <v>3026</v>
      </c>
      <c r="B986" s="1" t="s">
        <v>932</v>
      </c>
      <c r="C986" s="1" t="s">
        <v>36</v>
      </c>
      <c r="D986" s="1" t="s">
        <v>227</v>
      </c>
      <c r="E986" s="6" t="n">
        <v>46097</v>
      </c>
      <c r="F986" s="6" t="n">
        <v>46097</v>
      </c>
      <c r="G986" s="1" t="s">
        <v>108</v>
      </c>
      <c r="H986" s="1" t="s">
        <v>2553</v>
      </c>
      <c r="I986" s="1" t="s">
        <v>3027</v>
      </c>
      <c r="J986" s="1" t="n">
        <v>39538.62</v>
      </c>
      <c r="K986" s="1" t="n">
        <v>34253.78</v>
      </c>
      <c r="L986" s="1" t="n">
        <v>28850.65</v>
      </c>
      <c r="M986" s="1" t="n">
        <v>5403.13</v>
      </c>
      <c r="N986" s="1" t="s">
        <v>41</v>
      </c>
      <c r="P986" s="1" t="n">
        <v>3</v>
      </c>
      <c r="Q986" s="1" t="s">
        <v>63</v>
      </c>
      <c r="R986" s="1" t="s">
        <v>43</v>
      </c>
      <c r="S986" s="6" t="n">
        <v>46100</v>
      </c>
    </row>
    <row r="987" customFormat="false" ht="14.25" hidden="false" customHeight="true" outlineLevel="0" collapsed="false">
      <c r="A987" s="1" t="s">
        <v>3028</v>
      </c>
      <c r="B987" s="1" t="s">
        <v>272</v>
      </c>
      <c r="C987" s="1" t="s">
        <v>58</v>
      </c>
      <c r="D987" s="1" t="s">
        <v>855</v>
      </c>
      <c r="E987" s="6" t="n">
        <v>46104</v>
      </c>
      <c r="F987" s="6" t="n">
        <v>46101</v>
      </c>
      <c r="G987" s="1" t="s">
        <v>38</v>
      </c>
      <c r="H987" s="1" t="s">
        <v>1148</v>
      </c>
      <c r="I987" s="1" t="s">
        <v>3029</v>
      </c>
      <c r="J987" s="1" t="n">
        <v>43222.67</v>
      </c>
      <c r="K987" s="1" t="n">
        <v>34746.45</v>
      </c>
      <c r="L987" s="1" t="n">
        <v>0</v>
      </c>
      <c r="M987" s="1" t="n">
        <v>34746.45</v>
      </c>
      <c r="N987" s="1" t="s">
        <v>52</v>
      </c>
      <c r="O987" s="1" t="s">
        <v>265</v>
      </c>
      <c r="P987" s="1" t="n">
        <v>1</v>
      </c>
      <c r="Q987" s="1" t="s">
        <v>63</v>
      </c>
      <c r="R987" s="1" t="s">
        <v>74</v>
      </c>
    </row>
    <row r="988" customFormat="false" ht="14.25" hidden="false" customHeight="true" outlineLevel="0" collapsed="false">
      <c r="A988" s="1" t="s">
        <v>3030</v>
      </c>
      <c r="B988" s="1" t="s">
        <v>2164</v>
      </c>
      <c r="C988" s="1" t="s">
        <v>376</v>
      </c>
      <c r="D988" s="1" t="s">
        <v>722</v>
      </c>
      <c r="E988" s="6" t="n">
        <v>46060</v>
      </c>
      <c r="F988" s="6" t="n">
        <v>46057</v>
      </c>
      <c r="G988" s="1" t="s">
        <v>108</v>
      </c>
      <c r="H988" s="1" t="s">
        <v>1806</v>
      </c>
      <c r="I988" s="1" t="s">
        <v>3031</v>
      </c>
      <c r="J988" s="1" t="n">
        <v>35010.93</v>
      </c>
      <c r="K988" s="1" t="n">
        <v>29832.93</v>
      </c>
      <c r="L988" s="1" t="n">
        <v>0</v>
      </c>
      <c r="M988" s="1" t="n">
        <v>29832.93</v>
      </c>
      <c r="N988" s="1" t="s">
        <v>111</v>
      </c>
      <c r="P988" s="1" t="n">
        <v>9</v>
      </c>
      <c r="Q988" s="1" t="s">
        <v>155</v>
      </c>
      <c r="R988" s="1" t="s">
        <v>140</v>
      </c>
    </row>
    <row r="989" customFormat="false" ht="14.25" hidden="false" customHeight="true" outlineLevel="0" collapsed="false">
      <c r="A989" s="1" t="s">
        <v>3032</v>
      </c>
      <c r="B989" s="1" t="s">
        <v>1699</v>
      </c>
      <c r="C989" s="1" t="s">
        <v>47</v>
      </c>
      <c r="D989" s="1" t="s">
        <v>177</v>
      </c>
      <c r="E989" s="6" t="n">
        <v>46079</v>
      </c>
      <c r="F989" s="6" t="n">
        <v>46078</v>
      </c>
      <c r="G989" s="1" t="s">
        <v>49</v>
      </c>
      <c r="H989" s="1" t="s">
        <v>3033</v>
      </c>
      <c r="I989" s="1" t="s">
        <v>3034</v>
      </c>
      <c r="J989" s="1" t="n">
        <v>41284.91</v>
      </c>
      <c r="K989" s="1" t="n">
        <v>29242.05</v>
      </c>
      <c r="L989" s="1" t="n">
        <v>0</v>
      </c>
      <c r="M989" s="1" t="n">
        <v>29242.05</v>
      </c>
      <c r="N989" s="1" t="s">
        <v>260</v>
      </c>
      <c r="P989" s="1" t="n">
        <v>5</v>
      </c>
      <c r="Q989" s="1" t="s">
        <v>155</v>
      </c>
      <c r="R989" s="1" t="s">
        <v>125</v>
      </c>
    </row>
    <row r="990" customFormat="false" ht="14.25" hidden="false" customHeight="true" outlineLevel="0" collapsed="false">
      <c r="A990" s="1" t="s">
        <v>3035</v>
      </c>
      <c r="B990" s="1" t="s">
        <v>774</v>
      </c>
      <c r="C990" s="1" t="s">
        <v>182</v>
      </c>
      <c r="D990" s="1" t="s">
        <v>86</v>
      </c>
      <c r="E990" s="6" t="n">
        <v>46049</v>
      </c>
      <c r="F990" s="6" t="n">
        <v>46049</v>
      </c>
      <c r="G990" s="1" t="s">
        <v>38</v>
      </c>
      <c r="H990" s="1" t="s">
        <v>1976</v>
      </c>
      <c r="I990" s="1" t="s">
        <v>3036</v>
      </c>
      <c r="J990" s="1" t="n">
        <v>30192.83</v>
      </c>
      <c r="K990" s="1" t="n">
        <v>24391.68</v>
      </c>
      <c r="L990" s="1" t="n">
        <v>22691.9</v>
      </c>
      <c r="M990" s="1" t="n">
        <v>1699.78</v>
      </c>
      <c r="N990" s="1" t="s">
        <v>41</v>
      </c>
      <c r="P990" s="1" t="n">
        <v>2</v>
      </c>
      <c r="Q990" s="1" t="s">
        <v>42</v>
      </c>
      <c r="R990" s="1" t="s">
        <v>74</v>
      </c>
      <c r="S990" s="6" t="n">
        <v>46051</v>
      </c>
    </row>
    <row r="991" customFormat="false" ht="14.25" hidden="false" customHeight="true" outlineLevel="0" collapsed="false">
      <c r="A991" s="1" t="s">
        <v>3037</v>
      </c>
      <c r="B991" s="1" t="s">
        <v>569</v>
      </c>
      <c r="C991" s="1" t="s">
        <v>623</v>
      </c>
      <c r="D991" s="1" t="s">
        <v>876</v>
      </c>
      <c r="E991" s="6" t="n">
        <v>46076</v>
      </c>
      <c r="F991" s="6" t="n">
        <v>46073</v>
      </c>
      <c r="G991" s="1" t="s">
        <v>108</v>
      </c>
      <c r="H991" s="1" t="s">
        <v>2694</v>
      </c>
      <c r="I991" s="1" t="s">
        <v>3038</v>
      </c>
      <c r="J991" s="1" t="n">
        <v>20547.23</v>
      </c>
      <c r="K991" s="1" t="n">
        <v>15346.85</v>
      </c>
      <c r="L991" s="1" t="n">
        <v>12376.15</v>
      </c>
      <c r="M991" s="1" t="n">
        <v>2970.7</v>
      </c>
      <c r="N991" s="1" t="s">
        <v>41</v>
      </c>
      <c r="P991" s="1" t="n">
        <v>7</v>
      </c>
      <c r="Q991" s="1" t="s">
        <v>63</v>
      </c>
      <c r="R991" s="1" t="s">
        <v>125</v>
      </c>
      <c r="S991" s="6" t="n">
        <v>46083</v>
      </c>
    </row>
    <row r="992" customFormat="false" ht="14.25" hidden="false" customHeight="true" outlineLevel="0" collapsed="false">
      <c r="A992" s="1" t="s">
        <v>3039</v>
      </c>
      <c r="B992" s="1" t="s">
        <v>1479</v>
      </c>
      <c r="C992" s="1" t="s">
        <v>68</v>
      </c>
      <c r="D992" s="1" t="s">
        <v>145</v>
      </c>
      <c r="E992" s="6" t="n">
        <v>46109</v>
      </c>
      <c r="F992" s="6" t="n">
        <v>46106</v>
      </c>
      <c r="G992" s="1" t="s">
        <v>108</v>
      </c>
      <c r="H992" s="1" t="s">
        <v>973</v>
      </c>
      <c r="I992" s="1" t="s">
        <v>3040</v>
      </c>
      <c r="J992" s="1" t="n">
        <v>48056.63</v>
      </c>
      <c r="K992" s="1" t="n">
        <v>43612.04</v>
      </c>
      <c r="L992" s="1" t="n">
        <v>41201.53</v>
      </c>
      <c r="M992" s="1" t="n">
        <v>2410.51</v>
      </c>
      <c r="N992" s="1" t="s">
        <v>41</v>
      </c>
      <c r="P992" s="1" t="n">
        <v>1</v>
      </c>
      <c r="Q992" s="1" t="s">
        <v>42</v>
      </c>
      <c r="R992" s="1" t="s">
        <v>54</v>
      </c>
      <c r="S992" s="6" t="n">
        <v>46110</v>
      </c>
    </row>
    <row r="993" customFormat="false" ht="14.25" hidden="false" customHeight="true" outlineLevel="0" collapsed="false">
      <c r="A993" s="1" t="s">
        <v>3041</v>
      </c>
      <c r="B993" s="1" t="s">
        <v>417</v>
      </c>
      <c r="C993" s="1" t="s">
        <v>215</v>
      </c>
      <c r="D993" s="1" t="s">
        <v>69</v>
      </c>
      <c r="E993" s="6" t="n">
        <v>46111</v>
      </c>
      <c r="F993" s="6" t="n">
        <v>46108</v>
      </c>
      <c r="G993" s="1" t="s">
        <v>49</v>
      </c>
      <c r="H993" s="1" t="s">
        <v>2265</v>
      </c>
      <c r="I993" s="1" t="s">
        <v>3042</v>
      </c>
      <c r="J993" s="1" t="n">
        <v>6831.4</v>
      </c>
      <c r="K993" s="1" t="n">
        <v>5664.32</v>
      </c>
      <c r="L993" s="1" t="n">
        <v>5557.16</v>
      </c>
      <c r="M993" s="1" t="n">
        <v>107.16</v>
      </c>
      <c r="N993" s="1" t="s">
        <v>41</v>
      </c>
      <c r="P993" s="1" t="n">
        <v>4</v>
      </c>
      <c r="Q993" s="1" t="s">
        <v>42</v>
      </c>
      <c r="R993" s="1" t="s">
        <v>54</v>
      </c>
      <c r="S993" s="6" t="n">
        <v>46115</v>
      </c>
    </row>
    <row r="994" customFormat="false" ht="14.25" hidden="false" customHeight="true" outlineLevel="0" collapsed="false">
      <c r="A994" s="1" t="s">
        <v>3043</v>
      </c>
      <c r="B994" s="1" t="s">
        <v>493</v>
      </c>
      <c r="C994" s="1" t="s">
        <v>158</v>
      </c>
      <c r="D994" s="1" t="s">
        <v>937</v>
      </c>
      <c r="E994" s="6" t="n">
        <v>46211</v>
      </c>
      <c r="F994" s="6" t="n">
        <v>46208</v>
      </c>
      <c r="G994" s="1" t="s">
        <v>108</v>
      </c>
      <c r="H994" s="1" t="s">
        <v>1469</v>
      </c>
      <c r="I994" s="1" t="s">
        <v>3044</v>
      </c>
      <c r="J994" s="1" t="n">
        <v>44172.92</v>
      </c>
      <c r="K994" s="1" t="n">
        <v>37725.27</v>
      </c>
      <c r="L994" s="1" t="n">
        <v>0</v>
      </c>
      <c r="M994" s="1" t="n">
        <v>37725.27</v>
      </c>
      <c r="N994" s="1" t="s">
        <v>52</v>
      </c>
      <c r="O994" s="1" t="s">
        <v>230</v>
      </c>
      <c r="P994" s="1" t="n">
        <v>7</v>
      </c>
      <c r="Q994" s="1" t="s">
        <v>155</v>
      </c>
      <c r="R994" s="1" t="s">
        <v>125</v>
      </c>
    </row>
    <row r="995" customFormat="false" ht="14.25" hidden="false" customHeight="true" outlineLevel="0" collapsed="false">
      <c r="A995" s="1" t="s">
        <v>3045</v>
      </c>
      <c r="B995" s="1" t="s">
        <v>1073</v>
      </c>
      <c r="C995" s="1" t="s">
        <v>233</v>
      </c>
      <c r="D995" s="1" t="s">
        <v>1929</v>
      </c>
      <c r="E995" s="6" t="n">
        <v>46162</v>
      </c>
      <c r="F995" s="6" t="n">
        <v>46157</v>
      </c>
      <c r="G995" s="1" t="s">
        <v>70</v>
      </c>
      <c r="H995" s="1" t="s">
        <v>3046</v>
      </c>
      <c r="I995" s="1" t="s">
        <v>3047</v>
      </c>
      <c r="J995" s="1" t="n">
        <v>14698.39</v>
      </c>
      <c r="K995" s="1" t="n">
        <v>11931.69</v>
      </c>
      <c r="L995" s="1" t="n">
        <v>0</v>
      </c>
      <c r="M995" s="1" t="n">
        <v>11931.69</v>
      </c>
      <c r="N995" s="1" t="s">
        <v>52</v>
      </c>
      <c r="O995" s="1" t="s">
        <v>265</v>
      </c>
      <c r="P995" s="1" t="n">
        <v>4</v>
      </c>
      <c r="Q995" s="1" t="s">
        <v>42</v>
      </c>
      <c r="R995" s="1" t="s">
        <v>140</v>
      </c>
    </row>
    <row r="996" customFormat="false" ht="14.25" hidden="false" customHeight="true" outlineLevel="0" collapsed="false">
      <c r="A996" s="1" t="s">
        <v>3048</v>
      </c>
      <c r="B996" s="1" t="s">
        <v>355</v>
      </c>
      <c r="C996" s="1" t="s">
        <v>198</v>
      </c>
      <c r="D996" s="1" t="s">
        <v>757</v>
      </c>
      <c r="E996" s="6" t="n">
        <v>46219</v>
      </c>
      <c r="F996" s="6" t="n">
        <v>46216</v>
      </c>
      <c r="G996" s="1" t="s">
        <v>70</v>
      </c>
      <c r="H996" s="1" t="s">
        <v>918</v>
      </c>
      <c r="I996" s="1" t="s">
        <v>3049</v>
      </c>
      <c r="J996" s="1" t="n">
        <v>40839.85</v>
      </c>
      <c r="K996" s="1" t="n">
        <v>28477.77</v>
      </c>
      <c r="L996" s="1" t="n">
        <v>22893.18</v>
      </c>
      <c r="M996" s="1" t="n">
        <v>5584.59</v>
      </c>
      <c r="N996" s="1" t="s">
        <v>41</v>
      </c>
      <c r="P996" s="1" t="n">
        <v>3</v>
      </c>
      <c r="Q996" s="1" t="s">
        <v>63</v>
      </c>
      <c r="R996" s="1" t="s">
        <v>54</v>
      </c>
      <c r="S996" s="6" t="n">
        <v>46222</v>
      </c>
    </row>
    <row r="997" customFormat="false" ht="14.25" hidden="false" customHeight="true" outlineLevel="0" collapsed="false">
      <c r="A997" s="1" t="s">
        <v>3050</v>
      </c>
      <c r="B997" s="1" t="s">
        <v>480</v>
      </c>
      <c r="C997" s="1" t="s">
        <v>325</v>
      </c>
      <c r="D997" s="1" t="s">
        <v>740</v>
      </c>
      <c r="E997" s="6" t="n">
        <v>46048</v>
      </c>
      <c r="F997" s="6" t="n">
        <v>46046</v>
      </c>
      <c r="G997" s="1" t="s">
        <v>108</v>
      </c>
      <c r="H997" s="1" t="s">
        <v>1393</v>
      </c>
      <c r="I997" s="1" t="s">
        <v>3051</v>
      </c>
      <c r="J997" s="1" t="n">
        <v>34923.15</v>
      </c>
      <c r="K997" s="1" t="n">
        <v>31681.69</v>
      </c>
      <c r="L997" s="1" t="n">
        <v>0</v>
      </c>
      <c r="M997" s="1" t="n">
        <v>31681.69</v>
      </c>
      <c r="N997" s="1" t="s">
        <v>52</v>
      </c>
      <c r="O997" s="1" t="s">
        <v>265</v>
      </c>
      <c r="P997" s="1" t="n">
        <v>5</v>
      </c>
      <c r="Q997" s="1" t="s">
        <v>42</v>
      </c>
      <c r="R997" s="1" t="s">
        <v>54</v>
      </c>
    </row>
    <row r="998" customFormat="false" ht="14.25" hidden="false" customHeight="true" outlineLevel="0" collapsed="false">
      <c r="A998" s="1" t="s">
        <v>3052</v>
      </c>
      <c r="B998" s="1" t="s">
        <v>1525</v>
      </c>
      <c r="C998" s="1" t="s">
        <v>221</v>
      </c>
      <c r="D998" s="1" t="s">
        <v>189</v>
      </c>
      <c r="E998" s="6" t="n">
        <v>46224</v>
      </c>
      <c r="F998" s="6" t="n">
        <v>46222</v>
      </c>
      <c r="G998" s="1" t="s">
        <v>108</v>
      </c>
      <c r="H998" s="1" t="s">
        <v>649</v>
      </c>
      <c r="I998" s="1" t="s">
        <v>3053</v>
      </c>
      <c r="J998" s="1" t="n">
        <v>46811.82</v>
      </c>
      <c r="K998" s="1" t="n">
        <v>36447.72</v>
      </c>
      <c r="L998" s="1" t="n">
        <v>36140.54</v>
      </c>
      <c r="M998" s="1" t="n">
        <v>307.18</v>
      </c>
      <c r="N998" s="1" t="s">
        <v>41</v>
      </c>
      <c r="P998" s="1" t="n">
        <v>1</v>
      </c>
      <c r="Q998" s="1" t="s">
        <v>63</v>
      </c>
      <c r="R998" s="1" t="s">
        <v>125</v>
      </c>
      <c r="S998" s="6" t="n">
        <v>46225</v>
      </c>
    </row>
    <row r="999" customFormat="false" ht="14.25" hidden="false" customHeight="true" outlineLevel="0" collapsed="false">
      <c r="A999" s="1" t="s">
        <v>3054</v>
      </c>
      <c r="B999" s="1" t="s">
        <v>606</v>
      </c>
      <c r="C999" s="1" t="s">
        <v>106</v>
      </c>
      <c r="D999" s="1" t="s">
        <v>86</v>
      </c>
      <c r="E999" s="6" t="n">
        <v>46027</v>
      </c>
      <c r="F999" s="6" t="n">
        <v>46027</v>
      </c>
      <c r="G999" s="1" t="s">
        <v>108</v>
      </c>
      <c r="H999" s="1" t="s">
        <v>1529</v>
      </c>
      <c r="I999" s="1" t="s">
        <v>3055</v>
      </c>
      <c r="J999" s="1" t="n">
        <v>43804.04</v>
      </c>
      <c r="K999" s="1" t="n">
        <v>29200.48</v>
      </c>
      <c r="L999" s="1" t="n">
        <v>0</v>
      </c>
      <c r="M999" s="1" t="n">
        <v>29200.48</v>
      </c>
      <c r="N999" s="1" t="s">
        <v>52</v>
      </c>
      <c r="O999" s="1" t="s">
        <v>230</v>
      </c>
      <c r="P999" s="1" t="n">
        <v>4</v>
      </c>
      <c r="Q999" s="1" t="s">
        <v>63</v>
      </c>
      <c r="R999" s="1" t="s">
        <v>140</v>
      </c>
    </row>
    <row r="1000" customFormat="false" ht="14.25" hidden="false" customHeight="true" outlineLevel="0" collapsed="false">
      <c r="A1000" s="1" t="s">
        <v>3056</v>
      </c>
      <c r="B1000" s="1" t="s">
        <v>3057</v>
      </c>
      <c r="C1000" s="1" t="s">
        <v>215</v>
      </c>
      <c r="D1000" s="1" t="s">
        <v>291</v>
      </c>
      <c r="E1000" s="6" t="n">
        <v>46201</v>
      </c>
      <c r="F1000" s="6" t="n">
        <v>46198</v>
      </c>
      <c r="G1000" s="1" t="s">
        <v>108</v>
      </c>
      <c r="H1000" s="1" t="s">
        <v>1529</v>
      </c>
      <c r="I1000" s="1" t="s">
        <v>3058</v>
      </c>
      <c r="J1000" s="1" t="n">
        <v>47045.31</v>
      </c>
      <c r="K1000" s="1" t="n">
        <v>33583.58</v>
      </c>
      <c r="L1000" s="1" t="n">
        <v>33187.18</v>
      </c>
      <c r="M1000" s="1" t="n">
        <v>396.4</v>
      </c>
      <c r="N1000" s="1" t="s">
        <v>41</v>
      </c>
      <c r="P1000" s="1" t="n">
        <v>4</v>
      </c>
      <c r="Q1000" s="1" t="s">
        <v>42</v>
      </c>
      <c r="R1000" s="1" t="s">
        <v>64</v>
      </c>
      <c r="S1000" s="6" t="n">
        <v>46205</v>
      </c>
    </row>
    <row r="1001" customFormat="false" ht="14.25" hidden="false" customHeight="true" outlineLevel="0" collapsed="false">
      <c r="A1001" s="1" t="s">
        <v>3059</v>
      </c>
      <c r="B1001" s="1" t="s">
        <v>533</v>
      </c>
      <c r="C1001" s="1" t="s">
        <v>233</v>
      </c>
      <c r="D1001" s="1" t="s">
        <v>396</v>
      </c>
      <c r="E1001" s="6" t="n">
        <v>46072</v>
      </c>
      <c r="F1001" s="6" t="n">
        <v>46069</v>
      </c>
      <c r="G1001" s="1" t="s">
        <v>70</v>
      </c>
      <c r="H1001" s="1" t="s">
        <v>3060</v>
      </c>
      <c r="I1001" s="1" t="s">
        <v>3061</v>
      </c>
      <c r="J1001" s="1" t="n">
        <v>24526.61</v>
      </c>
      <c r="K1001" s="1" t="n">
        <v>22177.68</v>
      </c>
      <c r="L1001" s="1" t="n">
        <v>18986.72</v>
      </c>
      <c r="M1001" s="1" t="n">
        <v>3190.96</v>
      </c>
      <c r="N1001" s="1" t="s">
        <v>41</v>
      </c>
      <c r="P1001" s="1" t="n">
        <v>3</v>
      </c>
      <c r="Q1001" s="1" t="s">
        <v>155</v>
      </c>
      <c r="R1001" s="1" t="s">
        <v>140</v>
      </c>
      <c r="S1001" s="6" t="n">
        <v>46075</v>
      </c>
    </row>
    <row r="1002" customFormat="false" ht="14.25" hidden="false" customHeight="true" outlineLevel="0" collapsed="false">
      <c r="A1002" s="1" t="s">
        <v>3062</v>
      </c>
      <c r="B1002" s="1" t="s">
        <v>1574</v>
      </c>
      <c r="C1002" s="1" t="s">
        <v>129</v>
      </c>
      <c r="D1002" s="1" t="s">
        <v>377</v>
      </c>
      <c r="E1002" s="6" t="n">
        <v>46104</v>
      </c>
      <c r="F1002" s="6" t="n">
        <v>46100</v>
      </c>
      <c r="G1002" s="1" t="s">
        <v>38</v>
      </c>
      <c r="H1002" s="1" t="s">
        <v>3063</v>
      </c>
      <c r="I1002" s="1" t="s">
        <v>3064</v>
      </c>
      <c r="J1002" s="1" t="n">
        <v>26626.59</v>
      </c>
      <c r="K1002" s="1" t="n">
        <v>20881.34</v>
      </c>
      <c r="L1002" s="1" t="n">
        <v>16674.11</v>
      </c>
      <c r="M1002" s="1" t="n">
        <v>4207.23</v>
      </c>
      <c r="N1002" s="1" t="s">
        <v>41</v>
      </c>
      <c r="P1002" s="1" t="n">
        <v>5</v>
      </c>
      <c r="Q1002" s="1" t="s">
        <v>155</v>
      </c>
      <c r="R1002" s="1" t="s">
        <v>140</v>
      </c>
      <c r="S1002" s="6" t="n">
        <v>46109</v>
      </c>
    </row>
    <row r="1003" customFormat="false" ht="14.25" hidden="false" customHeight="true" outlineLevel="0" collapsed="false">
      <c r="A1003" s="1" t="s">
        <v>3065</v>
      </c>
      <c r="B1003" s="1" t="s">
        <v>143</v>
      </c>
      <c r="C1003" s="1" t="s">
        <v>221</v>
      </c>
      <c r="D1003" s="1" t="s">
        <v>183</v>
      </c>
      <c r="E1003" s="6" t="n">
        <v>46190</v>
      </c>
      <c r="F1003" s="6" t="n">
        <v>46188</v>
      </c>
      <c r="G1003" s="1" t="s">
        <v>108</v>
      </c>
      <c r="H1003" s="1" t="s">
        <v>3066</v>
      </c>
      <c r="I1003" s="1" t="s">
        <v>3067</v>
      </c>
      <c r="J1003" s="1" t="n">
        <v>6644.79</v>
      </c>
      <c r="K1003" s="1" t="n">
        <v>4523.39</v>
      </c>
      <c r="L1003" s="1" t="n">
        <v>0</v>
      </c>
      <c r="M1003" s="1" t="n">
        <v>4523.39</v>
      </c>
      <c r="N1003" s="1" t="s">
        <v>111</v>
      </c>
      <c r="P1003" s="1" t="n">
        <v>9</v>
      </c>
      <c r="Q1003" s="1" t="s">
        <v>42</v>
      </c>
      <c r="R1003" s="1" t="s">
        <v>102</v>
      </c>
    </row>
    <row r="1004" customFormat="false" ht="14.25" hidden="false" customHeight="true" outlineLevel="0" collapsed="false">
      <c r="A1004" s="1" t="s">
        <v>3068</v>
      </c>
      <c r="B1004" s="1" t="s">
        <v>2627</v>
      </c>
      <c r="C1004" s="1" t="s">
        <v>47</v>
      </c>
      <c r="D1004" s="1" t="s">
        <v>757</v>
      </c>
      <c r="E1004" s="6" t="n">
        <v>46171</v>
      </c>
      <c r="F1004" s="6" t="n">
        <v>46167</v>
      </c>
      <c r="G1004" s="1" t="s">
        <v>70</v>
      </c>
      <c r="H1004" s="1" t="s">
        <v>292</v>
      </c>
      <c r="I1004" s="1" t="s">
        <v>3069</v>
      </c>
      <c r="J1004" s="1" t="n">
        <v>40262.68</v>
      </c>
      <c r="K1004" s="1" t="n">
        <v>29622.43</v>
      </c>
      <c r="L1004" s="1" t="n">
        <v>0</v>
      </c>
      <c r="M1004" s="1" t="n">
        <v>29622.43</v>
      </c>
      <c r="N1004" s="1" t="s">
        <v>111</v>
      </c>
      <c r="P1004" s="1" t="n">
        <v>6</v>
      </c>
      <c r="Q1004" s="1" t="s">
        <v>63</v>
      </c>
      <c r="R1004" s="1" t="s">
        <v>125</v>
      </c>
    </row>
    <row r="1005" customFormat="false" ht="14.25" hidden="false" customHeight="true" outlineLevel="0" collapsed="false">
      <c r="A1005" s="1" t="s">
        <v>3070</v>
      </c>
      <c r="B1005" s="1" t="s">
        <v>1021</v>
      </c>
      <c r="C1005" s="1" t="s">
        <v>468</v>
      </c>
      <c r="D1005" s="1" t="s">
        <v>239</v>
      </c>
      <c r="E1005" s="6" t="n">
        <v>46181</v>
      </c>
      <c r="F1005" s="6" t="n">
        <v>46176</v>
      </c>
      <c r="G1005" s="1" t="s">
        <v>49</v>
      </c>
      <c r="H1005" s="1" t="s">
        <v>3071</v>
      </c>
      <c r="I1005" s="1" t="s">
        <v>3072</v>
      </c>
      <c r="J1005" s="1" t="n">
        <v>47158.25</v>
      </c>
      <c r="K1005" s="1" t="n">
        <v>36605.24</v>
      </c>
      <c r="L1005" s="1" t="n">
        <v>33168.78</v>
      </c>
      <c r="M1005" s="1" t="n">
        <v>3436.46</v>
      </c>
      <c r="N1005" s="1" t="s">
        <v>41</v>
      </c>
      <c r="P1005" s="1" t="n">
        <v>7</v>
      </c>
      <c r="Q1005" s="1" t="s">
        <v>63</v>
      </c>
      <c r="R1005" s="1" t="s">
        <v>140</v>
      </c>
      <c r="S1005" s="6" t="n">
        <v>46188</v>
      </c>
    </row>
    <row r="1006" customFormat="false" ht="14.25" hidden="false" customHeight="true" outlineLevel="0" collapsed="false">
      <c r="A1006" s="1" t="s">
        <v>3073</v>
      </c>
      <c r="B1006" s="1" t="s">
        <v>932</v>
      </c>
      <c r="C1006" s="1" t="s">
        <v>346</v>
      </c>
      <c r="D1006" s="1" t="s">
        <v>341</v>
      </c>
      <c r="E1006" s="6" t="n">
        <v>46162</v>
      </c>
      <c r="F1006" s="6" t="n">
        <v>46160</v>
      </c>
      <c r="G1006" s="1" t="s">
        <v>70</v>
      </c>
      <c r="H1006" s="1" t="s">
        <v>2368</v>
      </c>
      <c r="I1006" s="1" t="s">
        <v>3074</v>
      </c>
      <c r="J1006" s="1" t="n">
        <v>32020.46</v>
      </c>
      <c r="K1006" s="1" t="n">
        <v>26276.9</v>
      </c>
      <c r="L1006" s="1" t="n">
        <v>20672.9</v>
      </c>
      <c r="M1006" s="1" t="n">
        <v>5604</v>
      </c>
      <c r="N1006" s="1" t="s">
        <v>41</v>
      </c>
      <c r="P1006" s="1" t="n">
        <v>2</v>
      </c>
      <c r="Q1006" s="1" t="s">
        <v>155</v>
      </c>
      <c r="R1006" s="1" t="s">
        <v>140</v>
      </c>
      <c r="S1006" s="6" t="n">
        <v>46164</v>
      </c>
    </row>
    <row r="1007" customFormat="false" ht="14.25" hidden="false" customHeight="true" outlineLevel="0" collapsed="false">
      <c r="A1007" s="1" t="s">
        <v>3075</v>
      </c>
      <c r="B1007" s="1" t="s">
        <v>2963</v>
      </c>
      <c r="C1007" s="1" t="s">
        <v>459</v>
      </c>
      <c r="D1007" s="1" t="s">
        <v>315</v>
      </c>
      <c r="E1007" s="6" t="n">
        <v>46051</v>
      </c>
      <c r="F1007" s="6" t="n">
        <v>46050</v>
      </c>
      <c r="G1007" s="1" t="s">
        <v>108</v>
      </c>
      <c r="H1007" s="1" t="s">
        <v>3063</v>
      </c>
      <c r="I1007" s="1" t="s">
        <v>1240</v>
      </c>
      <c r="J1007" s="1" t="n">
        <v>40450.33</v>
      </c>
      <c r="K1007" s="1" t="n">
        <v>28999.18</v>
      </c>
      <c r="L1007" s="1" t="n">
        <v>0</v>
      </c>
      <c r="M1007" s="1" t="n">
        <v>28999.18</v>
      </c>
      <c r="N1007" s="1" t="s">
        <v>52</v>
      </c>
      <c r="O1007" s="1" t="s">
        <v>62</v>
      </c>
      <c r="P1007" s="1" t="n">
        <v>3</v>
      </c>
      <c r="Q1007" s="1" t="s">
        <v>42</v>
      </c>
      <c r="R1007" s="1" t="s">
        <v>43</v>
      </c>
    </row>
    <row r="1008" customFormat="false" ht="14.25" hidden="false" customHeight="true" outlineLevel="0" collapsed="false">
      <c r="A1008" s="1" t="s">
        <v>3076</v>
      </c>
      <c r="B1008" s="1" t="s">
        <v>1108</v>
      </c>
      <c r="C1008" s="1" t="s">
        <v>68</v>
      </c>
      <c r="D1008" s="1" t="s">
        <v>268</v>
      </c>
      <c r="E1008" s="6" t="n">
        <v>46065</v>
      </c>
      <c r="F1008" s="6" t="n">
        <v>46062</v>
      </c>
      <c r="G1008" s="1" t="s">
        <v>38</v>
      </c>
      <c r="H1008" s="1" t="s">
        <v>566</v>
      </c>
      <c r="I1008" s="1" t="s">
        <v>3077</v>
      </c>
      <c r="J1008" s="1" t="n">
        <v>23130.48</v>
      </c>
      <c r="K1008" s="1" t="n">
        <v>17933.32</v>
      </c>
      <c r="L1008" s="1" t="n">
        <v>0</v>
      </c>
      <c r="M1008" s="1" t="n">
        <v>17933.32</v>
      </c>
      <c r="N1008" s="1" t="s">
        <v>111</v>
      </c>
      <c r="P1008" s="1" t="n">
        <v>4</v>
      </c>
      <c r="Q1008" s="1" t="s">
        <v>42</v>
      </c>
      <c r="R1008" s="1" t="s">
        <v>64</v>
      </c>
    </row>
    <row r="1009" customFormat="false" ht="14.25" hidden="false" customHeight="true" outlineLevel="0" collapsed="false">
      <c r="A1009" s="1" t="s">
        <v>3078</v>
      </c>
      <c r="B1009" s="1" t="s">
        <v>480</v>
      </c>
      <c r="C1009" s="1" t="s">
        <v>158</v>
      </c>
      <c r="D1009" s="1" t="s">
        <v>933</v>
      </c>
      <c r="E1009" s="6" t="n">
        <v>46081</v>
      </c>
      <c r="F1009" s="6" t="n">
        <v>46079</v>
      </c>
      <c r="G1009" s="1" t="s">
        <v>108</v>
      </c>
      <c r="H1009" s="1" t="s">
        <v>2112</v>
      </c>
      <c r="I1009" s="1" t="s">
        <v>3079</v>
      </c>
      <c r="J1009" s="1" t="n">
        <v>30318.81</v>
      </c>
      <c r="K1009" s="1" t="n">
        <v>22998.05</v>
      </c>
      <c r="L1009" s="1" t="n">
        <v>0</v>
      </c>
      <c r="M1009" s="1" t="n">
        <v>22998.05</v>
      </c>
      <c r="N1009" s="1" t="s">
        <v>111</v>
      </c>
      <c r="P1009" s="1" t="n">
        <v>7</v>
      </c>
      <c r="Q1009" s="1" t="s">
        <v>155</v>
      </c>
      <c r="R1009" s="1" t="s">
        <v>102</v>
      </c>
    </row>
    <row r="1010" customFormat="false" ht="14.25" hidden="false" customHeight="true" outlineLevel="0" collapsed="false">
      <c r="A1010" s="1" t="s">
        <v>3080</v>
      </c>
      <c r="B1010" s="1" t="s">
        <v>1147</v>
      </c>
      <c r="C1010" s="1" t="s">
        <v>468</v>
      </c>
      <c r="D1010" s="1" t="s">
        <v>476</v>
      </c>
      <c r="E1010" s="6" t="n">
        <v>46132</v>
      </c>
      <c r="F1010" s="6" t="n">
        <v>46127</v>
      </c>
      <c r="G1010" s="1" t="s">
        <v>49</v>
      </c>
      <c r="H1010" s="1" t="s">
        <v>761</v>
      </c>
      <c r="I1010" s="1" t="s">
        <v>3081</v>
      </c>
      <c r="J1010" s="1" t="n">
        <v>7551.59</v>
      </c>
      <c r="K1010" s="1" t="n">
        <v>6483.36</v>
      </c>
      <c r="L1010" s="1" t="n">
        <v>5851.24</v>
      </c>
      <c r="M1010" s="1" t="n">
        <v>632.12</v>
      </c>
      <c r="N1010" s="1" t="s">
        <v>41</v>
      </c>
      <c r="P1010" s="1" t="n">
        <v>6</v>
      </c>
      <c r="Q1010" s="1" t="s">
        <v>42</v>
      </c>
      <c r="R1010" s="1" t="s">
        <v>74</v>
      </c>
      <c r="S1010" s="6" t="n">
        <v>46138</v>
      </c>
    </row>
    <row r="1011" customFormat="false" ht="14.25" hidden="false" customHeight="true" outlineLevel="0" collapsed="false">
      <c r="A1011" s="1" t="s">
        <v>3082</v>
      </c>
      <c r="B1011" s="1" t="s">
        <v>417</v>
      </c>
      <c r="C1011" s="1" t="s">
        <v>356</v>
      </c>
      <c r="D1011" s="1" t="s">
        <v>740</v>
      </c>
      <c r="E1011" s="6" t="n">
        <v>46063</v>
      </c>
      <c r="F1011" s="6" t="n">
        <v>46060</v>
      </c>
      <c r="G1011" s="1" t="s">
        <v>108</v>
      </c>
      <c r="H1011" s="1" t="s">
        <v>1393</v>
      </c>
      <c r="I1011" s="1" t="s">
        <v>3083</v>
      </c>
      <c r="J1011" s="1" t="n">
        <v>5128.12</v>
      </c>
      <c r="K1011" s="1" t="n">
        <v>4180.36</v>
      </c>
      <c r="L1011" s="1" t="n">
        <v>0</v>
      </c>
      <c r="M1011" s="1" t="n">
        <v>4180.36</v>
      </c>
      <c r="N1011" s="1" t="s">
        <v>111</v>
      </c>
      <c r="P1011" s="1" t="n">
        <v>13</v>
      </c>
      <c r="Q1011" s="1" t="s">
        <v>155</v>
      </c>
      <c r="R1011" s="1" t="s">
        <v>64</v>
      </c>
    </row>
    <row r="1012" customFormat="false" ht="14.25" hidden="false" customHeight="true" outlineLevel="0" collapsed="false">
      <c r="A1012" s="1" t="s">
        <v>3084</v>
      </c>
      <c r="B1012" s="1" t="s">
        <v>748</v>
      </c>
      <c r="C1012" s="1" t="s">
        <v>215</v>
      </c>
      <c r="D1012" s="1" t="s">
        <v>1029</v>
      </c>
      <c r="E1012" s="6" t="n">
        <v>46149</v>
      </c>
      <c r="F1012" s="6" t="n">
        <v>46146</v>
      </c>
      <c r="G1012" s="1" t="s">
        <v>108</v>
      </c>
      <c r="H1012" s="1" t="s">
        <v>3085</v>
      </c>
      <c r="I1012" s="1" t="s">
        <v>3086</v>
      </c>
      <c r="J1012" s="1" t="n">
        <v>41615.4</v>
      </c>
      <c r="K1012" s="1" t="n">
        <v>38065.03</v>
      </c>
      <c r="L1012" s="1" t="n">
        <v>35842.9</v>
      </c>
      <c r="M1012" s="1" t="n">
        <v>2222.13</v>
      </c>
      <c r="N1012" s="1" t="s">
        <v>41</v>
      </c>
      <c r="P1012" s="1" t="n">
        <v>6</v>
      </c>
      <c r="Q1012" s="1" t="s">
        <v>63</v>
      </c>
      <c r="R1012" s="1" t="s">
        <v>43</v>
      </c>
      <c r="S1012" s="6" t="n">
        <v>46155</v>
      </c>
    </row>
    <row r="1013" customFormat="false" ht="14.25" hidden="false" customHeight="true" outlineLevel="0" collapsed="false">
      <c r="A1013" s="1" t="s">
        <v>3087</v>
      </c>
      <c r="B1013" s="1" t="s">
        <v>1147</v>
      </c>
      <c r="C1013" s="1" t="s">
        <v>176</v>
      </c>
      <c r="D1013" s="1" t="s">
        <v>1929</v>
      </c>
      <c r="E1013" s="6" t="n">
        <v>46162</v>
      </c>
      <c r="F1013" s="6" t="n">
        <v>46161</v>
      </c>
      <c r="G1013" s="1" t="s">
        <v>38</v>
      </c>
      <c r="H1013" s="1" t="s">
        <v>3088</v>
      </c>
      <c r="I1013" s="1" t="s">
        <v>3089</v>
      </c>
      <c r="J1013" s="1" t="n">
        <v>39916.04</v>
      </c>
      <c r="K1013" s="1" t="n">
        <v>29666.51</v>
      </c>
      <c r="L1013" s="1" t="n">
        <v>26025.18</v>
      </c>
      <c r="M1013" s="1" t="n">
        <v>3641.33</v>
      </c>
      <c r="N1013" s="1" t="s">
        <v>41</v>
      </c>
      <c r="P1013" s="1" t="n">
        <v>1</v>
      </c>
      <c r="Q1013" s="1" t="s">
        <v>42</v>
      </c>
      <c r="R1013" s="1" t="s">
        <v>125</v>
      </c>
      <c r="S1013" s="6" t="n">
        <v>46163</v>
      </c>
    </row>
    <row r="1014" customFormat="false" ht="14.25" hidden="false" customHeight="true" outlineLevel="0" collapsed="false">
      <c r="A1014" s="1" t="s">
        <v>3090</v>
      </c>
      <c r="B1014" s="1" t="s">
        <v>207</v>
      </c>
      <c r="C1014" s="1" t="s">
        <v>273</v>
      </c>
      <c r="D1014" s="1" t="s">
        <v>107</v>
      </c>
      <c r="E1014" s="6" t="n">
        <v>46157</v>
      </c>
      <c r="F1014" s="6" t="n">
        <v>46154</v>
      </c>
      <c r="G1014" s="1" t="s">
        <v>38</v>
      </c>
      <c r="H1014" s="1" t="s">
        <v>1694</v>
      </c>
      <c r="I1014" s="1" t="s">
        <v>3091</v>
      </c>
      <c r="J1014" s="1" t="n">
        <v>45413.28</v>
      </c>
      <c r="K1014" s="1" t="n">
        <v>34822.26</v>
      </c>
      <c r="L1014" s="1" t="n">
        <v>0</v>
      </c>
      <c r="M1014" s="1" t="n">
        <v>34822.26</v>
      </c>
      <c r="N1014" s="1" t="s">
        <v>111</v>
      </c>
      <c r="P1014" s="1" t="n">
        <v>4</v>
      </c>
      <c r="Q1014" s="1" t="s">
        <v>42</v>
      </c>
      <c r="R1014" s="1" t="s">
        <v>140</v>
      </c>
    </row>
    <row r="1015" customFormat="false" ht="14.25" hidden="false" customHeight="true" outlineLevel="0" collapsed="false">
      <c r="A1015" s="1" t="s">
        <v>3092</v>
      </c>
      <c r="B1015" s="1" t="s">
        <v>979</v>
      </c>
      <c r="C1015" s="1" t="s">
        <v>233</v>
      </c>
      <c r="D1015" s="1" t="s">
        <v>937</v>
      </c>
      <c r="E1015" s="6" t="n">
        <v>46235</v>
      </c>
      <c r="F1015" s="6" t="n">
        <v>46231</v>
      </c>
      <c r="G1015" s="1" t="s">
        <v>70</v>
      </c>
      <c r="H1015" s="1" t="s">
        <v>2285</v>
      </c>
      <c r="I1015" s="1" t="s">
        <v>3093</v>
      </c>
      <c r="J1015" s="1" t="n">
        <v>48489.88</v>
      </c>
      <c r="K1015" s="1" t="n">
        <v>43948.07</v>
      </c>
      <c r="L1015" s="1" t="n">
        <v>33487.51</v>
      </c>
      <c r="M1015" s="1" t="n">
        <v>10460.56</v>
      </c>
      <c r="N1015" s="1" t="s">
        <v>41</v>
      </c>
      <c r="P1015" s="1" t="n">
        <v>2</v>
      </c>
      <c r="Q1015" s="1" t="s">
        <v>42</v>
      </c>
      <c r="R1015" s="1" t="s">
        <v>64</v>
      </c>
      <c r="S1015" s="6" t="n">
        <v>46237</v>
      </c>
    </row>
    <row r="1016" customFormat="false" ht="14.25" hidden="false" customHeight="true" outlineLevel="0" collapsed="false">
      <c r="A1016" s="1" t="s">
        <v>3094</v>
      </c>
      <c r="B1016" s="1" t="s">
        <v>1995</v>
      </c>
      <c r="C1016" s="1" t="s">
        <v>300</v>
      </c>
      <c r="D1016" s="1" t="s">
        <v>239</v>
      </c>
      <c r="E1016" s="6" t="n">
        <v>46046</v>
      </c>
      <c r="F1016" s="6" t="n">
        <v>46041</v>
      </c>
      <c r="G1016" s="1" t="s">
        <v>49</v>
      </c>
      <c r="H1016" s="1" t="s">
        <v>1809</v>
      </c>
      <c r="I1016" s="1" t="s">
        <v>3095</v>
      </c>
      <c r="J1016" s="1" t="n">
        <v>22930.28</v>
      </c>
      <c r="K1016" s="1" t="n">
        <v>20226.72</v>
      </c>
      <c r="L1016" s="1" t="n">
        <v>19533.44</v>
      </c>
      <c r="M1016" s="1" t="n">
        <v>693.28</v>
      </c>
      <c r="N1016" s="1" t="s">
        <v>41</v>
      </c>
      <c r="P1016" s="1" t="n">
        <v>4</v>
      </c>
      <c r="Q1016" s="1" t="s">
        <v>155</v>
      </c>
      <c r="R1016" s="1" t="s">
        <v>74</v>
      </c>
      <c r="S1016" s="6" t="n">
        <v>46050</v>
      </c>
    </row>
    <row r="1017" customFormat="false" ht="14.25" hidden="false" customHeight="true" outlineLevel="0" collapsed="false">
      <c r="A1017" s="1" t="s">
        <v>3096</v>
      </c>
      <c r="B1017" s="1" t="s">
        <v>1108</v>
      </c>
      <c r="C1017" s="1" t="s">
        <v>446</v>
      </c>
      <c r="D1017" s="1" t="s">
        <v>1077</v>
      </c>
      <c r="E1017" s="6" t="n">
        <v>46118</v>
      </c>
      <c r="F1017" s="6" t="n">
        <v>46117</v>
      </c>
      <c r="G1017" s="1" t="s">
        <v>49</v>
      </c>
      <c r="H1017" s="1" t="s">
        <v>2276</v>
      </c>
      <c r="I1017" s="1" t="s">
        <v>3097</v>
      </c>
      <c r="J1017" s="1" t="n">
        <v>13871.01</v>
      </c>
      <c r="K1017" s="1" t="n">
        <v>12743.51</v>
      </c>
      <c r="L1017" s="1" t="n">
        <v>0</v>
      </c>
      <c r="M1017" s="1" t="n">
        <v>12743.51</v>
      </c>
      <c r="N1017" s="1" t="s">
        <v>111</v>
      </c>
      <c r="P1017" s="1" t="n">
        <v>11</v>
      </c>
      <c r="Q1017" s="1" t="s">
        <v>42</v>
      </c>
      <c r="R1017" s="1" t="s">
        <v>43</v>
      </c>
    </row>
    <row r="1018" customFormat="false" ht="14.25" hidden="false" customHeight="true" outlineLevel="0" collapsed="false">
      <c r="A1018" s="1" t="s">
        <v>3098</v>
      </c>
      <c r="B1018" s="1" t="s">
        <v>249</v>
      </c>
      <c r="C1018" s="1" t="s">
        <v>468</v>
      </c>
      <c r="D1018" s="1" t="s">
        <v>122</v>
      </c>
      <c r="E1018" s="6" t="n">
        <v>46063</v>
      </c>
      <c r="F1018" s="6" t="n">
        <v>46058</v>
      </c>
      <c r="G1018" s="1" t="s">
        <v>49</v>
      </c>
      <c r="H1018" s="1" t="s">
        <v>3099</v>
      </c>
      <c r="I1018" s="1" t="s">
        <v>3100</v>
      </c>
      <c r="J1018" s="1" t="n">
        <v>43219.31</v>
      </c>
      <c r="K1018" s="1" t="n">
        <v>36797.7</v>
      </c>
      <c r="L1018" s="1" t="n">
        <v>33084</v>
      </c>
      <c r="M1018" s="1" t="n">
        <v>3713.7</v>
      </c>
      <c r="N1018" s="1" t="s">
        <v>41</v>
      </c>
      <c r="P1018" s="1" t="n">
        <v>6</v>
      </c>
      <c r="Q1018" s="1" t="s">
        <v>63</v>
      </c>
      <c r="R1018" s="1" t="s">
        <v>54</v>
      </c>
      <c r="S1018" s="6" t="n">
        <v>46069</v>
      </c>
    </row>
    <row r="1019" customFormat="false" ht="14.25" hidden="false" customHeight="true" outlineLevel="0" collapsed="false">
      <c r="A1019" s="1" t="s">
        <v>3101</v>
      </c>
      <c r="B1019" s="1" t="s">
        <v>828</v>
      </c>
      <c r="C1019" s="1" t="s">
        <v>106</v>
      </c>
      <c r="D1019" s="1" t="s">
        <v>574</v>
      </c>
      <c r="E1019" s="6" t="n">
        <v>46068</v>
      </c>
      <c r="F1019" s="6" t="n">
        <v>46064</v>
      </c>
      <c r="G1019" s="1" t="s">
        <v>70</v>
      </c>
      <c r="H1019" s="1" t="s">
        <v>3102</v>
      </c>
      <c r="I1019" s="1" t="s">
        <v>3103</v>
      </c>
      <c r="J1019" s="1" t="n">
        <v>30289.01</v>
      </c>
      <c r="K1019" s="1" t="n">
        <v>26676.56</v>
      </c>
      <c r="L1019" s="1" t="n">
        <v>0</v>
      </c>
      <c r="M1019" s="1" t="n">
        <v>26676.56</v>
      </c>
      <c r="N1019" s="1" t="s">
        <v>111</v>
      </c>
      <c r="P1019" s="1" t="n">
        <v>8</v>
      </c>
      <c r="Q1019" s="1" t="s">
        <v>155</v>
      </c>
      <c r="R1019" s="1" t="s">
        <v>140</v>
      </c>
    </row>
    <row r="1020" customFormat="false" ht="14.25" hidden="false" customHeight="true" outlineLevel="0" collapsed="false">
      <c r="A1020" s="1" t="s">
        <v>3104</v>
      </c>
      <c r="B1020" s="1" t="s">
        <v>634</v>
      </c>
      <c r="C1020" s="1" t="s">
        <v>356</v>
      </c>
      <c r="D1020" s="1" t="s">
        <v>250</v>
      </c>
      <c r="E1020" s="6" t="n">
        <v>46140</v>
      </c>
      <c r="F1020" s="6" t="n">
        <v>46139</v>
      </c>
      <c r="G1020" s="1" t="s">
        <v>108</v>
      </c>
      <c r="H1020" s="1" t="s">
        <v>1934</v>
      </c>
      <c r="I1020" s="1" t="s">
        <v>3105</v>
      </c>
      <c r="J1020" s="1" t="n">
        <v>7066.95</v>
      </c>
      <c r="K1020" s="1" t="n">
        <v>6568.14</v>
      </c>
      <c r="L1020" s="1" t="n">
        <v>5513.75</v>
      </c>
      <c r="M1020" s="1" t="n">
        <v>1054.39</v>
      </c>
      <c r="N1020" s="1" t="s">
        <v>41</v>
      </c>
      <c r="P1020" s="1" t="n">
        <v>3</v>
      </c>
      <c r="Q1020" s="1" t="s">
        <v>155</v>
      </c>
      <c r="R1020" s="1" t="s">
        <v>43</v>
      </c>
      <c r="S1020" s="6" t="n">
        <v>46143</v>
      </c>
    </row>
    <row r="1021" customFormat="false" ht="14.25" hidden="false" customHeight="true" outlineLevel="0" collapsed="false">
      <c r="A1021" s="1" t="s">
        <v>3106</v>
      </c>
      <c r="B1021" s="1" t="s">
        <v>2853</v>
      </c>
      <c r="C1021" s="1" t="s">
        <v>151</v>
      </c>
      <c r="D1021" s="1" t="s">
        <v>717</v>
      </c>
      <c r="E1021" s="6" t="n">
        <v>46026</v>
      </c>
      <c r="F1021" s="6" t="n">
        <v>46025</v>
      </c>
      <c r="G1021" s="1" t="s">
        <v>108</v>
      </c>
      <c r="H1021" s="1" t="s">
        <v>1483</v>
      </c>
      <c r="I1021" s="1" t="s">
        <v>3107</v>
      </c>
      <c r="J1021" s="1" t="n">
        <v>45006.14</v>
      </c>
      <c r="K1021" s="1" t="n">
        <v>31471.98</v>
      </c>
      <c r="L1021" s="1" t="n">
        <v>0</v>
      </c>
      <c r="M1021" s="1" t="n">
        <v>31471.98</v>
      </c>
      <c r="N1021" s="1" t="s">
        <v>52</v>
      </c>
      <c r="O1021" s="1" t="s">
        <v>53</v>
      </c>
      <c r="P1021" s="1" t="n">
        <v>2</v>
      </c>
      <c r="Q1021" s="1" t="s">
        <v>155</v>
      </c>
      <c r="R1021" s="1" t="s">
        <v>125</v>
      </c>
    </row>
    <row r="1022" customFormat="false" ht="14.25" hidden="false" customHeight="true" outlineLevel="0" collapsed="false">
      <c r="A1022" s="1" t="s">
        <v>3108</v>
      </c>
      <c r="B1022" s="1" t="s">
        <v>928</v>
      </c>
      <c r="C1022" s="1" t="s">
        <v>36</v>
      </c>
      <c r="D1022" s="1" t="s">
        <v>287</v>
      </c>
      <c r="E1022" s="6" t="n">
        <v>46159</v>
      </c>
      <c r="F1022" s="6" t="n">
        <v>46154</v>
      </c>
      <c r="G1022" s="1" t="s">
        <v>49</v>
      </c>
      <c r="H1022" s="1" t="s">
        <v>1694</v>
      </c>
      <c r="I1022" s="1" t="s">
        <v>3109</v>
      </c>
      <c r="J1022" s="1" t="n">
        <v>23652.52</v>
      </c>
      <c r="K1022" s="1" t="n">
        <v>19249.22</v>
      </c>
      <c r="L1022" s="1" t="n">
        <v>19135.81</v>
      </c>
      <c r="M1022" s="1" t="n">
        <v>113.41</v>
      </c>
      <c r="N1022" s="1" t="s">
        <v>41</v>
      </c>
      <c r="P1022" s="1" t="n">
        <v>7</v>
      </c>
      <c r="Q1022" s="1" t="s">
        <v>63</v>
      </c>
      <c r="R1022" s="1" t="s">
        <v>102</v>
      </c>
      <c r="S1022" s="6" t="n">
        <v>46166</v>
      </c>
    </row>
    <row r="1023" customFormat="false" ht="14.25" hidden="false" customHeight="true" outlineLevel="0" collapsed="false">
      <c r="A1023" s="1" t="s">
        <v>3110</v>
      </c>
      <c r="B1023" s="1" t="s">
        <v>1136</v>
      </c>
      <c r="C1023" s="1" t="s">
        <v>376</v>
      </c>
      <c r="D1023" s="1" t="s">
        <v>881</v>
      </c>
      <c r="E1023" s="6" t="n">
        <v>46094</v>
      </c>
      <c r="F1023" s="6" t="n">
        <v>46090</v>
      </c>
      <c r="G1023" s="1" t="s">
        <v>108</v>
      </c>
      <c r="H1023" s="1" t="s">
        <v>1529</v>
      </c>
      <c r="I1023" s="1" t="s">
        <v>3111</v>
      </c>
      <c r="J1023" s="1" t="n">
        <v>48081.27</v>
      </c>
      <c r="K1023" s="1" t="n">
        <v>43723.54</v>
      </c>
      <c r="L1023" s="1" t="n">
        <v>36323.58</v>
      </c>
      <c r="M1023" s="1" t="n">
        <v>7399.96</v>
      </c>
      <c r="N1023" s="1" t="s">
        <v>41</v>
      </c>
      <c r="P1023" s="1" t="n">
        <v>3</v>
      </c>
      <c r="Q1023" s="1" t="s">
        <v>63</v>
      </c>
      <c r="R1023" s="1" t="s">
        <v>102</v>
      </c>
      <c r="S1023" s="6" t="n">
        <v>46097</v>
      </c>
    </row>
    <row r="1024" customFormat="false" ht="14.25" hidden="false" customHeight="true" outlineLevel="0" collapsed="false">
      <c r="A1024" s="1" t="s">
        <v>3112</v>
      </c>
      <c r="B1024" s="1" t="s">
        <v>3113</v>
      </c>
      <c r="C1024" s="1" t="s">
        <v>92</v>
      </c>
      <c r="D1024" s="1" t="s">
        <v>476</v>
      </c>
      <c r="E1024" s="6" t="n">
        <v>46095</v>
      </c>
      <c r="F1024" s="6" t="n">
        <v>46095</v>
      </c>
      <c r="G1024" s="1" t="s">
        <v>49</v>
      </c>
      <c r="H1024" s="1" t="s">
        <v>3114</v>
      </c>
      <c r="I1024" s="1" t="s">
        <v>3115</v>
      </c>
      <c r="J1024" s="1" t="n">
        <v>10642.07</v>
      </c>
      <c r="K1024" s="1" t="n">
        <v>7715.9</v>
      </c>
      <c r="L1024" s="1" t="n">
        <v>5982.94</v>
      </c>
      <c r="M1024" s="1" t="n">
        <v>1732.96</v>
      </c>
      <c r="N1024" s="1" t="s">
        <v>41</v>
      </c>
      <c r="P1024" s="1" t="n">
        <v>8</v>
      </c>
      <c r="Q1024" s="1" t="s">
        <v>42</v>
      </c>
      <c r="R1024" s="1" t="s">
        <v>64</v>
      </c>
      <c r="S1024" s="6" t="n">
        <v>46103</v>
      </c>
    </row>
    <row r="1025" customFormat="false" ht="14.25" hidden="false" customHeight="true" outlineLevel="0" collapsed="false">
      <c r="A1025" s="1" t="s">
        <v>3116</v>
      </c>
      <c r="B1025" s="1" t="s">
        <v>594</v>
      </c>
      <c r="C1025" s="1" t="s">
        <v>286</v>
      </c>
      <c r="D1025" s="1" t="s">
        <v>732</v>
      </c>
      <c r="E1025" s="6" t="n">
        <v>46067</v>
      </c>
      <c r="F1025" s="6" t="n">
        <v>46066</v>
      </c>
      <c r="G1025" s="1" t="s">
        <v>70</v>
      </c>
      <c r="H1025" s="1" t="s">
        <v>3117</v>
      </c>
      <c r="I1025" s="1" t="s">
        <v>3118</v>
      </c>
      <c r="J1025" s="1" t="n">
        <v>41780.91</v>
      </c>
      <c r="K1025" s="1" t="n">
        <v>35167.77</v>
      </c>
      <c r="L1025" s="1" t="n">
        <v>34096.75</v>
      </c>
      <c r="M1025" s="1" t="n">
        <v>1071.02</v>
      </c>
      <c r="N1025" s="1" t="s">
        <v>41</v>
      </c>
      <c r="P1025" s="1" t="n">
        <v>3</v>
      </c>
      <c r="Q1025" s="1" t="s">
        <v>155</v>
      </c>
      <c r="R1025" s="1" t="s">
        <v>64</v>
      </c>
      <c r="S1025" s="6" t="n">
        <v>46070</v>
      </c>
    </row>
    <row r="1026" customFormat="false" ht="14.25" hidden="false" customHeight="true" outlineLevel="0" collapsed="false">
      <c r="A1026" s="1" t="s">
        <v>3119</v>
      </c>
      <c r="B1026" s="1" t="s">
        <v>2527</v>
      </c>
      <c r="C1026" s="1" t="s">
        <v>244</v>
      </c>
      <c r="D1026" s="1" t="s">
        <v>208</v>
      </c>
      <c r="E1026" s="6" t="n">
        <v>46164</v>
      </c>
      <c r="F1026" s="6" t="n">
        <v>46162</v>
      </c>
      <c r="G1026" s="1" t="s">
        <v>49</v>
      </c>
      <c r="H1026" s="1" t="s">
        <v>3120</v>
      </c>
      <c r="I1026" s="1" t="s">
        <v>3121</v>
      </c>
      <c r="J1026" s="1" t="n">
        <v>24819.64</v>
      </c>
      <c r="K1026" s="1" t="n">
        <v>21577.41</v>
      </c>
      <c r="L1026" s="1" t="n">
        <v>0</v>
      </c>
      <c r="M1026" s="1" t="n">
        <v>21577.41</v>
      </c>
      <c r="N1026" s="1" t="s">
        <v>111</v>
      </c>
      <c r="P1026" s="1" t="n">
        <v>13</v>
      </c>
      <c r="Q1026" s="1" t="s">
        <v>42</v>
      </c>
      <c r="R1026" s="1" t="s">
        <v>140</v>
      </c>
    </row>
    <row r="1027" customFormat="false" ht="14.25" hidden="false" customHeight="true" outlineLevel="0" collapsed="false">
      <c r="A1027" s="1" t="s">
        <v>3122</v>
      </c>
      <c r="B1027" s="1" t="s">
        <v>429</v>
      </c>
      <c r="C1027" s="1" t="s">
        <v>273</v>
      </c>
      <c r="D1027" s="1" t="s">
        <v>757</v>
      </c>
      <c r="E1027" s="6" t="n">
        <v>46056</v>
      </c>
      <c r="F1027" s="6" t="n">
        <v>46052</v>
      </c>
      <c r="G1027" s="1" t="s">
        <v>108</v>
      </c>
      <c r="H1027" s="1" t="s">
        <v>3123</v>
      </c>
      <c r="I1027" s="1" t="s">
        <v>3124</v>
      </c>
      <c r="J1027" s="1" t="n">
        <v>34235.82</v>
      </c>
      <c r="K1027" s="1" t="n">
        <v>25523.92</v>
      </c>
      <c r="L1027" s="1" t="n">
        <v>19328.99</v>
      </c>
      <c r="M1027" s="1" t="n">
        <v>6194.93</v>
      </c>
      <c r="N1027" s="1" t="s">
        <v>41</v>
      </c>
      <c r="P1027" s="1" t="n">
        <v>4</v>
      </c>
      <c r="Q1027" s="1" t="s">
        <v>42</v>
      </c>
      <c r="R1027" s="1" t="s">
        <v>74</v>
      </c>
      <c r="S1027" s="6" t="n">
        <v>46060</v>
      </c>
    </row>
    <row r="1028" customFormat="false" ht="14.25" hidden="false" customHeight="true" outlineLevel="0" collapsed="false">
      <c r="A1028" s="1" t="s">
        <v>3125</v>
      </c>
      <c r="B1028" s="1" t="s">
        <v>869</v>
      </c>
      <c r="C1028" s="1" t="s">
        <v>106</v>
      </c>
      <c r="D1028" s="1" t="s">
        <v>1128</v>
      </c>
      <c r="E1028" s="6" t="n">
        <v>46135</v>
      </c>
      <c r="F1028" s="6" t="n">
        <v>46132</v>
      </c>
      <c r="G1028" s="1" t="s">
        <v>38</v>
      </c>
      <c r="H1028" s="1" t="s">
        <v>3126</v>
      </c>
      <c r="I1028" s="1" t="s">
        <v>3127</v>
      </c>
      <c r="J1028" s="1" t="n">
        <v>49726.15</v>
      </c>
      <c r="K1028" s="1" t="n">
        <v>39088.34</v>
      </c>
      <c r="L1028" s="1" t="n">
        <v>0</v>
      </c>
      <c r="M1028" s="1" t="n">
        <v>39088.34</v>
      </c>
      <c r="N1028" s="1" t="s">
        <v>111</v>
      </c>
      <c r="P1028" s="1" t="n">
        <v>15</v>
      </c>
      <c r="Q1028" s="1" t="s">
        <v>155</v>
      </c>
      <c r="R1028" s="1" t="s">
        <v>125</v>
      </c>
    </row>
    <row r="1029" customFormat="false" ht="14.25" hidden="false" customHeight="true" outlineLevel="0" collapsed="false">
      <c r="A1029" s="1" t="s">
        <v>3128</v>
      </c>
      <c r="B1029" s="1" t="s">
        <v>880</v>
      </c>
      <c r="C1029" s="1" t="s">
        <v>244</v>
      </c>
      <c r="D1029" s="1" t="s">
        <v>320</v>
      </c>
      <c r="E1029" s="6" t="n">
        <v>46225</v>
      </c>
      <c r="F1029" s="6" t="n">
        <v>46225</v>
      </c>
      <c r="G1029" s="1" t="s">
        <v>70</v>
      </c>
      <c r="H1029" s="1" t="s">
        <v>1492</v>
      </c>
      <c r="I1029" s="1" t="s">
        <v>1664</v>
      </c>
      <c r="J1029" s="1" t="n">
        <v>611.45</v>
      </c>
      <c r="K1029" s="1" t="n">
        <v>496.61</v>
      </c>
      <c r="L1029" s="1" t="n">
        <v>382.93</v>
      </c>
      <c r="M1029" s="1" t="n">
        <v>113.68</v>
      </c>
      <c r="N1029" s="1" t="s">
        <v>41</v>
      </c>
      <c r="P1029" s="1" t="n">
        <v>3</v>
      </c>
      <c r="Q1029" s="1" t="s">
        <v>155</v>
      </c>
      <c r="R1029" s="1" t="s">
        <v>43</v>
      </c>
      <c r="S1029" s="6" t="n">
        <v>46228</v>
      </c>
    </row>
    <row r="1030" customFormat="false" ht="14.25" hidden="false" customHeight="true" outlineLevel="0" collapsed="false">
      <c r="A1030" s="1" t="s">
        <v>3129</v>
      </c>
      <c r="B1030" s="1" t="s">
        <v>1372</v>
      </c>
      <c r="C1030" s="1" t="s">
        <v>106</v>
      </c>
      <c r="D1030" s="1" t="s">
        <v>137</v>
      </c>
      <c r="E1030" s="6" t="n">
        <v>46201</v>
      </c>
      <c r="F1030" s="6" t="n">
        <v>46196</v>
      </c>
      <c r="G1030" s="1" t="s">
        <v>38</v>
      </c>
      <c r="H1030" s="1" t="s">
        <v>3130</v>
      </c>
      <c r="I1030" s="1" t="s">
        <v>3131</v>
      </c>
      <c r="J1030" s="1" t="n">
        <v>38975.69</v>
      </c>
      <c r="K1030" s="1" t="n">
        <v>31637.44</v>
      </c>
      <c r="L1030" s="1" t="n">
        <v>27265.8</v>
      </c>
      <c r="M1030" s="1" t="n">
        <v>4371.64</v>
      </c>
      <c r="N1030" s="1" t="s">
        <v>41</v>
      </c>
      <c r="P1030" s="1" t="n">
        <v>2</v>
      </c>
      <c r="Q1030" s="1" t="s">
        <v>42</v>
      </c>
      <c r="R1030" s="1" t="s">
        <v>74</v>
      </c>
      <c r="S1030" s="6" t="n">
        <v>46203</v>
      </c>
    </row>
    <row r="1031" customFormat="false" ht="14.25" hidden="false" customHeight="true" outlineLevel="0" collapsed="false">
      <c r="A1031" s="1" t="s">
        <v>3132</v>
      </c>
      <c r="B1031" s="1" t="s">
        <v>1269</v>
      </c>
      <c r="C1031" s="1" t="s">
        <v>468</v>
      </c>
      <c r="D1031" s="1" t="s">
        <v>418</v>
      </c>
      <c r="E1031" s="6" t="n">
        <v>46221</v>
      </c>
      <c r="F1031" s="6" t="n">
        <v>46220</v>
      </c>
      <c r="G1031" s="1" t="s">
        <v>70</v>
      </c>
      <c r="H1031" s="1" t="s">
        <v>3133</v>
      </c>
      <c r="I1031" s="1" t="s">
        <v>3134</v>
      </c>
      <c r="J1031" s="1" t="n">
        <v>28745.6</v>
      </c>
      <c r="K1031" s="1" t="n">
        <v>21507.97</v>
      </c>
      <c r="L1031" s="1" t="n">
        <v>18270.65</v>
      </c>
      <c r="M1031" s="1" t="n">
        <v>3237.32</v>
      </c>
      <c r="N1031" s="1" t="s">
        <v>41</v>
      </c>
      <c r="P1031" s="1" t="n">
        <v>8</v>
      </c>
      <c r="Q1031" s="1" t="s">
        <v>42</v>
      </c>
      <c r="R1031" s="1" t="s">
        <v>64</v>
      </c>
      <c r="S1031" s="6" t="n">
        <v>46229</v>
      </c>
    </row>
    <row r="1032" customFormat="false" ht="14.25" hidden="false" customHeight="true" outlineLevel="0" collapsed="false">
      <c r="A1032" s="1" t="s">
        <v>3135</v>
      </c>
      <c r="B1032" s="1" t="s">
        <v>197</v>
      </c>
      <c r="C1032" s="1" t="s">
        <v>671</v>
      </c>
      <c r="D1032" s="1" t="s">
        <v>86</v>
      </c>
      <c r="E1032" s="6" t="n">
        <v>46163</v>
      </c>
      <c r="F1032" s="6" t="n">
        <v>46161</v>
      </c>
      <c r="G1032" s="1" t="s">
        <v>38</v>
      </c>
      <c r="H1032" s="1" t="s">
        <v>405</v>
      </c>
      <c r="I1032" s="1" t="s">
        <v>3136</v>
      </c>
      <c r="J1032" s="1" t="n">
        <v>43469.84</v>
      </c>
      <c r="K1032" s="1" t="n">
        <v>40684.56</v>
      </c>
      <c r="L1032" s="1" t="n">
        <v>0</v>
      </c>
      <c r="M1032" s="1" t="n">
        <v>40684.56</v>
      </c>
      <c r="N1032" s="1" t="s">
        <v>52</v>
      </c>
      <c r="O1032" s="1" t="s">
        <v>53</v>
      </c>
      <c r="P1032" s="1" t="n">
        <v>3</v>
      </c>
      <c r="Q1032" s="1" t="s">
        <v>63</v>
      </c>
      <c r="R1032" s="1" t="s">
        <v>74</v>
      </c>
    </row>
    <row r="1033" customFormat="false" ht="14.25" hidden="false" customHeight="true" outlineLevel="0" collapsed="false">
      <c r="A1033" s="1" t="s">
        <v>3137</v>
      </c>
      <c r="B1033" s="1" t="s">
        <v>98</v>
      </c>
      <c r="C1033" s="1" t="s">
        <v>446</v>
      </c>
      <c r="D1033" s="1" t="s">
        <v>1628</v>
      </c>
      <c r="E1033" s="6" t="n">
        <v>46181</v>
      </c>
      <c r="F1033" s="6" t="n">
        <v>46176</v>
      </c>
      <c r="G1033" s="1" t="s">
        <v>108</v>
      </c>
      <c r="H1033" s="1" t="s">
        <v>3138</v>
      </c>
      <c r="I1033" s="1" t="s">
        <v>1500</v>
      </c>
      <c r="J1033" s="1" t="n">
        <v>25614.38</v>
      </c>
      <c r="K1033" s="1" t="n">
        <v>18892.15</v>
      </c>
      <c r="L1033" s="1" t="n">
        <v>0</v>
      </c>
      <c r="M1033" s="1" t="n">
        <v>18892.15</v>
      </c>
      <c r="N1033" s="1" t="s">
        <v>111</v>
      </c>
      <c r="P1033" s="1" t="n">
        <v>6</v>
      </c>
      <c r="Q1033" s="1" t="s">
        <v>63</v>
      </c>
      <c r="R1033" s="1" t="s">
        <v>102</v>
      </c>
    </row>
    <row r="1034" customFormat="false" ht="14.25" hidden="false" customHeight="true" outlineLevel="0" collapsed="false">
      <c r="A1034" s="1" t="s">
        <v>3139</v>
      </c>
      <c r="B1034" s="1" t="s">
        <v>404</v>
      </c>
      <c r="C1034" s="1" t="s">
        <v>356</v>
      </c>
      <c r="D1034" s="1" t="s">
        <v>648</v>
      </c>
      <c r="E1034" s="6" t="n">
        <v>46143</v>
      </c>
      <c r="F1034" s="6" t="n">
        <v>46138</v>
      </c>
      <c r="G1034" s="1" t="s">
        <v>38</v>
      </c>
      <c r="H1034" s="1" t="s">
        <v>3140</v>
      </c>
      <c r="I1034" s="1" t="s">
        <v>3141</v>
      </c>
      <c r="J1034" s="1" t="n">
        <v>23165.33</v>
      </c>
      <c r="K1034" s="1" t="n">
        <v>20688.44</v>
      </c>
      <c r="L1034" s="1" t="n">
        <v>20238.05</v>
      </c>
      <c r="M1034" s="1" t="n">
        <v>450.39</v>
      </c>
      <c r="N1034" s="1" t="s">
        <v>41</v>
      </c>
      <c r="P1034" s="1" t="n">
        <v>8</v>
      </c>
      <c r="Q1034" s="1" t="s">
        <v>63</v>
      </c>
      <c r="R1034" s="1" t="s">
        <v>43</v>
      </c>
      <c r="S1034" s="6" t="n">
        <v>46151</v>
      </c>
    </row>
    <row r="1035" customFormat="false" ht="14.25" hidden="false" customHeight="true" outlineLevel="0" collapsed="false">
      <c r="A1035" s="1" t="s">
        <v>3142</v>
      </c>
      <c r="B1035" s="1" t="s">
        <v>1957</v>
      </c>
      <c r="C1035" s="1" t="s">
        <v>335</v>
      </c>
      <c r="D1035" s="1" t="s">
        <v>558</v>
      </c>
      <c r="E1035" s="6" t="n">
        <v>46146</v>
      </c>
      <c r="F1035" s="6" t="n">
        <v>46145</v>
      </c>
      <c r="G1035" s="1" t="s">
        <v>108</v>
      </c>
      <c r="H1035" s="1" t="s">
        <v>3143</v>
      </c>
      <c r="I1035" s="1" t="s">
        <v>3144</v>
      </c>
      <c r="J1035" s="1" t="n">
        <v>48619.42</v>
      </c>
      <c r="K1035" s="1" t="n">
        <v>34326.69</v>
      </c>
      <c r="L1035" s="1" t="n">
        <v>33759.48</v>
      </c>
      <c r="M1035" s="1" t="n">
        <v>567.21</v>
      </c>
      <c r="N1035" s="1" t="s">
        <v>41</v>
      </c>
      <c r="P1035" s="1" t="n">
        <v>8</v>
      </c>
      <c r="Q1035" s="1" t="s">
        <v>42</v>
      </c>
      <c r="R1035" s="1" t="s">
        <v>74</v>
      </c>
      <c r="S1035" s="6" t="n">
        <v>46154</v>
      </c>
    </row>
    <row r="1036" customFormat="false" ht="14.25" hidden="false" customHeight="true" outlineLevel="0" collapsed="false">
      <c r="A1036" s="1" t="s">
        <v>3145</v>
      </c>
      <c r="B1036" s="1" t="s">
        <v>175</v>
      </c>
      <c r="C1036" s="1" t="s">
        <v>900</v>
      </c>
      <c r="D1036" s="1" t="s">
        <v>481</v>
      </c>
      <c r="E1036" s="6" t="n">
        <v>46195</v>
      </c>
      <c r="F1036" s="6" t="n">
        <v>46192</v>
      </c>
      <c r="G1036" s="1" t="s">
        <v>38</v>
      </c>
      <c r="H1036" s="1" t="s">
        <v>3146</v>
      </c>
      <c r="I1036" s="1" t="s">
        <v>3147</v>
      </c>
      <c r="J1036" s="1" t="n">
        <v>26843.77</v>
      </c>
      <c r="K1036" s="1" t="n">
        <v>20544.67</v>
      </c>
      <c r="L1036" s="1" t="n">
        <v>16178.5</v>
      </c>
      <c r="M1036" s="1" t="n">
        <v>4366.17</v>
      </c>
      <c r="N1036" s="1" t="s">
        <v>41</v>
      </c>
      <c r="P1036" s="1" t="n">
        <v>7</v>
      </c>
      <c r="Q1036" s="1" t="s">
        <v>63</v>
      </c>
      <c r="R1036" s="1" t="s">
        <v>64</v>
      </c>
      <c r="S1036" s="6" t="n">
        <v>46202</v>
      </c>
    </row>
    <row r="1037" customFormat="false" ht="14.25" hidden="false" customHeight="true" outlineLevel="0" collapsed="false">
      <c r="A1037" s="1" t="s">
        <v>3148</v>
      </c>
      <c r="B1037" s="1" t="s">
        <v>489</v>
      </c>
      <c r="C1037" s="1" t="s">
        <v>78</v>
      </c>
      <c r="D1037" s="1" t="s">
        <v>216</v>
      </c>
      <c r="E1037" s="6" t="n">
        <v>46171</v>
      </c>
      <c r="F1037" s="6" t="n">
        <v>46170</v>
      </c>
      <c r="G1037" s="1" t="s">
        <v>38</v>
      </c>
      <c r="H1037" s="1" t="s">
        <v>1540</v>
      </c>
      <c r="I1037" s="1" t="s">
        <v>1443</v>
      </c>
      <c r="J1037" s="1" t="n">
        <v>37613.34</v>
      </c>
      <c r="K1037" s="1" t="n">
        <v>33368.99</v>
      </c>
      <c r="L1037" s="1" t="n">
        <v>29465.99</v>
      </c>
      <c r="M1037" s="1" t="n">
        <v>3903</v>
      </c>
      <c r="N1037" s="1" t="s">
        <v>41</v>
      </c>
      <c r="P1037" s="1" t="n">
        <v>1</v>
      </c>
      <c r="Q1037" s="1" t="s">
        <v>42</v>
      </c>
      <c r="R1037" s="1" t="s">
        <v>102</v>
      </c>
      <c r="S1037" s="6" t="n">
        <v>46172</v>
      </c>
    </row>
    <row r="1038" customFormat="false" ht="14.25" hidden="false" customHeight="true" outlineLevel="0" collapsed="false">
      <c r="A1038" s="1" t="s">
        <v>3149</v>
      </c>
      <c r="B1038" s="1" t="s">
        <v>197</v>
      </c>
      <c r="C1038" s="1" t="s">
        <v>164</v>
      </c>
      <c r="D1038" s="1" t="s">
        <v>347</v>
      </c>
      <c r="E1038" s="6" t="n">
        <v>46035</v>
      </c>
      <c r="F1038" s="6" t="n">
        <v>46030</v>
      </c>
      <c r="G1038" s="1" t="s">
        <v>108</v>
      </c>
      <c r="H1038" s="1" t="s">
        <v>3150</v>
      </c>
      <c r="I1038" s="1" t="s">
        <v>2483</v>
      </c>
      <c r="J1038" s="1" t="n">
        <v>18337.68</v>
      </c>
      <c r="K1038" s="1" t="n">
        <v>17390.39</v>
      </c>
      <c r="L1038" s="1" t="n">
        <v>0</v>
      </c>
      <c r="M1038" s="1" t="n">
        <v>17390.39</v>
      </c>
      <c r="N1038" s="1" t="s">
        <v>52</v>
      </c>
      <c r="O1038" s="1" t="s">
        <v>73</v>
      </c>
      <c r="P1038" s="1" t="n">
        <v>7</v>
      </c>
      <c r="Q1038" s="1" t="s">
        <v>155</v>
      </c>
      <c r="R1038" s="1" t="s">
        <v>102</v>
      </c>
    </row>
    <row r="1039" customFormat="false" ht="14.25" hidden="false" customHeight="true" outlineLevel="0" collapsed="false">
      <c r="A1039" s="1" t="s">
        <v>3151</v>
      </c>
      <c r="B1039" s="1" t="s">
        <v>924</v>
      </c>
      <c r="C1039" s="1" t="s">
        <v>106</v>
      </c>
      <c r="D1039" s="1" t="s">
        <v>347</v>
      </c>
      <c r="E1039" s="6" t="n">
        <v>46162</v>
      </c>
      <c r="F1039" s="6" t="n">
        <v>46161</v>
      </c>
      <c r="G1039" s="1" t="s">
        <v>49</v>
      </c>
      <c r="H1039" s="1" t="s">
        <v>539</v>
      </c>
      <c r="I1039" s="1" t="s">
        <v>3152</v>
      </c>
      <c r="J1039" s="1" t="n">
        <v>17460.26</v>
      </c>
      <c r="K1039" s="1" t="n">
        <v>13310.98</v>
      </c>
      <c r="L1039" s="1" t="n">
        <v>0</v>
      </c>
      <c r="M1039" s="1" t="n">
        <v>13310.98</v>
      </c>
      <c r="N1039" s="1" t="s">
        <v>52</v>
      </c>
      <c r="O1039" s="1" t="s">
        <v>265</v>
      </c>
      <c r="P1039" s="1" t="n">
        <v>5</v>
      </c>
      <c r="Q1039" s="1" t="s">
        <v>63</v>
      </c>
      <c r="R1039" s="1" t="s">
        <v>125</v>
      </c>
    </row>
    <row r="1040" customFormat="false" ht="14.25" hidden="false" customHeight="true" outlineLevel="0" collapsed="false">
      <c r="A1040" s="1" t="s">
        <v>3153</v>
      </c>
      <c r="B1040" s="1" t="s">
        <v>838</v>
      </c>
      <c r="C1040" s="1" t="s">
        <v>244</v>
      </c>
      <c r="D1040" s="1" t="s">
        <v>732</v>
      </c>
      <c r="E1040" s="6" t="n">
        <v>46235</v>
      </c>
      <c r="F1040" s="6" t="n">
        <v>46231</v>
      </c>
      <c r="G1040" s="1" t="s">
        <v>108</v>
      </c>
      <c r="H1040" s="1" t="s">
        <v>3154</v>
      </c>
      <c r="I1040" s="1" t="s">
        <v>3155</v>
      </c>
      <c r="J1040" s="1" t="n">
        <v>32095.91</v>
      </c>
      <c r="K1040" s="1" t="n">
        <v>26966.49</v>
      </c>
      <c r="L1040" s="1" t="n">
        <v>21122.16</v>
      </c>
      <c r="M1040" s="1" t="n">
        <v>5844.33</v>
      </c>
      <c r="N1040" s="1" t="s">
        <v>41</v>
      </c>
      <c r="P1040" s="1" t="n">
        <v>5</v>
      </c>
      <c r="Q1040" s="1" t="s">
        <v>155</v>
      </c>
      <c r="R1040" s="1" t="s">
        <v>102</v>
      </c>
      <c r="S1040" s="6" t="n">
        <v>46240</v>
      </c>
    </row>
    <row r="1041" customFormat="false" ht="14.25" hidden="false" customHeight="true" outlineLevel="0" collapsed="false">
      <c r="A1041" s="1" t="s">
        <v>3156</v>
      </c>
      <c r="B1041" s="1" t="s">
        <v>408</v>
      </c>
      <c r="C1041" s="1" t="s">
        <v>68</v>
      </c>
      <c r="D1041" s="1" t="s">
        <v>1628</v>
      </c>
      <c r="E1041" s="6" t="n">
        <v>46048</v>
      </c>
      <c r="F1041" s="6" t="n">
        <v>46043</v>
      </c>
      <c r="G1041" s="1" t="s">
        <v>49</v>
      </c>
      <c r="H1041" s="1" t="s">
        <v>1334</v>
      </c>
      <c r="I1041" s="1" t="s">
        <v>3157</v>
      </c>
      <c r="J1041" s="1" t="n">
        <v>16730.09</v>
      </c>
      <c r="K1041" s="1" t="n">
        <v>13549.9</v>
      </c>
      <c r="L1041" s="1" t="n">
        <v>0</v>
      </c>
      <c r="M1041" s="1" t="n">
        <v>13549.9</v>
      </c>
      <c r="N1041" s="1" t="s">
        <v>111</v>
      </c>
      <c r="P1041" s="1" t="n">
        <v>9</v>
      </c>
      <c r="Q1041" s="1" t="s">
        <v>63</v>
      </c>
      <c r="R1041" s="1" t="s">
        <v>64</v>
      </c>
    </row>
    <row r="1042" customFormat="false" ht="14.25" hidden="false" customHeight="true" outlineLevel="0" collapsed="false">
      <c r="A1042" s="1" t="s">
        <v>3158</v>
      </c>
      <c r="B1042" s="1" t="s">
        <v>175</v>
      </c>
      <c r="C1042" s="1" t="s">
        <v>92</v>
      </c>
      <c r="D1042" s="1" t="s">
        <v>315</v>
      </c>
      <c r="E1042" s="6" t="n">
        <v>46084</v>
      </c>
      <c r="F1042" s="6" t="n">
        <v>46079</v>
      </c>
      <c r="G1042" s="1" t="s">
        <v>49</v>
      </c>
      <c r="H1042" s="1" t="s">
        <v>1074</v>
      </c>
      <c r="I1042" s="1" t="s">
        <v>3159</v>
      </c>
      <c r="J1042" s="1" t="n">
        <v>26722.18</v>
      </c>
      <c r="K1042" s="1" t="n">
        <v>23635.9</v>
      </c>
      <c r="L1042" s="1" t="n">
        <v>19913.55</v>
      </c>
      <c r="M1042" s="1" t="n">
        <v>3722.35</v>
      </c>
      <c r="N1042" s="1" t="s">
        <v>41</v>
      </c>
      <c r="P1042" s="1" t="n">
        <v>4</v>
      </c>
      <c r="Q1042" s="1" t="s">
        <v>155</v>
      </c>
      <c r="R1042" s="1" t="s">
        <v>74</v>
      </c>
      <c r="S1042" s="6" t="n">
        <v>46088</v>
      </c>
    </row>
    <row r="1043" customFormat="false" ht="14.25" hidden="false" customHeight="true" outlineLevel="0" collapsed="false">
      <c r="A1043" s="1" t="s">
        <v>3160</v>
      </c>
      <c r="B1043" s="1" t="s">
        <v>542</v>
      </c>
      <c r="C1043" s="1" t="s">
        <v>310</v>
      </c>
      <c r="D1043" s="1" t="s">
        <v>722</v>
      </c>
      <c r="E1043" s="6" t="n">
        <v>46152</v>
      </c>
      <c r="F1043" s="6" t="n">
        <v>46148</v>
      </c>
      <c r="G1043" s="1" t="s">
        <v>70</v>
      </c>
      <c r="H1043" s="1" t="s">
        <v>3161</v>
      </c>
      <c r="I1043" s="1" t="s">
        <v>3162</v>
      </c>
      <c r="J1043" s="1" t="n">
        <v>19620.81</v>
      </c>
      <c r="K1043" s="1" t="n">
        <v>17757.55</v>
      </c>
      <c r="L1043" s="1" t="n">
        <v>14758.19</v>
      </c>
      <c r="M1043" s="1" t="n">
        <v>2999.36</v>
      </c>
      <c r="N1043" s="1" t="s">
        <v>41</v>
      </c>
      <c r="P1043" s="1" t="n">
        <v>6</v>
      </c>
      <c r="Q1043" s="1" t="s">
        <v>155</v>
      </c>
      <c r="R1043" s="1" t="s">
        <v>54</v>
      </c>
      <c r="S1043" s="6" t="n">
        <v>46158</v>
      </c>
    </row>
    <row r="1044" customFormat="false" ht="14.25" hidden="false" customHeight="true" outlineLevel="0" collapsed="false">
      <c r="A1044" s="1" t="s">
        <v>3163</v>
      </c>
      <c r="B1044" s="1" t="s">
        <v>1009</v>
      </c>
      <c r="C1044" s="1" t="s">
        <v>686</v>
      </c>
      <c r="D1044" s="1" t="s">
        <v>501</v>
      </c>
      <c r="E1044" s="6" t="n">
        <v>46074</v>
      </c>
      <c r="F1044" s="6" t="n">
        <v>46072</v>
      </c>
      <c r="G1044" s="1" t="s">
        <v>49</v>
      </c>
      <c r="H1044" s="1" t="s">
        <v>2571</v>
      </c>
      <c r="I1044" s="1" t="s">
        <v>3164</v>
      </c>
      <c r="J1044" s="1" t="n">
        <v>6438.9</v>
      </c>
      <c r="K1044" s="1" t="n">
        <v>5489.99</v>
      </c>
      <c r="L1044" s="1" t="n">
        <v>0</v>
      </c>
      <c r="M1044" s="1" t="n">
        <v>5489.99</v>
      </c>
      <c r="N1044" s="1" t="s">
        <v>111</v>
      </c>
      <c r="P1044" s="1" t="n">
        <v>12</v>
      </c>
      <c r="Q1044" s="1" t="s">
        <v>155</v>
      </c>
      <c r="R1044" s="1" t="s">
        <v>54</v>
      </c>
    </row>
    <row r="1045" customFormat="false" ht="14.25" hidden="false" customHeight="true" outlineLevel="0" collapsed="false">
      <c r="A1045" s="1" t="s">
        <v>3165</v>
      </c>
      <c r="B1045" s="1" t="s">
        <v>385</v>
      </c>
      <c r="C1045" s="1" t="s">
        <v>510</v>
      </c>
      <c r="D1045" s="1" t="s">
        <v>362</v>
      </c>
      <c r="E1045" s="6" t="n">
        <v>46077</v>
      </c>
      <c r="F1045" s="6" t="n">
        <v>46073</v>
      </c>
      <c r="G1045" s="1" t="s">
        <v>70</v>
      </c>
      <c r="H1045" s="1" t="s">
        <v>1081</v>
      </c>
      <c r="I1045" s="1" t="s">
        <v>3166</v>
      </c>
      <c r="J1045" s="1" t="n">
        <v>17013.95</v>
      </c>
      <c r="K1045" s="1" t="n">
        <v>12263.75</v>
      </c>
      <c r="L1045" s="1" t="n">
        <v>0</v>
      </c>
      <c r="M1045" s="1" t="n">
        <v>12263.75</v>
      </c>
      <c r="N1045" s="1" t="s">
        <v>52</v>
      </c>
      <c r="O1045" s="1" t="s">
        <v>53</v>
      </c>
      <c r="P1045" s="1" t="n">
        <v>1</v>
      </c>
      <c r="Q1045" s="1" t="s">
        <v>63</v>
      </c>
      <c r="R1045" s="1" t="s">
        <v>43</v>
      </c>
    </row>
    <row r="1046" customFormat="false" ht="14.25" hidden="false" customHeight="true" outlineLevel="0" collapsed="false">
      <c r="A1046" s="1" t="s">
        <v>3167</v>
      </c>
      <c r="B1046" s="1" t="s">
        <v>3168</v>
      </c>
      <c r="C1046" s="1" t="s">
        <v>136</v>
      </c>
      <c r="D1046" s="1" t="s">
        <v>69</v>
      </c>
      <c r="E1046" s="6" t="n">
        <v>46052</v>
      </c>
      <c r="F1046" s="6" t="n">
        <v>46050</v>
      </c>
      <c r="G1046" s="1" t="s">
        <v>108</v>
      </c>
      <c r="H1046" s="1" t="s">
        <v>775</v>
      </c>
      <c r="I1046" s="1" t="s">
        <v>3169</v>
      </c>
      <c r="J1046" s="1" t="n">
        <v>10513.71</v>
      </c>
      <c r="K1046" s="1" t="n">
        <v>7517.08</v>
      </c>
      <c r="L1046" s="1" t="n">
        <v>0</v>
      </c>
      <c r="M1046" s="1" t="n">
        <v>7517.08</v>
      </c>
      <c r="N1046" s="1" t="s">
        <v>52</v>
      </c>
      <c r="O1046" s="1" t="s">
        <v>230</v>
      </c>
      <c r="P1046" s="1" t="n">
        <v>3</v>
      </c>
      <c r="Q1046" s="1" t="s">
        <v>63</v>
      </c>
      <c r="R1046" s="1" t="s">
        <v>125</v>
      </c>
    </row>
    <row r="1047" customFormat="false" ht="14.25" hidden="false" customHeight="true" outlineLevel="0" collapsed="false">
      <c r="A1047" s="1" t="s">
        <v>3170</v>
      </c>
      <c r="B1047" s="1" t="s">
        <v>435</v>
      </c>
      <c r="C1047" s="1" t="s">
        <v>310</v>
      </c>
      <c r="D1047" s="1" t="s">
        <v>122</v>
      </c>
      <c r="E1047" s="6" t="n">
        <v>46104</v>
      </c>
      <c r="F1047" s="6" t="n">
        <v>46104</v>
      </c>
      <c r="G1047" s="1" t="s">
        <v>108</v>
      </c>
      <c r="H1047" s="1" t="s">
        <v>628</v>
      </c>
      <c r="I1047" s="1" t="s">
        <v>3171</v>
      </c>
      <c r="J1047" s="1" t="n">
        <v>31228.15</v>
      </c>
      <c r="K1047" s="1" t="n">
        <v>29223.9</v>
      </c>
      <c r="L1047" s="1" t="n">
        <v>23011.53</v>
      </c>
      <c r="M1047" s="1" t="n">
        <v>6212.37</v>
      </c>
      <c r="N1047" s="1" t="s">
        <v>41</v>
      </c>
      <c r="P1047" s="1" t="n">
        <v>2</v>
      </c>
      <c r="Q1047" s="1" t="s">
        <v>155</v>
      </c>
      <c r="R1047" s="1" t="s">
        <v>43</v>
      </c>
      <c r="S1047" s="6" t="n">
        <v>46106</v>
      </c>
    </row>
    <row r="1048" customFormat="false" ht="14.25" hidden="false" customHeight="true" outlineLevel="0" collapsed="false">
      <c r="A1048" s="1" t="s">
        <v>3172</v>
      </c>
      <c r="B1048" s="1" t="s">
        <v>220</v>
      </c>
      <c r="C1048" s="1" t="s">
        <v>273</v>
      </c>
      <c r="D1048" s="1" t="s">
        <v>1929</v>
      </c>
      <c r="E1048" s="6" t="n">
        <v>46125</v>
      </c>
      <c r="F1048" s="6" t="n">
        <v>46121</v>
      </c>
      <c r="G1048" s="1" t="s">
        <v>108</v>
      </c>
      <c r="H1048" s="1" t="s">
        <v>3173</v>
      </c>
      <c r="I1048" s="1" t="s">
        <v>3174</v>
      </c>
      <c r="J1048" s="1" t="n">
        <v>49880.88</v>
      </c>
      <c r="K1048" s="1" t="n">
        <v>42838.88</v>
      </c>
      <c r="L1048" s="1" t="n">
        <v>37738.07</v>
      </c>
      <c r="M1048" s="1" t="n">
        <v>5100.81</v>
      </c>
      <c r="N1048" s="1" t="s">
        <v>41</v>
      </c>
      <c r="P1048" s="1" t="n">
        <v>1</v>
      </c>
      <c r="Q1048" s="1" t="s">
        <v>155</v>
      </c>
      <c r="R1048" s="1" t="s">
        <v>140</v>
      </c>
      <c r="S1048" s="6" t="n">
        <v>46126</v>
      </c>
    </row>
    <row r="1049" customFormat="false" ht="14.25" hidden="false" customHeight="true" outlineLevel="0" collapsed="false">
      <c r="A1049" s="1" t="s">
        <v>3175</v>
      </c>
      <c r="B1049" s="1" t="s">
        <v>778</v>
      </c>
      <c r="C1049" s="1" t="s">
        <v>310</v>
      </c>
      <c r="D1049" s="1" t="s">
        <v>387</v>
      </c>
      <c r="E1049" s="6" t="n">
        <v>46158</v>
      </c>
      <c r="F1049" s="6" t="n">
        <v>46154</v>
      </c>
      <c r="G1049" s="1" t="s">
        <v>49</v>
      </c>
      <c r="H1049" s="1" t="s">
        <v>3176</v>
      </c>
      <c r="I1049" s="1" t="s">
        <v>3177</v>
      </c>
      <c r="J1049" s="1" t="n">
        <v>38465.8</v>
      </c>
      <c r="K1049" s="1" t="n">
        <v>29643.98</v>
      </c>
      <c r="L1049" s="1" t="n">
        <v>28830.14</v>
      </c>
      <c r="M1049" s="1" t="n">
        <v>813.84</v>
      </c>
      <c r="N1049" s="1" t="s">
        <v>41</v>
      </c>
      <c r="P1049" s="1" t="n">
        <v>6</v>
      </c>
      <c r="Q1049" s="1" t="s">
        <v>42</v>
      </c>
      <c r="R1049" s="1" t="s">
        <v>64</v>
      </c>
      <c r="S1049" s="6" t="n">
        <v>46164</v>
      </c>
    </row>
    <row r="1050" customFormat="false" ht="14.25" hidden="false" customHeight="true" outlineLevel="0" collapsed="false">
      <c r="A1050" s="1" t="s">
        <v>3178</v>
      </c>
      <c r="B1050" s="1" t="s">
        <v>440</v>
      </c>
      <c r="C1050" s="1" t="s">
        <v>215</v>
      </c>
      <c r="D1050" s="1" t="s">
        <v>964</v>
      </c>
      <c r="E1050" s="6" t="n">
        <v>46132</v>
      </c>
      <c r="F1050" s="6" t="n">
        <v>46129</v>
      </c>
      <c r="G1050" s="1" t="s">
        <v>70</v>
      </c>
      <c r="H1050" s="1" t="s">
        <v>3179</v>
      </c>
      <c r="I1050" s="1" t="s">
        <v>3180</v>
      </c>
      <c r="J1050" s="1" t="n">
        <v>14337.14</v>
      </c>
      <c r="K1050" s="1" t="n">
        <v>13029.27</v>
      </c>
      <c r="L1050" s="1" t="n">
        <v>10222.18</v>
      </c>
      <c r="M1050" s="1" t="n">
        <v>2807.09</v>
      </c>
      <c r="N1050" s="1" t="s">
        <v>41</v>
      </c>
      <c r="P1050" s="1" t="n">
        <v>6</v>
      </c>
      <c r="Q1050" s="1" t="s">
        <v>42</v>
      </c>
      <c r="R1050" s="1" t="s">
        <v>64</v>
      </c>
      <c r="S1050" s="6" t="n">
        <v>46138</v>
      </c>
    </row>
    <row r="1051" customFormat="false" ht="14.25" hidden="false" customHeight="true" outlineLevel="0" collapsed="false">
      <c r="A1051" s="1" t="s">
        <v>3181</v>
      </c>
      <c r="B1051" s="1" t="s">
        <v>1617</v>
      </c>
      <c r="C1051" s="1" t="s">
        <v>158</v>
      </c>
      <c r="D1051" s="1" t="s">
        <v>116</v>
      </c>
      <c r="E1051" s="6" t="n">
        <v>46133</v>
      </c>
      <c r="F1051" s="6" t="n">
        <v>46131</v>
      </c>
      <c r="G1051" s="1" t="s">
        <v>108</v>
      </c>
      <c r="H1051" s="1" t="s">
        <v>1922</v>
      </c>
      <c r="I1051" s="1" t="s">
        <v>3182</v>
      </c>
      <c r="J1051" s="1" t="n">
        <v>16207.7</v>
      </c>
      <c r="K1051" s="1" t="n">
        <v>14000.26</v>
      </c>
      <c r="L1051" s="1" t="n">
        <v>0</v>
      </c>
      <c r="M1051" s="1" t="n">
        <v>14000.26</v>
      </c>
      <c r="N1051" s="1" t="s">
        <v>52</v>
      </c>
      <c r="O1051" s="1" t="s">
        <v>265</v>
      </c>
      <c r="P1051" s="1" t="n">
        <v>5</v>
      </c>
      <c r="Q1051" s="1" t="s">
        <v>63</v>
      </c>
      <c r="R1051" s="1" t="s">
        <v>54</v>
      </c>
    </row>
    <row r="1052" customFormat="false" ht="14.25" hidden="false" customHeight="true" outlineLevel="0" collapsed="false">
      <c r="A1052" s="1" t="s">
        <v>3183</v>
      </c>
      <c r="B1052" s="1" t="s">
        <v>582</v>
      </c>
      <c r="C1052" s="1" t="s">
        <v>686</v>
      </c>
      <c r="D1052" s="1" t="s">
        <v>855</v>
      </c>
      <c r="E1052" s="6" t="n">
        <v>46057</v>
      </c>
      <c r="F1052" s="6" t="n">
        <v>46057</v>
      </c>
      <c r="G1052" s="1" t="s">
        <v>38</v>
      </c>
      <c r="H1052" s="1" t="s">
        <v>3184</v>
      </c>
      <c r="I1052" s="1" t="s">
        <v>3185</v>
      </c>
      <c r="J1052" s="1" t="n">
        <v>2622.31</v>
      </c>
      <c r="K1052" s="1" t="n">
        <v>2335.13</v>
      </c>
      <c r="L1052" s="1" t="n">
        <v>0</v>
      </c>
      <c r="M1052" s="1" t="n">
        <v>2335.13</v>
      </c>
      <c r="N1052" s="1" t="s">
        <v>52</v>
      </c>
      <c r="O1052" s="1" t="s">
        <v>265</v>
      </c>
      <c r="P1052" s="1" t="n">
        <v>6</v>
      </c>
      <c r="Q1052" s="1" t="s">
        <v>63</v>
      </c>
      <c r="R1052" s="1" t="s">
        <v>125</v>
      </c>
    </row>
    <row r="1053" customFormat="false" ht="14.25" hidden="false" customHeight="true" outlineLevel="0" collapsed="false">
      <c r="A1053" s="1" t="s">
        <v>3186</v>
      </c>
      <c r="B1053" s="1" t="s">
        <v>1408</v>
      </c>
      <c r="C1053" s="1" t="s">
        <v>361</v>
      </c>
      <c r="D1053" s="1" t="s">
        <v>216</v>
      </c>
      <c r="E1053" s="6" t="n">
        <v>46104</v>
      </c>
      <c r="F1053" s="6" t="n">
        <v>46104</v>
      </c>
      <c r="G1053" s="1" t="s">
        <v>108</v>
      </c>
      <c r="H1053" s="1" t="s">
        <v>2955</v>
      </c>
      <c r="I1053" s="1" t="s">
        <v>3187</v>
      </c>
      <c r="J1053" s="1" t="n">
        <v>16536.84</v>
      </c>
      <c r="K1053" s="1" t="n">
        <v>13132.88</v>
      </c>
      <c r="L1053" s="1" t="n">
        <v>11562.8</v>
      </c>
      <c r="M1053" s="1" t="n">
        <v>1570.08</v>
      </c>
      <c r="N1053" s="1" t="s">
        <v>41</v>
      </c>
      <c r="P1053" s="1" t="n">
        <v>7</v>
      </c>
      <c r="Q1053" s="1" t="s">
        <v>63</v>
      </c>
      <c r="R1053" s="1" t="s">
        <v>125</v>
      </c>
      <c r="S1053" s="6" t="n">
        <v>46111</v>
      </c>
    </row>
    <row r="1054" customFormat="false" ht="14.25" hidden="false" customHeight="true" outlineLevel="0" collapsed="false">
      <c r="A1054" s="1" t="s">
        <v>3188</v>
      </c>
      <c r="B1054" s="1" t="s">
        <v>1159</v>
      </c>
      <c r="C1054" s="1" t="s">
        <v>296</v>
      </c>
      <c r="D1054" s="1" t="s">
        <v>1128</v>
      </c>
      <c r="E1054" s="6" t="n">
        <v>46160</v>
      </c>
      <c r="F1054" s="6" t="n">
        <v>46156</v>
      </c>
      <c r="G1054" s="1" t="s">
        <v>38</v>
      </c>
      <c r="H1054" s="1" t="s">
        <v>1208</v>
      </c>
      <c r="I1054" s="1" t="s">
        <v>3189</v>
      </c>
      <c r="J1054" s="1" t="n">
        <v>19598.37</v>
      </c>
      <c r="K1054" s="1" t="n">
        <v>16384.02</v>
      </c>
      <c r="L1054" s="1" t="n">
        <v>0</v>
      </c>
      <c r="M1054" s="1" t="n">
        <v>16384.02</v>
      </c>
      <c r="N1054" s="1" t="s">
        <v>111</v>
      </c>
      <c r="P1054" s="1" t="n">
        <v>15</v>
      </c>
      <c r="Q1054" s="1" t="s">
        <v>42</v>
      </c>
      <c r="R1054" s="1" t="s">
        <v>125</v>
      </c>
    </row>
    <row r="1055" customFormat="false" ht="14.25" hidden="false" customHeight="true" outlineLevel="0" collapsed="false">
      <c r="A1055" s="1" t="s">
        <v>3190</v>
      </c>
      <c r="B1055" s="1" t="s">
        <v>3191</v>
      </c>
      <c r="C1055" s="1" t="s">
        <v>115</v>
      </c>
      <c r="D1055" s="1" t="s">
        <v>964</v>
      </c>
      <c r="E1055" s="6" t="n">
        <v>46140</v>
      </c>
      <c r="F1055" s="6" t="n">
        <v>46135</v>
      </c>
      <c r="G1055" s="1" t="s">
        <v>38</v>
      </c>
      <c r="H1055" s="1" t="s">
        <v>1540</v>
      </c>
      <c r="I1055" s="1" t="s">
        <v>3192</v>
      </c>
      <c r="J1055" s="1" t="n">
        <v>32335.71</v>
      </c>
      <c r="K1055" s="1" t="n">
        <v>22470.45</v>
      </c>
      <c r="L1055" s="1" t="n">
        <v>0</v>
      </c>
      <c r="M1055" s="1" t="n">
        <v>22470.45</v>
      </c>
      <c r="N1055" s="1" t="s">
        <v>52</v>
      </c>
      <c r="O1055" s="1" t="s">
        <v>265</v>
      </c>
      <c r="P1055" s="1" t="n">
        <v>1</v>
      </c>
      <c r="Q1055" s="1" t="s">
        <v>155</v>
      </c>
      <c r="R1055" s="1" t="s">
        <v>54</v>
      </c>
    </row>
    <row r="1056" customFormat="false" ht="14.25" hidden="false" customHeight="true" outlineLevel="0" collapsed="false">
      <c r="A1056" s="1" t="s">
        <v>3193</v>
      </c>
      <c r="B1056" s="1" t="s">
        <v>752</v>
      </c>
      <c r="C1056" s="1" t="s">
        <v>686</v>
      </c>
      <c r="D1056" s="1" t="s">
        <v>984</v>
      </c>
      <c r="E1056" s="6" t="n">
        <v>46158</v>
      </c>
      <c r="F1056" s="6" t="n">
        <v>46157</v>
      </c>
      <c r="G1056" s="1" t="s">
        <v>38</v>
      </c>
      <c r="H1056" s="1" t="s">
        <v>437</v>
      </c>
      <c r="I1056" s="1" t="s">
        <v>3194</v>
      </c>
      <c r="J1056" s="1" t="n">
        <v>9057.26</v>
      </c>
      <c r="K1056" s="1" t="n">
        <v>7363.64</v>
      </c>
      <c r="L1056" s="1" t="n">
        <v>0</v>
      </c>
      <c r="M1056" s="1" t="n">
        <v>7363.64</v>
      </c>
      <c r="N1056" s="1" t="s">
        <v>52</v>
      </c>
      <c r="O1056" s="1" t="s">
        <v>265</v>
      </c>
      <c r="P1056" s="1" t="n">
        <v>2</v>
      </c>
      <c r="Q1056" s="1" t="s">
        <v>42</v>
      </c>
      <c r="R1056" s="1" t="s">
        <v>54</v>
      </c>
    </row>
    <row r="1057" customFormat="false" ht="14.25" hidden="false" customHeight="true" outlineLevel="0" collapsed="false">
      <c r="A1057" s="1" t="s">
        <v>3195</v>
      </c>
      <c r="B1057" s="1" t="s">
        <v>480</v>
      </c>
      <c r="C1057" s="1" t="s">
        <v>198</v>
      </c>
      <c r="D1057" s="1" t="s">
        <v>274</v>
      </c>
      <c r="E1057" s="6" t="n">
        <v>46185</v>
      </c>
      <c r="F1057" s="6" t="n">
        <v>46183</v>
      </c>
      <c r="G1057" s="1" t="s">
        <v>70</v>
      </c>
      <c r="H1057" s="1" t="s">
        <v>166</v>
      </c>
      <c r="I1057" s="1" t="s">
        <v>3196</v>
      </c>
      <c r="J1057" s="1" t="n">
        <v>3419.73</v>
      </c>
      <c r="K1057" s="1" t="n">
        <v>2980.26</v>
      </c>
      <c r="L1057" s="1" t="n">
        <v>0</v>
      </c>
      <c r="M1057" s="1" t="n">
        <v>2980.26</v>
      </c>
      <c r="N1057" s="1" t="s">
        <v>111</v>
      </c>
      <c r="P1057" s="1" t="n">
        <v>5</v>
      </c>
      <c r="Q1057" s="1" t="s">
        <v>155</v>
      </c>
      <c r="R1057" s="1" t="s">
        <v>74</v>
      </c>
    </row>
    <row r="1058" customFormat="false" ht="14.25" hidden="false" customHeight="true" outlineLevel="0" collapsed="false">
      <c r="A1058" s="1" t="s">
        <v>3197</v>
      </c>
      <c r="B1058" s="1" t="s">
        <v>256</v>
      </c>
      <c r="C1058" s="1" t="s">
        <v>68</v>
      </c>
      <c r="D1058" s="1" t="s">
        <v>216</v>
      </c>
      <c r="E1058" s="6" t="n">
        <v>46167</v>
      </c>
      <c r="F1058" s="6" t="n">
        <v>46164</v>
      </c>
      <c r="G1058" s="1" t="s">
        <v>70</v>
      </c>
      <c r="H1058" s="1" t="s">
        <v>3198</v>
      </c>
      <c r="I1058" s="1" t="s">
        <v>3199</v>
      </c>
      <c r="J1058" s="1" t="n">
        <v>26859.4</v>
      </c>
      <c r="K1058" s="1" t="n">
        <v>23638.43</v>
      </c>
      <c r="L1058" s="1" t="n">
        <v>20116.45</v>
      </c>
      <c r="M1058" s="1" t="n">
        <v>3521.98</v>
      </c>
      <c r="N1058" s="1" t="s">
        <v>41</v>
      </c>
      <c r="P1058" s="1" t="n">
        <v>2</v>
      </c>
      <c r="Q1058" s="1" t="s">
        <v>63</v>
      </c>
      <c r="R1058" s="1" t="s">
        <v>102</v>
      </c>
      <c r="S1058" s="6" t="n">
        <v>46169</v>
      </c>
    </row>
    <row r="1059" customFormat="false" ht="14.25" hidden="false" customHeight="true" outlineLevel="0" collapsed="false">
      <c r="A1059" s="1" t="s">
        <v>3200</v>
      </c>
      <c r="B1059" s="1" t="s">
        <v>528</v>
      </c>
      <c r="C1059" s="1" t="s">
        <v>296</v>
      </c>
      <c r="D1059" s="1" t="s">
        <v>382</v>
      </c>
      <c r="E1059" s="6" t="n">
        <v>46216</v>
      </c>
      <c r="F1059" s="6" t="n">
        <v>46214</v>
      </c>
      <c r="G1059" s="1" t="s">
        <v>108</v>
      </c>
      <c r="H1059" s="1" t="s">
        <v>3201</v>
      </c>
      <c r="I1059" s="1" t="s">
        <v>3202</v>
      </c>
      <c r="J1059" s="1" t="n">
        <v>13648.7</v>
      </c>
      <c r="K1059" s="1" t="n">
        <v>9427.16</v>
      </c>
      <c r="L1059" s="1" t="n">
        <v>7435.09</v>
      </c>
      <c r="M1059" s="1" t="n">
        <v>1992.07</v>
      </c>
      <c r="N1059" s="1" t="s">
        <v>41</v>
      </c>
      <c r="P1059" s="1" t="n">
        <v>1</v>
      </c>
      <c r="Q1059" s="1" t="s">
        <v>63</v>
      </c>
      <c r="R1059" s="1" t="s">
        <v>74</v>
      </c>
      <c r="S1059" s="6" t="n">
        <v>46217</v>
      </c>
    </row>
    <row r="1060" customFormat="false" ht="14.25" hidden="false" customHeight="true" outlineLevel="0" collapsed="false">
      <c r="A1060" s="1" t="s">
        <v>3203</v>
      </c>
      <c r="B1060" s="1" t="s">
        <v>2099</v>
      </c>
      <c r="C1060" s="1" t="s">
        <v>367</v>
      </c>
      <c r="D1060" s="1" t="s">
        <v>239</v>
      </c>
      <c r="E1060" s="6" t="n">
        <v>46165</v>
      </c>
      <c r="F1060" s="6" t="n">
        <v>46164</v>
      </c>
      <c r="G1060" s="1" t="s">
        <v>49</v>
      </c>
      <c r="H1060" s="1" t="s">
        <v>3204</v>
      </c>
      <c r="I1060" s="1" t="s">
        <v>3205</v>
      </c>
      <c r="J1060" s="1" t="n">
        <v>19928.53</v>
      </c>
      <c r="K1060" s="1" t="n">
        <v>16238.01</v>
      </c>
      <c r="L1060" s="1" t="n">
        <v>0</v>
      </c>
      <c r="M1060" s="1" t="n">
        <v>16238.01</v>
      </c>
      <c r="N1060" s="1" t="s">
        <v>111</v>
      </c>
      <c r="P1060" s="1" t="n">
        <v>6</v>
      </c>
      <c r="Q1060" s="1" t="s">
        <v>63</v>
      </c>
      <c r="R1060" s="1" t="s">
        <v>74</v>
      </c>
    </row>
    <row r="1061" customFormat="false" ht="14.25" hidden="false" customHeight="true" outlineLevel="0" collapsed="false">
      <c r="A1061" s="1" t="s">
        <v>3206</v>
      </c>
      <c r="B1061" s="1" t="s">
        <v>226</v>
      </c>
      <c r="C1061" s="1" t="s">
        <v>386</v>
      </c>
      <c r="D1061" s="1" t="s">
        <v>216</v>
      </c>
      <c r="E1061" s="6" t="n">
        <v>46079</v>
      </c>
      <c r="F1061" s="6" t="n">
        <v>46078</v>
      </c>
      <c r="G1061" s="1" t="s">
        <v>38</v>
      </c>
      <c r="H1061" s="1" t="s">
        <v>3207</v>
      </c>
      <c r="I1061" s="1" t="s">
        <v>3208</v>
      </c>
      <c r="J1061" s="1" t="n">
        <v>36001.12</v>
      </c>
      <c r="K1061" s="1" t="n">
        <v>25747.32</v>
      </c>
      <c r="L1061" s="1" t="n">
        <v>22943.98</v>
      </c>
      <c r="M1061" s="1" t="n">
        <v>2803.34</v>
      </c>
      <c r="N1061" s="1" t="s">
        <v>41</v>
      </c>
      <c r="P1061" s="1" t="n">
        <v>3</v>
      </c>
      <c r="Q1061" s="1" t="s">
        <v>42</v>
      </c>
      <c r="R1061" s="1" t="s">
        <v>43</v>
      </c>
      <c r="S1061" s="6" t="n">
        <v>46082</v>
      </c>
    </row>
    <row r="1062" customFormat="false" ht="14.25" hidden="false" customHeight="true" outlineLevel="0" collapsed="false">
      <c r="A1062" s="1" t="s">
        <v>3209</v>
      </c>
      <c r="B1062" s="1" t="s">
        <v>2510</v>
      </c>
      <c r="C1062" s="1" t="s">
        <v>286</v>
      </c>
      <c r="D1062" s="1" t="s">
        <v>116</v>
      </c>
      <c r="E1062" s="6" t="n">
        <v>46066</v>
      </c>
      <c r="F1062" s="6" t="n">
        <v>46066</v>
      </c>
      <c r="G1062" s="1" t="s">
        <v>38</v>
      </c>
      <c r="H1062" s="1" t="s">
        <v>3210</v>
      </c>
      <c r="I1062" s="1" t="s">
        <v>3211</v>
      </c>
      <c r="J1062" s="1" t="n">
        <v>40070.45</v>
      </c>
      <c r="K1062" s="1" t="n">
        <v>33946.65</v>
      </c>
      <c r="L1062" s="1" t="n">
        <v>0</v>
      </c>
      <c r="M1062" s="1" t="n">
        <v>33946.65</v>
      </c>
      <c r="N1062" s="1" t="s">
        <v>111</v>
      </c>
      <c r="P1062" s="1" t="n">
        <v>13</v>
      </c>
      <c r="Q1062" s="1" t="s">
        <v>155</v>
      </c>
      <c r="R1062" s="1" t="s">
        <v>140</v>
      </c>
    </row>
    <row r="1063" customFormat="false" ht="14.25" hidden="false" customHeight="true" outlineLevel="0" collapsed="false">
      <c r="A1063" s="1" t="s">
        <v>3212</v>
      </c>
      <c r="B1063" s="1" t="s">
        <v>2637</v>
      </c>
      <c r="C1063" s="1" t="s">
        <v>468</v>
      </c>
      <c r="D1063" s="1" t="s">
        <v>607</v>
      </c>
      <c r="E1063" s="6" t="n">
        <v>46111</v>
      </c>
      <c r="F1063" s="6" t="n">
        <v>46106</v>
      </c>
      <c r="G1063" s="1" t="s">
        <v>70</v>
      </c>
      <c r="H1063" s="1" t="s">
        <v>718</v>
      </c>
      <c r="I1063" s="1" t="s">
        <v>3213</v>
      </c>
      <c r="J1063" s="1" t="n">
        <v>48225.5</v>
      </c>
      <c r="K1063" s="1" t="n">
        <v>42766.64</v>
      </c>
      <c r="L1063" s="1" t="n">
        <v>41223.82</v>
      </c>
      <c r="M1063" s="1" t="n">
        <v>1542.82</v>
      </c>
      <c r="N1063" s="1" t="s">
        <v>41</v>
      </c>
      <c r="P1063" s="1" t="n">
        <v>4</v>
      </c>
      <c r="Q1063" s="1" t="s">
        <v>63</v>
      </c>
      <c r="R1063" s="1" t="s">
        <v>74</v>
      </c>
      <c r="S1063" s="6" t="n">
        <v>46115</v>
      </c>
    </row>
    <row r="1064" customFormat="false" ht="14.25" hidden="false" customHeight="true" outlineLevel="0" collapsed="false">
      <c r="A1064" s="1" t="s">
        <v>3214</v>
      </c>
      <c r="B1064" s="1" t="s">
        <v>589</v>
      </c>
      <c r="C1064" s="1" t="s">
        <v>198</v>
      </c>
      <c r="D1064" s="1" t="s">
        <v>705</v>
      </c>
      <c r="E1064" s="6" t="n">
        <v>46191</v>
      </c>
      <c r="F1064" s="6" t="n">
        <v>46188</v>
      </c>
      <c r="G1064" s="1" t="s">
        <v>70</v>
      </c>
      <c r="H1064" s="1" t="s">
        <v>3215</v>
      </c>
      <c r="I1064" s="1" t="s">
        <v>3216</v>
      </c>
      <c r="J1064" s="1" t="n">
        <v>44184.06</v>
      </c>
      <c r="K1064" s="1" t="n">
        <v>31620.76</v>
      </c>
      <c r="L1064" s="1" t="n">
        <v>0</v>
      </c>
      <c r="M1064" s="1" t="n">
        <v>31620.76</v>
      </c>
      <c r="N1064" s="1" t="s">
        <v>111</v>
      </c>
      <c r="P1064" s="1" t="n">
        <v>10</v>
      </c>
      <c r="Q1064" s="1" t="s">
        <v>42</v>
      </c>
      <c r="R1064" s="1" t="s">
        <v>125</v>
      </c>
    </row>
    <row r="1065" customFormat="false" ht="14.25" hidden="false" customHeight="true" outlineLevel="0" collapsed="false">
      <c r="A1065" s="1" t="s">
        <v>3217</v>
      </c>
      <c r="B1065" s="1" t="s">
        <v>1995</v>
      </c>
      <c r="C1065" s="1" t="s">
        <v>300</v>
      </c>
      <c r="D1065" s="1" t="s">
        <v>93</v>
      </c>
      <c r="E1065" s="6" t="n">
        <v>46224</v>
      </c>
      <c r="F1065" s="6" t="n">
        <v>46221</v>
      </c>
      <c r="G1065" s="1" t="s">
        <v>38</v>
      </c>
      <c r="H1065" s="1" t="s">
        <v>2919</v>
      </c>
      <c r="I1065" s="1" t="s">
        <v>3218</v>
      </c>
      <c r="J1065" s="1" t="n">
        <v>36388.97</v>
      </c>
      <c r="K1065" s="1" t="n">
        <v>25622.86</v>
      </c>
      <c r="L1065" s="1" t="n">
        <v>0</v>
      </c>
      <c r="M1065" s="1" t="n">
        <v>25622.86</v>
      </c>
      <c r="N1065" s="1" t="s">
        <v>111</v>
      </c>
      <c r="P1065" s="1" t="n">
        <v>11</v>
      </c>
      <c r="Q1065" s="1" t="s">
        <v>63</v>
      </c>
      <c r="R1065" s="1" t="s">
        <v>54</v>
      </c>
    </row>
    <row r="1066" customFormat="false" ht="14.25" hidden="false" customHeight="true" outlineLevel="0" collapsed="false">
      <c r="A1066" s="1" t="s">
        <v>3219</v>
      </c>
      <c r="B1066" s="1" t="s">
        <v>611</v>
      </c>
      <c r="C1066" s="1" t="s">
        <v>510</v>
      </c>
      <c r="D1066" s="1" t="s">
        <v>635</v>
      </c>
      <c r="E1066" s="6" t="n">
        <v>46064</v>
      </c>
      <c r="F1066" s="6" t="n">
        <v>46064</v>
      </c>
      <c r="G1066" s="1" t="s">
        <v>70</v>
      </c>
      <c r="H1066" s="1" t="s">
        <v>3220</v>
      </c>
      <c r="I1066" s="1" t="s">
        <v>3221</v>
      </c>
      <c r="J1066" s="1" t="n">
        <v>33502.67</v>
      </c>
      <c r="K1066" s="1" t="n">
        <v>27765.97</v>
      </c>
      <c r="L1066" s="1" t="n">
        <v>26098.25</v>
      </c>
      <c r="M1066" s="1" t="n">
        <v>1667.72</v>
      </c>
      <c r="N1066" s="1" t="s">
        <v>41</v>
      </c>
      <c r="P1066" s="1" t="n">
        <v>8</v>
      </c>
      <c r="Q1066" s="1" t="s">
        <v>155</v>
      </c>
      <c r="R1066" s="1" t="s">
        <v>140</v>
      </c>
      <c r="S1066" s="6" t="n">
        <v>46072</v>
      </c>
    </row>
    <row r="1067" customFormat="false" ht="14.25" hidden="false" customHeight="true" outlineLevel="0" collapsed="false">
      <c r="A1067" s="1" t="s">
        <v>3222</v>
      </c>
      <c r="B1067" s="1" t="s">
        <v>238</v>
      </c>
      <c r="C1067" s="1" t="s">
        <v>468</v>
      </c>
      <c r="D1067" s="1" t="s">
        <v>732</v>
      </c>
      <c r="E1067" s="6" t="n">
        <v>46061</v>
      </c>
      <c r="F1067" s="6" t="n">
        <v>46061</v>
      </c>
      <c r="G1067" s="1" t="s">
        <v>38</v>
      </c>
      <c r="H1067" s="1" t="s">
        <v>348</v>
      </c>
      <c r="I1067" s="1" t="s">
        <v>3223</v>
      </c>
      <c r="J1067" s="1" t="n">
        <v>37761.07</v>
      </c>
      <c r="K1067" s="1" t="n">
        <v>25661.17</v>
      </c>
      <c r="L1067" s="1" t="n">
        <v>0</v>
      </c>
      <c r="M1067" s="1" t="n">
        <v>25661.17</v>
      </c>
      <c r="N1067" s="1" t="s">
        <v>52</v>
      </c>
      <c r="O1067" s="1" t="s">
        <v>62</v>
      </c>
      <c r="P1067" s="1" t="n">
        <v>6</v>
      </c>
      <c r="Q1067" s="1" t="s">
        <v>63</v>
      </c>
      <c r="R1067" s="1" t="s">
        <v>125</v>
      </c>
    </row>
    <row r="1068" customFormat="false" ht="14.25" hidden="false" customHeight="true" outlineLevel="0" collapsed="false">
      <c r="A1068" s="1" t="s">
        <v>3224</v>
      </c>
      <c r="B1068" s="1" t="s">
        <v>1617</v>
      </c>
      <c r="C1068" s="1" t="s">
        <v>115</v>
      </c>
      <c r="D1068" s="1" t="s">
        <v>137</v>
      </c>
      <c r="E1068" s="6" t="n">
        <v>46167</v>
      </c>
      <c r="F1068" s="6" t="n">
        <v>46164</v>
      </c>
      <c r="G1068" s="1" t="s">
        <v>49</v>
      </c>
      <c r="H1068" s="1" t="s">
        <v>3225</v>
      </c>
      <c r="I1068" s="1" t="s">
        <v>3226</v>
      </c>
      <c r="J1068" s="1" t="n">
        <v>47016.48</v>
      </c>
      <c r="K1068" s="1" t="n">
        <v>43041.12</v>
      </c>
      <c r="L1068" s="1" t="n">
        <v>0</v>
      </c>
      <c r="M1068" s="1" t="n">
        <v>43041.12</v>
      </c>
      <c r="N1068" s="1" t="s">
        <v>111</v>
      </c>
      <c r="P1068" s="1" t="n">
        <v>12</v>
      </c>
      <c r="Q1068" s="1" t="s">
        <v>42</v>
      </c>
      <c r="R1068" s="1" t="s">
        <v>74</v>
      </c>
    </row>
    <row r="1069" customFormat="false" ht="14.25" hidden="false" customHeight="true" outlineLevel="0" collapsed="false">
      <c r="A1069" s="1" t="s">
        <v>3227</v>
      </c>
      <c r="B1069" s="1" t="s">
        <v>2202</v>
      </c>
      <c r="C1069" s="1" t="s">
        <v>182</v>
      </c>
      <c r="D1069" s="1" t="s">
        <v>1029</v>
      </c>
      <c r="E1069" s="6" t="n">
        <v>46212</v>
      </c>
      <c r="F1069" s="6" t="n">
        <v>46207</v>
      </c>
      <c r="G1069" s="1" t="s">
        <v>108</v>
      </c>
      <c r="H1069" s="1" t="s">
        <v>3228</v>
      </c>
      <c r="I1069" s="1" t="s">
        <v>3229</v>
      </c>
      <c r="J1069" s="1" t="n">
        <v>33533.72</v>
      </c>
      <c r="K1069" s="1" t="n">
        <v>25392.04</v>
      </c>
      <c r="L1069" s="1" t="n">
        <v>0</v>
      </c>
      <c r="M1069" s="1" t="n">
        <v>25392.04</v>
      </c>
      <c r="N1069" s="1" t="s">
        <v>52</v>
      </c>
      <c r="O1069" s="1" t="s">
        <v>73</v>
      </c>
      <c r="P1069" s="1" t="n">
        <v>4</v>
      </c>
      <c r="Q1069" s="1" t="s">
        <v>63</v>
      </c>
      <c r="R1069" s="1" t="s">
        <v>102</v>
      </c>
    </row>
    <row r="1070" customFormat="false" ht="14.25" hidden="false" customHeight="true" outlineLevel="0" collapsed="false">
      <c r="A1070" s="1" t="s">
        <v>3230</v>
      </c>
      <c r="B1070" s="1" t="s">
        <v>1165</v>
      </c>
      <c r="C1070" s="1" t="s">
        <v>367</v>
      </c>
      <c r="D1070" s="1" t="s">
        <v>347</v>
      </c>
      <c r="E1070" s="6" t="n">
        <v>46086</v>
      </c>
      <c r="F1070" s="6" t="n">
        <v>46083</v>
      </c>
      <c r="G1070" s="1" t="s">
        <v>108</v>
      </c>
      <c r="H1070" s="1" t="s">
        <v>575</v>
      </c>
      <c r="I1070" s="1" t="s">
        <v>3231</v>
      </c>
      <c r="J1070" s="1" t="n">
        <v>40826.3</v>
      </c>
      <c r="K1070" s="1" t="n">
        <v>37011.31</v>
      </c>
      <c r="L1070" s="1" t="n">
        <v>0</v>
      </c>
      <c r="M1070" s="1" t="n">
        <v>37011.31</v>
      </c>
      <c r="N1070" s="1" t="s">
        <v>111</v>
      </c>
      <c r="P1070" s="1" t="n">
        <v>13</v>
      </c>
      <c r="Q1070" s="1" t="s">
        <v>155</v>
      </c>
      <c r="R1070" s="1" t="s">
        <v>125</v>
      </c>
    </row>
    <row r="1071" customFormat="false" ht="14.25" hidden="false" customHeight="true" outlineLevel="0" collapsed="false">
      <c r="A1071" s="1" t="s">
        <v>3232</v>
      </c>
      <c r="B1071" s="1" t="s">
        <v>1621</v>
      </c>
      <c r="C1071" s="1" t="s">
        <v>310</v>
      </c>
      <c r="D1071" s="1" t="s">
        <v>227</v>
      </c>
      <c r="E1071" s="6" t="n">
        <v>46213</v>
      </c>
      <c r="F1071" s="6" t="n">
        <v>46209</v>
      </c>
      <c r="G1071" s="1" t="s">
        <v>70</v>
      </c>
      <c r="H1071" s="1" t="s">
        <v>2283</v>
      </c>
      <c r="I1071" s="1" t="s">
        <v>3233</v>
      </c>
      <c r="J1071" s="1" t="n">
        <v>43445.83</v>
      </c>
      <c r="K1071" s="1" t="n">
        <v>28537.49</v>
      </c>
      <c r="L1071" s="1" t="n">
        <v>0</v>
      </c>
      <c r="M1071" s="1" t="n">
        <v>28537.49</v>
      </c>
      <c r="N1071" s="1" t="s">
        <v>52</v>
      </c>
      <c r="O1071" s="1" t="s">
        <v>73</v>
      </c>
      <c r="P1071" s="1" t="n">
        <v>3</v>
      </c>
      <c r="Q1071" s="1" t="s">
        <v>155</v>
      </c>
      <c r="R1071" s="1" t="s">
        <v>102</v>
      </c>
    </row>
    <row r="1072" customFormat="false" ht="14.25" hidden="false" customHeight="true" outlineLevel="0" collapsed="false">
      <c r="A1072" s="1" t="s">
        <v>3234</v>
      </c>
      <c r="B1072" s="1" t="s">
        <v>475</v>
      </c>
      <c r="C1072" s="1" t="s">
        <v>459</v>
      </c>
      <c r="D1072" s="1" t="s">
        <v>274</v>
      </c>
      <c r="E1072" s="6" t="n">
        <v>46076</v>
      </c>
      <c r="F1072" s="6" t="n">
        <v>46073</v>
      </c>
      <c r="G1072" s="1" t="s">
        <v>49</v>
      </c>
      <c r="H1072" s="1" t="s">
        <v>1922</v>
      </c>
      <c r="I1072" s="1" t="s">
        <v>3235</v>
      </c>
      <c r="J1072" s="1" t="n">
        <v>43458.92</v>
      </c>
      <c r="K1072" s="1" t="n">
        <v>34915.52</v>
      </c>
      <c r="L1072" s="1" t="n">
        <v>26681.47</v>
      </c>
      <c r="M1072" s="1" t="n">
        <v>8234.05</v>
      </c>
      <c r="N1072" s="1" t="s">
        <v>41</v>
      </c>
      <c r="P1072" s="1" t="n">
        <v>4</v>
      </c>
      <c r="Q1072" s="1" t="s">
        <v>42</v>
      </c>
      <c r="R1072" s="1" t="s">
        <v>64</v>
      </c>
      <c r="S1072" s="6" t="n">
        <v>46080</v>
      </c>
    </row>
    <row r="1073" customFormat="false" ht="14.25" hidden="false" customHeight="true" outlineLevel="0" collapsed="false">
      <c r="A1073" s="1" t="s">
        <v>3236</v>
      </c>
      <c r="B1073" s="1" t="s">
        <v>731</v>
      </c>
      <c r="C1073" s="1" t="s">
        <v>623</v>
      </c>
      <c r="D1073" s="1" t="s">
        <v>99</v>
      </c>
      <c r="E1073" s="6" t="n">
        <v>46150</v>
      </c>
      <c r="F1073" s="6" t="n">
        <v>46150</v>
      </c>
      <c r="G1073" s="1" t="s">
        <v>108</v>
      </c>
      <c r="H1073" s="1" t="s">
        <v>2206</v>
      </c>
      <c r="I1073" s="1" t="s">
        <v>2990</v>
      </c>
      <c r="J1073" s="1" t="n">
        <v>6200.92</v>
      </c>
      <c r="K1073" s="1" t="n">
        <v>4770.65</v>
      </c>
      <c r="L1073" s="1" t="n">
        <v>0</v>
      </c>
      <c r="M1073" s="1" t="n">
        <v>4770.65</v>
      </c>
      <c r="N1073" s="1" t="s">
        <v>111</v>
      </c>
      <c r="P1073" s="1" t="n">
        <v>14</v>
      </c>
      <c r="Q1073" s="1" t="s">
        <v>155</v>
      </c>
      <c r="R1073" s="1" t="s">
        <v>125</v>
      </c>
    </row>
    <row r="1074" customFormat="false" ht="14.25" hidden="false" customHeight="true" outlineLevel="0" collapsed="false">
      <c r="A1074" s="1" t="s">
        <v>3237</v>
      </c>
      <c r="B1074" s="1" t="s">
        <v>238</v>
      </c>
      <c r="C1074" s="1" t="s">
        <v>367</v>
      </c>
      <c r="D1074" s="1" t="s">
        <v>86</v>
      </c>
      <c r="E1074" s="6" t="n">
        <v>46203</v>
      </c>
      <c r="F1074" s="6" t="n">
        <v>46198</v>
      </c>
      <c r="G1074" s="1" t="s">
        <v>108</v>
      </c>
      <c r="H1074" s="1" t="s">
        <v>1651</v>
      </c>
      <c r="I1074" s="1" t="s">
        <v>3238</v>
      </c>
      <c r="J1074" s="1" t="n">
        <v>20800.52</v>
      </c>
      <c r="K1074" s="1" t="n">
        <v>18217.05</v>
      </c>
      <c r="L1074" s="1" t="n">
        <v>0</v>
      </c>
      <c r="M1074" s="1" t="n">
        <v>18217.05</v>
      </c>
      <c r="N1074" s="1" t="s">
        <v>260</v>
      </c>
      <c r="P1074" s="1" t="n">
        <v>3</v>
      </c>
      <c r="Q1074" s="1" t="s">
        <v>63</v>
      </c>
      <c r="R1074" s="1" t="s">
        <v>43</v>
      </c>
    </row>
    <row r="1075" customFormat="false" ht="14.25" hidden="false" customHeight="true" outlineLevel="0" collapsed="false">
      <c r="A1075" s="1" t="s">
        <v>3239</v>
      </c>
      <c r="B1075" s="1" t="s">
        <v>360</v>
      </c>
      <c r="C1075" s="1" t="s">
        <v>623</v>
      </c>
      <c r="D1075" s="1" t="s">
        <v>1628</v>
      </c>
      <c r="E1075" s="6" t="n">
        <v>46050</v>
      </c>
      <c r="F1075" s="6" t="n">
        <v>46049</v>
      </c>
      <c r="G1075" s="1" t="s">
        <v>49</v>
      </c>
      <c r="H1075" s="1" t="s">
        <v>506</v>
      </c>
      <c r="I1075" s="1" t="s">
        <v>3240</v>
      </c>
      <c r="J1075" s="1" t="n">
        <v>2571.63</v>
      </c>
      <c r="K1075" s="1" t="n">
        <v>2147.96</v>
      </c>
      <c r="L1075" s="1" t="n">
        <v>0</v>
      </c>
      <c r="M1075" s="1" t="n">
        <v>2147.96</v>
      </c>
      <c r="N1075" s="1" t="s">
        <v>52</v>
      </c>
      <c r="O1075" s="1" t="s">
        <v>62</v>
      </c>
      <c r="P1075" s="1" t="n">
        <v>1</v>
      </c>
      <c r="Q1075" s="1" t="s">
        <v>42</v>
      </c>
      <c r="R1075" s="1" t="s">
        <v>74</v>
      </c>
    </row>
    <row r="1076" customFormat="false" ht="14.25" hidden="false" customHeight="true" outlineLevel="0" collapsed="false">
      <c r="A1076" s="1" t="s">
        <v>3241</v>
      </c>
      <c r="B1076" s="1" t="s">
        <v>941</v>
      </c>
      <c r="C1076" s="1" t="s">
        <v>413</v>
      </c>
      <c r="D1076" s="1" t="s">
        <v>331</v>
      </c>
      <c r="E1076" s="6" t="n">
        <v>46210</v>
      </c>
      <c r="F1076" s="6" t="n">
        <v>46209</v>
      </c>
      <c r="G1076" s="1" t="s">
        <v>70</v>
      </c>
      <c r="H1076" s="1" t="s">
        <v>3242</v>
      </c>
      <c r="I1076" s="1" t="s">
        <v>560</v>
      </c>
      <c r="J1076" s="1" t="n">
        <v>28808.25</v>
      </c>
      <c r="K1076" s="1" t="n">
        <v>22454.15</v>
      </c>
      <c r="L1076" s="1" t="n">
        <v>18734.13</v>
      </c>
      <c r="M1076" s="1" t="n">
        <v>3720.02</v>
      </c>
      <c r="N1076" s="1" t="s">
        <v>41</v>
      </c>
      <c r="P1076" s="1" t="n">
        <v>1</v>
      </c>
      <c r="Q1076" s="1" t="s">
        <v>155</v>
      </c>
      <c r="R1076" s="1" t="s">
        <v>140</v>
      </c>
      <c r="S1076" s="6" t="n">
        <v>46211</v>
      </c>
    </row>
    <row r="1077" customFormat="false" ht="14.25" hidden="false" customHeight="true" outlineLevel="0" collapsed="false">
      <c r="A1077" s="1" t="s">
        <v>3243</v>
      </c>
      <c r="B1077" s="1" t="s">
        <v>924</v>
      </c>
      <c r="C1077" s="1" t="s">
        <v>158</v>
      </c>
      <c r="D1077" s="1" t="s">
        <v>1628</v>
      </c>
      <c r="E1077" s="6" t="n">
        <v>46220</v>
      </c>
      <c r="F1077" s="6" t="n">
        <v>46218</v>
      </c>
      <c r="G1077" s="1" t="s">
        <v>108</v>
      </c>
      <c r="H1077" s="1" t="s">
        <v>146</v>
      </c>
      <c r="I1077" s="1" t="s">
        <v>2690</v>
      </c>
      <c r="J1077" s="1" t="n">
        <v>4959.97</v>
      </c>
      <c r="K1077" s="1" t="n">
        <v>3257.77</v>
      </c>
      <c r="L1077" s="1" t="n">
        <v>2898.1</v>
      </c>
      <c r="M1077" s="1" t="n">
        <v>359.67</v>
      </c>
      <c r="N1077" s="1" t="s">
        <v>41</v>
      </c>
      <c r="P1077" s="1" t="n">
        <v>7</v>
      </c>
      <c r="Q1077" s="1" t="s">
        <v>155</v>
      </c>
      <c r="R1077" s="1" t="s">
        <v>140</v>
      </c>
      <c r="S1077" s="6" t="n">
        <v>46227</v>
      </c>
    </row>
    <row r="1078" customFormat="false" ht="14.25" hidden="false" customHeight="true" outlineLevel="0" collapsed="false">
      <c r="A1078" s="1" t="s">
        <v>3244</v>
      </c>
      <c r="B1078" s="1" t="s">
        <v>2751</v>
      </c>
      <c r="C1078" s="1" t="s">
        <v>623</v>
      </c>
      <c r="D1078" s="1" t="s">
        <v>717</v>
      </c>
      <c r="E1078" s="6" t="n">
        <v>46177</v>
      </c>
      <c r="F1078" s="6" t="n">
        <v>46175</v>
      </c>
      <c r="G1078" s="1" t="s">
        <v>108</v>
      </c>
      <c r="H1078" s="1" t="s">
        <v>1515</v>
      </c>
      <c r="I1078" s="1" t="s">
        <v>3245</v>
      </c>
      <c r="J1078" s="1" t="n">
        <v>1347.19</v>
      </c>
      <c r="K1078" s="1" t="n">
        <v>1208.39</v>
      </c>
      <c r="L1078" s="1" t="n">
        <v>964.79</v>
      </c>
      <c r="M1078" s="1" t="n">
        <v>243.6</v>
      </c>
      <c r="N1078" s="1" t="s">
        <v>41</v>
      </c>
      <c r="P1078" s="1" t="n">
        <v>6</v>
      </c>
      <c r="Q1078" s="1" t="s">
        <v>155</v>
      </c>
      <c r="R1078" s="1" t="s">
        <v>74</v>
      </c>
      <c r="S1078" s="6" t="n">
        <v>46183</v>
      </c>
    </row>
    <row r="1079" customFormat="false" ht="14.25" hidden="false" customHeight="true" outlineLevel="0" collapsed="false">
      <c r="A1079" s="1" t="s">
        <v>3246</v>
      </c>
      <c r="B1079" s="1" t="s">
        <v>2627</v>
      </c>
      <c r="C1079" s="1" t="s">
        <v>310</v>
      </c>
      <c r="D1079" s="1" t="s">
        <v>189</v>
      </c>
      <c r="E1079" s="6" t="n">
        <v>46197</v>
      </c>
      <c r="F1079" s="6" t="n">
        <v>46193</v>
      </c>
      <c r="G1079" s="1" t="s">
        <v>38</v>
      </c>
      <c r="H1079" s="1" t="s">
        <v>442</v>
      </c>
      <c r="I1079" s="1" t="s">
        <v>3247</v>
      </c>
      <c r="J1079" s="1" t="n">
        <v>6846.06</v>
      </c>
      <c r="K1079" s="1" t="n">
        <v>5876.44</v>
      </c>
      <c r="L1079" s="1" t="n">
        <v>0</v>
      </c>
      <c r="M1079" s="1" t="n">
        <v>5876.44</v>
      </c>
      <c r="N1079" s="1" t="s">
        <v>111</v>
      </c>
      <c r="P1079" s="1" t="n">
        <v>11</v>
      </c>
      <c r="Q1079" s="1" t="s">
        <v>155</v>
      </c>
      <c r="R1079" s="1" t="s">
        <v>102</v>
      </c>
    </row>
    <row r="1080" customFormat="false" ht="14.25" hidden="false" customHeight="true" outlineLevel="0" collapsed="false">
      <c r="A1080" s="1" t="s">
        <v>3248</v>
      </c>
      <c r="B1080" s="1" t="s">
        <v>1528</v>
      </c>
      <c r="C1080" s="1" t="s">
        <v>510</v>
      </c>
      <c r="D1080" s="1" t="s">
        <v>1166</v>
      </c>
      <c r="E1080" s="6" t="n">
        <v>46074</v>
      </c>
      <c r="F1080" s="6" t="n">
        <v>46071</v>
      </c>
      <c r="G1080" s="1" t="s">
        <v>70</v>
      </c>
      <c r="H1080" s="1" t="s">
        <v>1694</v>
      </c>
      <c r="I1080" s="1" t="s">
        <v>3249</v>
      </c>
      <c r="J1080" s="1" t="n">
        <v>27709.9</v>
      </c>
      <c r="K1080" s="1" t="n">
        <v>22497.44</v>
      </c>
      <c r="L1080" s="1" t="n">
        <v>0</v>
      </c>
      <c r="M1080" s="1" t="n">
        <v>22497.44</v>
      </c>
      <c r="N1080" s="1" t="s">
        <v>52</v>
      </c>
      <c r="O1080" s="1" t="s">
        <v>230</v>
      </c>
      <c r="P1080" s="1" t="n">
        <v>7</v>
      </c>
      <c r="Q1080" s="1" t="s">
        <v>155</v>
      </c>
      <c r="R1080" s="1" t="s">
        <v>140</v>
      </c>
    </row>
    <row r="1081" customFormat="false" ht="14.25" hidden="false" customHeight="true" outlineLevel="0" collapsed="false">
      <c r="A1081" s="1" t="s">
        <v>3250</v>
      </c>
      <c r="B1081" s="1" t="s">
        <v>1562</v>
      </c>
      <c r="C1081" s="1" t="s">
        <v>182</v>
      </c>
      <c r="D1081" s="1" t="s">
        <v>441</v>
      </c>
      <c r="E1081" s="6" t="n">
        <v>46146</v>
      </c>
      <c r="F1081" s="6" t="n">
        <v>46146</v>
      </c>
      <c r="G1081" s="1" t="s">
        <v>108</v>
      </c>
      <c r="H1081" s="1" t="s">
        <v>2513</v>
      </c>
      <c r="I1081" s="1" t="s">
        <v>3251</v>
      </c>
      <c r="J1081" s="1" t="n">
        <v>18410.22</v>
      </c>
      <c r="K1081" s="1" t="n">
        <v>12861.12</v>
      </c>
      <c r="L1081" s="1" t="n">
        <v>10387.95</v>
      </c>
      <c r="M1081" s="1" t="n">
        <v>2473.17</v>
      </c>
      <c r="N1081" s="1" t="s">
        <v>41</v>
      </c>
      <c r="P1081" s="1" t="n">
        <v>8</v>
      </c>
      <c r="Q1081" s="1" t="s">
        <v>63</v>
      </c>
      <c r="R1081" s="1" t="s">
        <v>43</v>
      </c>
      <c r="S1081" s="6" t="n">
        <v>46154</v>
      </c>
    </row>
    <row r="1082" customFormat="false" ht="14.25" hidden="false" customHeight="true" outlineLevel="0" collapsed="false">
      <c r="A1082" s="1" t="s">
        <v>3252</v>
      </c>
      <c r="B1082" s="1" t="s">
        <v>135</v>
      </c>
      <c r="C1082" s="1" t="s">
        <v>386</v>
      </c>
      <c r="D1082" s="1" t="s">
        <v>396</v>
      </c>
      <c r="E1082" s="6" t="n">
        <v>46174</v>
      </c>
      <c r="F1082" s="6" t="n">
        <v>46174</v>
      </c>
      <c r="G1082" s="1" t="s">
        <v>38</v>
      </c>
      <c r="H1082" s="1" t="s">
        <v>2001</v>
      </c>
      <c r="I1082" s="1" t="s">
        <v>3253</v>
      </c>
      <c r="J1082" s="1" t="n">
        <v>6934.39</v>
      </c>
      <c r="K1082" s="1" t="n">
        <v>6296.45</v>
      </c>
      <c r="L1082" s="1" t="n">
        <v>5558.27</v>
      </c>
      <c r="M1082" s="1" t="n">
        <v>738.18</v>
      </c>
      <c r="N1082" s="1" t="s">
        <v>41</v>
      </c>
      <c r="P1082" s="1" t="n">
        <v>2</v>
      </c>
      <c r="Q1082" s="1" t="s">
        <v>155</v>
      </c>
      <c r="R1082" s="1" t="s">
        <v>74</v>
      </c>
      <c r="S1082" s="6" t="n">
        <v>46176</v>
      </c>
    </row>
    <row r="1083" customFormat="false" ht="14.25" hidden="false" customHeight="true" outlineLevel="0" collapsed="false">
      <c r="A1083" s="1" t="s">
        <v>3254</v>
      </c>
      <c r="B1083" s="1" t="s">
        <v>193</v>
      </c>
      <c r="C1083" s="1" t="s">
        <v>459</v>
      </c>
      <c r="D1083" s="1" t="s">
        <v>341</v>
      </c>
      <c r="E1083" s="6" t="n">
        <v>46206</v>
      </c>
      <c r="F1083" s="6" t="n">
        <v>46204</v>
      </c>
      <c r="G1083" s="1" t="s">
        <v>49</v>
      </c>
      <c r="H1083" s="1" t="s">
        <v>1540</v>
      </c>
      <c r="I1083" s="1" t="s">
        <v>3255</v>
      </c>
      <c r="J1083" s="1" t="n">
        <v>3403.07</v>
      </c>
      <c r="K1083" s="1" t="n">
        <v>2229.21</v>
      </c>
      <c r="L1083" s="1" t="n">
        <v>1874.31</v>
      </c>
      <c r="M1083" s="1" t="n">
        <v>354.9</v>
      </c>
      <c r="N1083" s="1" t="s">
        <v>41</v>
      </c>
      <c r="P1083" s="1" t="n">
        <v>7</v>
      </c>
      <c r="Q1083" s="1" t="s">
        <v>63</v>
      </c>
      <c r="R1083" s="1" t="s">
        <v>64</v>
      </c>
      <c r="S1083" s="6" t="n">
        <v>46213</v>
      </c>
    </row>
    <row r="1084" customFormat="false" ht="14.25" hidden="false" customHeight="true" outlineLevel="0" collapsed="false">
      <c r="A1084" s="1" t="s">
        <v>3256</v>
      </c>
      <c r="B1084" s="1" t="s">
        <v>976</v>
      </c>
      <c r="C1084" s="1" t="s">
        <v>198</v>
      </c>
      <c r="D1084" s="1" t="s">
        <v>336</v>
      </c>
      <c r="E1084" s="6" t="n">
        <v>46041</v>
      </c>
      <c r="F1084" s="6" t="n">
        <v>46039</v>
      </c>
      <c r="G1084" s="1" t="s">
        <v>49</v>
      </c>
      <c r="H1084" s="1" t="s">
        <v>1293</v>
      </c>
      <c r="I1084" s="1" t="s">
        <v>3257</v>
      </c>
      <c r="J1084" s="1" t="n">
        <v>34014.89</v>
      </c>
      <c r="K1084" s="1" t="n">
        <v>32294.14</v>
      </c>
      <c r="L1084" s="1" t="n">
        <v>27223.72</v>
      </c>
      <c r="M1084" s="1" t="n">
        <v>5070.42</v>
      </c>
      <c r="N1084" s="1" t="s">
        <v>41</v>
      </c>
      <c r="P1084" s="1" t="n">
        <v>7</v>
      </c>
      <c r="Q1084" s="1" t="s">
        <v>155</v>
      </c>
      <c r="R1084" s="1" t="s">
        <v>125</v>
      </c>
      <c r="S1084" s="6" t="n">
        <v>46048</v>
      </c>
    </row>
    <row r="1085" customFormat="false" ht="14.25" hidden="false" customHeight="true" outlineLevel="0" collapsed="false">
      <c r="A1085" s="1" t="s">
        <v>3258</v>
      </c>
      <c r="B1085" s="1" t="s">
        <v>2141</v>
      </c>
      <c r="C1085" s="1" t="s">
        <v>367</v>
      </c>
      <c r="D1085" s="1" t="s">
        <v>152</v>
      </c>
      <c r="E1085" s="6" t="n">
        <v>46232</v>
      </c>
      <c r="F1085" s="6" t="n">
        <v>46230</v>
      </c>
      <c r="G1085" s="1" t="s">
        <v>38</v>
      </c>
      <c r="H1085" s="1" t="s">
        <v>1522</v>
      </c>
      <c r="I1085" s="1" t="s">
        <v>3259</v>
      </c>
      <c r="J1085" s="1" t="n">
        <v>635.24</v>
      </c>
      <c r="K1085" s="1" t="n">
        <v>421.31</v>
      </c>
      <c r="L1085" s="1" t="n">
        <v>322.24</v>
      </c>
      <c r="M1085" s="1" t="n">
        <v>99.07</v>
      </c>
      <c r="N1085" s="1" t="s">
        <v>41</v>
      </c>
      <c r="P1085" s="1" t="n">
        <v>2</v>
      </c>
      <c r="Q1085" s="1" t="s">
        <v>42</v>
      </c>
      <c r="R1085" s="1" t="s">
        <v>140</v>
      </c>
      <c r="S1085" s="6" t="n">
        <v>46234</v>
      </c>
    </row>
    <row r="1086" customFormat="false" ht="14.25" hidden="false" customHeight="true" outlineLevel="0" collapsed="false">
      <c r="A1086" s="1" t="s">
        <v>3260</v>
      </c>
      <c r="B1086" s="1" t="s">
        <v>774</v>
      </c>
      <c r="C1086" s="1" t="s">
        <v>151</v>
      </c>
      <c r="D1086" s="1" t="s">
        <v>234</v>
      </c>
      <c r="E1086" s="6" t="n">
        <v>46051</v>
      </c>
      <c r="F1086" s="6" t="n">
        <v>46048</v>
      </c>
      <c r="G1086" s="1" t="s">
        <v>108</v>
      </c>
      <c r="H1086" s="1" t="s">
        <v>1218</v>
      </c>
      <c r="I1086" s="1" t="s">
        <v>3261</v>
      </c>
      <c r="J1086" s="1" t="n">
        <v>38290.49</v>
      </c>
      <c r="K1086" s="1" t="n">
        <v>25922.44</v>
      </c>
      <c r="L1086" s="1" t="n">
        <v>20490.87</v>
      </c>
      <c r="M1086" s="1" t="n">
        <v>5431.57</v>
      </c>
      <c r="N1086" s="1" t="s">
        <v>41</v>
      </c>
      <c r="P1086" s="1" t="n">
        <v>1</v>
      </c>
      <c r="Q1086" s="1" t="s">
        <v>63</v>
      </c>
      <c r="R1086" s="1" t="s">
        <v>54</v>
      </c>
      <c r="S1086" s="6" t="n">
        <v>46052</v>
      </c>
    </row>
    <row r="1087" customFormat="false" ht="14.25" hidden="false" customHeight="true" outlineLevel="0" collapsed="false">
      <c r="A1087" s="1" t="s">
        <v>3262</v>
      </c>
      <c r="B1087" s="1" t="s">
        <v>1719</v>
      </c>
      <c r="C1087" s="1" t="s">
        <v>36</v>
      </c>
      <c r="D1087" s="1" t="s">
        <v>881</v>
      </c>
      <c r="E1087" s="6" t="n">
        <v>46064</v>
      </c>
      <c r="F1087" s="6" t="n">
        <v>46060</v>
      </c>
      <c r="G1087" s="1" t="s">
        <v>108</v>
      </c>
      <c r="H1087" s="1" t="s">
        <v>1599</v>
      </c>
      <c r="I1087" s="1" t="s">
        <v>3263</v>
      </c>
      <c r="J1087" s="1" t="n">
        <v>36129.73</v>
      </c>
      <c r="K1087" s="1" t="n">
        <v>34043.61</v>
      </c>
      <c r="L1087" s="1" t="n">
        <v>31526.97</v>
      </c>
      <c r="M1087" s="1" t="n">
        <v>2516.64</v>
      </c>
      <c r="N1087" s="1" t="s">
        <v>41</v>
      </c>
      <c r="P1087" s="1" t="n">
        <v>8</v>
      </c>
      <c r="Q1087" s="1" t="s">
        <v>155</v>
      </c>
      <c r="R1087" s="1" t="s">
        <v>140</v>
      </c>
      <c r="S1087" s="6" t="n">
        <v>46072</v>
      </c>
    </row>
    <row r="1088" customFormat="false" ht="14.25" hidden="false" customHeight="true" outlineLevel="0" collapsed="false">
      <c r="A1088" s="1" t="s">
        <v>3264</v>
      </c>
      <c r="B1088" s="1" t="s">
        <v>704</v>
      </c>
      <c r="C1088" s="1" t="s">
        <v>233</v>
      </c>
      <c r="D1088" s="1" t="s">
        <v>712</v>
      </c>
      <c r="E1088" s="6" t="n">
        <v>46039</v>
      </c>
      <c r="F1088" s="6" t="n">
        <v>46036</v>
      </c>
      <c r="G1088" s="1" t="s">
        <v>49</v>
      </c>
      <c r="H1088" s="1" t="s">
        <v>1689</v>
      </c>
      <c r="I1088" s="1" t="s">
        <v>3265</v>
      </c>
      <c r="J1088" s="1" t="n">
        <v>16940.89</v>
      </c>
      <c r="K1088" s="1" t="n">
        <v>15935.15</v>
      </c>
      <c r="L1088" s="1" t="n">
        <v>0</v>
      </c>
      <c r="M1088" s="1" t="n">
        <v>15935.15</v>
      </c>
      <c r="N1088" s="1" t="s">
        <v>111</v>
      </c>
      <c r="P1088" s="1" t="n">
        <v>8</v>
      </c>
      <c r="Q1088" s="1" t="s">
        <v>63</v>
      </c>
      <c r="R1088" s="1" t="s">
        <v>140</v>
      </c>
    </row>
    <row r="1089" customFormat="false" ht="14.25" hidden="false" customHeight="true" outlineLevel="0" collapsed="false">
      <c r="A1089" s="1" t="s">
        <v>3266</v>
      </c>
      <c r="B1089" s="1" t="s">
        <v>67</v>
      </c>
      <c r="C1089" s="1" t="s">
        <v>279</v>
      </c>
      <c r="D1089" s="1" t="s">
        <v>59</v>
      </c>
      <c r="E1089" s="6" t="n">
        <v>46057</v>
      </c>
      <c r="F1089" s="6" t="n">
        <v>46052</v>
      </c>
      <c r="G1089" s="1" t="s">
        <v>49</v>
      </c>
      <c r="H1089" s="1" t="s">
        <v>660</v>
      </c>
      <c r="I1089" s="1" t="s">
        <v>3267</v>
      </c>
      <c r="J1089" s="1" t="n">
        <v>1362.77</v>
      </c>
      <c r="K1089" s="1" t="n">
        <v>1063.68</v>
      </c>
      <c r="L1089" s="1" t="n">
        <v>890.55</v>
      </c>
      <c r="M1089" s="1" t="n">
        <v>173.13</v>
      </c>
      <c r="N1089" s="1" t="s">
        <v>41</v>
      </c>
      <c r="P1089" s="1" t="n">
        <v>6</v>
      </c>
      <c r="Q1089" s="1" t="s">
        <v>63</v>
      </c>
      <c r="R1089" s="1" t="s">
        <v>54</v>
      </c>
      <c r="S1089" s="6" t="n">
        <v>46063</v>
      </c>
    </row>
    <row r="1090" customFormat="false" ht="14.25" hidden="false" customHeight="true" outlineLevel="0" collapsed="false">
      <c r="A1090" s="1" t="s">
        <v>3268</v>
      </c>
      <c r="B1090" s="1" t="s">
        <v>2963</v>
      </c>
      <c r="C1090" s="1" t="s">
        <v>176</v>
      </c>
      <c r="D1090" s="1" t="s">
        <v>37</v>
      </c>
      <c r="E1090" s="6" t="n">
        <v>46075</v>
      </c>
      <c r="F1090" s="6" t="n">
        <v>46075</v>
      </c>
      <c r="G1090" s="1" t="s">
        <v>70</v>
      </c>
      <c r="H1090" s="1" t="s">
        <v>3046</v>
      </c>
      <c r="I1090" s="1" t="s">
        <v>3269</v>
      </c>
      <c r="J1090" s="1" t="n">
        <v>17021.25</v>
      </c>
      <c r="K1090" s="1" t="n">
        <v>16168.96</v>
      </c>
      <c r="L1090" s="1" t="n">
        <v>15375.28</v>
      </c>
      <c r="M1090" s="1" t="n">
        <v>793.68</v>
      </c>
      <c r="N1090" s="1" t="s">
        <v>41</v>
      </c>
      <c r="P1090" s="1" t="n">
        <v>4</v>
      </c>
      <c r="Q1090" s="1" t="s">
        <v>63</v>
      </c>
      <c r="R1090" s="1" t="s">
        <v>43</v>
      </c>
      <c r="S1090" s="6" t="n">
        <v>46079</v>
      </c>
    </row>
    <row r="1091" customFormat="false" ht="14.25" hidden="false" customHeight="true" outlineLevel="0" collapsed="false">
      <c r="A1091" s="1" t="s">
        <v>3270</v>
      </c>
      <c r="B1091" s="1" t="s">
        <v>249</v>
      </c>
      <c r="C1091" s="1" t="s">
        <v>671</v>
      </c>
      <c r="D1091" s="1" t="s">
        <v>937</v>
      </c>
      <c r="E1091" s="6" t="n">
        <v>46234</v>
      </c>
      <c r="F1091" s="6" t="n">
        <v>46233</v>
      </c>
      <c r="G1091" s="1" t="s">
        <v>70</v>
      </c>
      <c r="H1091" s="1" t="s">
        <v>246</v>
      </c>
      <c r="I1091" s="1" t="s">
        <v>3271</v>
      </c>
      <c r="J1091" s="1" t="n">
        <v>29464.79</v>
      </c>
      <c r="K1091" s="1" t="n">
        <v>23789.42</v>
      </c>
      <c r="L1091" s="1" t="n">
        <v>22782.49</v>
      </c>
      <c r="M1091" s="1" t="n">
        <v>1006.93</v>
      </c>
      <c r="N1091" s="1" t="s">
        <v>41</v>
      </c>
      <c r="P1091" s="1" t="n">
        <v>8</v>
      </c>
      <c r="Q1091" s="1" t="s">
        <v>63</v>
      </c>
      <c r="R1091" s="1" t="s">
        <v>54</v>
      </c>
      <c r="S1091" s="6" t="n">
        <v>46242</v>
      </c>
    </row>
    <row r="1092" customFormat="false" ht="14.25" hidden="false" customHeight="true" outlineLevel="0" collapsed="false">
      <c r="A1092" s="1" t="s">
        <v>3272</v>
      </c>
      <c r="B1092" s="1" t="s">
        <v>57</v>
      </c>
      <c r="C1092" s="1" t="s">
        <v>300</v>
      </c>
      <c r="D1092" s="1" t="s">
        <v>418</v>
      </c>
      <c r="E1092" s="6" t="n">
        <v>46104</v>
      </c>
      <c r="F1092" s="6" t="n">
        <v>46102</v>
      </c>
      <c r="G1092" s="1" t="s">
        <v>49</v>
      </c>
      <c r="H1092" s="1" t="s">
        <v>3273</v>
      </c>
      <c r="I1092" s="1" t="s">
        <v>3274</v>
      </c>
      <c r="J1092" s="1" t="n">
        <v>1734.2</v>
      </c>
      <c r="K1092" s="1" t="n">
        <v>1162.51</v>
      </c>
      <c r="L1092" s="1" t="n">
        <v>0</v>
      </c>
      <c r="M1092" s="1" t="n">
        <v>1162.51</v>
      </c>
      <c r="N1092" s="1" t="s">
        <v>111</v>
      </c>
      <c r="P1092" s="1" t="n">
        <v>5</v>
      </c>
      <c r="Q1092" s="1" t="s">
        <v>155</v>
      </c>
      <c r="R1092" s="1" t="s">
        <v>102</v>
      </c>
    </row>
    <row r="1093" customFormat="false" ht="14.25" hidden="false" customHeight="true" outlineLevel="0" collapsed="false">
      <c r="A1093" s="1" t="s">
        <v>3275</v>
      </c>
      <c r="B1093" s="1" t="s">
        <v>1090</v>
      </c>
      <c r="C1093" s="1" t="s">
        <v>47</v>
      </c>
      <c r="D1093" s="1" t="s">
        <v>137</v>
      </c>
      <c r="E1093" s="6" t="n">
        <v>46032</v>
      </c>
      <c r="F1093" s="6" t="n">
        <v>46032</v>
      </c>
      <c r="G1093" s="1" t="s">
        <v>70</v>
      </c>
      <c r="H1093" s="1" t="s">
        <v>2548</v>
      </c>
      <c r="I1093" s="1" t="s">
        <v>3276</v>
      </c>
      <c r="J1093" s="1" t="n">
        <v>13503.36</v>
      </c>
      <c r="K1093" s="1" t="n">
        <v>9733.03</v>
      </c>
      <c r="L1093" s="1" t="n">
        <v>0</v>
      </c>
      <c r="M1093" s="1" t="n">
        <v>9733.03</v>
      </c>
      <c r="N1093" s="1" t="s">
        <v>111</v>
      </c>
      <c r="P1093" s="1" t="n">
        <v>12</v>
      </c>
      <c r="Q1093" s="1" t="s">
        <v>63</v>
      </c>
      <c r="R1093" s="1" t="s">
        <v>140</v>
      </c>
    </row>
    <row r="1094" customFormat="false" ht="14.25" hidden="false" customHeight="true" outlineLevel="0" collapsed="false">
      <c r="A1094" s="1" t="s">
        <v>3277</v>
      </c>
      <c r="B1094" s="1" t="s">
        <v>98</v>
      </c>
      <c r="C1094" s="1" t="s">
        <v>78</v>
      </c>
      <c r="D1094" s="1" t="s">
        <v>678</v>
      </c>
      <c r="E1094" s="6" t="n">
        <v>46198</v>
      </c>
      <c r="F1094" s="6" t="n">
        <v>46193</v>
      </c>
      <c r="G1094" s="1" t="s">
        <v>49</v>
      </c>
      <c r="H1094" s="1" t="s">
        <v>3278</v>
      </c>
      <c r="I1094" s="1" t="s">
        <v>3279</v>
      </c>
      <c r="J1094" s="1" t="n">
        <v>39330.66</v>
      </c>
      <c r="K1094" s="1" t="n">
        <v>26064</v>
      </c>
      <c r="L1094" s="1" t="n">
        <v>23526.4</v>
      </c>
      <c r="M1094" s="1" t="n">
        <v>2537.6</v>
      </c>
      <c r="N1094" s="1" t="s">
        <v>41</v>
      </c>
      <c r="P1094" s="1" t="n">
        <v>1</v>
      </c>
      <c r="Q1094" s="1" t="s">
        <v>63</v>
      </c>
      <c r="R1094" s="1" t="s">
        <v>74</v>
      </c>
      <c r="S1094" s="6" t="n">
        <v>46199</v>
      </c>
    </row>
    <row r="1095" customFormat="false" ht="14.25" hidden="false" customHeight="true" outlineLevel="0" collapsed="false">
      <c r="A1095" s="1" t="s">
        <v>3280</v>
      </c>
      <c r="B1095" s="1" t="s">
        <v>295</v>
      </c>
      <c r="C1095" s="1" t="s">
        <v>446</v>
      </c>
      <c r="D1095" s="1" t="s">
        <v>315</v>
      </c>
      <c r="E1095" s="6" t="n">
        <v>46085</v>
      </c>
      <c r="F1095" s="6" t="n">
        <v>46080</v>
      </c>
      <c r="G1095" s="1" t="s">
        <v>70</v>
      </c>
      <c r="H1095" s="1" t="s">
        <v>3281</v>
      </c>
      <c r="I1095" s="1" t="s">
        <v>1526</v>
      </c>
      <c r="J1095" s="1" t="n">
        <v>23430.76</v>
      </c>
      <c r="K1095" s="1" t="n">
        <v>18315.95</v>
      </c>
      <c r="L1095" s="1" t="n">
        <v>14287.71</v>
      </c>
      <c r="M1095" s="1" t="n">
        <v>4028.24</v>
      </c>
      <c r="N1095" s="1" t="s">
        <v>41</v>
      </c>
      <c r="P1095" s="1" t="n">
        <v>7</v>
      </c>
      <c r="Q1095" s="1" t="s">
        <v>63</v>
      </c>
      <c r="R1095" s="1" t="s">
        <v>54</v>
      </c>
      <c r="S1095" s="6" t="n">
        <v>46092</v>
      </c>
    </row>
    <row r="1096" customFormat="false" ht="14.25" hidden="false" customHeight="true" outlineLevel="0" collapsed="false">
      <c r="A1096" s="1" t="s">
        <v>3282</v>
      </c>
      <c r="B1096" s="1" t="s">
        <v>1432</v>
      </c>
      <c r="C1096" s="1" t="s">
        <v>68</v>
      </c>
      <c r="D1096" s="1" t="s">
        <v>208</v>
      </c>
      <c r="E1096" s="6" t="n">
        <v>46062</v>
      </c>
      <c r="F1096" s="6" t="n">
        <v>46061</v>
      </c>
      <c r="G1096" s="1" t="s">
        <v>70</v>
      </c>
      <c r="H1096" s="1" t="s">
        <v>1917</v>
      </c>
      <c r="I1096" s="1" t="s">
        <v>3283</v>
      </c>
      <c r="J1096" s="1" t="n">
        <v>47651.05</v>
      </c>
      <c r="K1096" s="1" t="n">
        <v>37906.72</v>
      </c>
      <c r="L1096" s="1" t="n">
        <v>33841.39</v>
      </c>
      <c r="M1096" s="1" t="n">
        <v>4065.33</v>
      </c>
      <c r="N1096" s="1" t="s">
        <v>41</v>
      </c>
      <c r="P1096" s="1" t="n">
        <v>4</v>
      </c>
      <c r="Q1096" s="1" t="s">
        <v>155</v>
      </c>
      <c r="R1096" s="1" t="s">
        <v>74</v>
      </c>
      <c r="S1096" s="6" t="n">
        <v>46066</v>
      </c>
    </row>
    <row r="1097" customFormat="false" ht="14.25" hidden="false" customHeight="true" outlineLevel="0" collapsed="false">
      <c r="A1097" s="1" t="s">
        <v>3284</v>
      </c>
      <c r="B1097" s="1" t="s">
        <v>67</v>
      </c>
      <c r="C1097" s="1" t="s">
        <v>151</v>
      </c>
      <c r="D1097" s="1" t="s">
        <v>727</v>
      </c>
      <c r="E1097" s="6" t="n">
        <v>46203</v>
      </c>
      <c r="F1097" s="6" t="n">
        <v>46199</v>
      </c>
      <c r="G1097" s="1" t="s">
        <v>70</v>
      </c>
      <c r="H1097" s="1" t="s">
        <v>1777</v>
      </c>
      <c r="I1097" s="1" t="s">
        <v>2969</v>
      </c>
      <c r="J1097" s="1" t="n">
        <v>29958.51</v>
      </c>
      <c r="K1097" s="1" t="n">
        <v>24711.55</v>
      </c>
      <c r="L1097" s="1" t="n">
        <v>0</v>
      </c>
      <c r="M1097" s="1" t="n">
        <v>24711.55</v>
      </c>
      <c r="N1097" s="1" t="s">
        <v>111</v>
      </c>
      <c r="P1097" s="1" t="n">
        <v>5</v>
      </c>
      <c r="Q1097" s="1" t="s">
        <v>42</v>
      </c>
      <c r="R1097" s="1" t="s">
        <v>140</v>
      </c>
    </row>
    <row r="1098" customFormat="false" ht="14.25" hidden="false" customHeight="true" outlineLevel="0" collapsed="false">
      <c r="A1098" s="1" t="s">
        <v>3285</v>
      </c>
      <c r="B1098" s="1" t="s">
        <v>1805</v>
      </c>
      <c r="C1098" s="1" t="s">
        <v>436</v>
      </c>
      <c r="D1098" s="1" t="s">
        <v>740</v>
      </c>
      <c r="E1098" s="6" t="n">
        <v>46030</v>
      </c>
      <c r="F1098" s="6" t="n">
        <v>46029</v>
      </c>
      <c r="G1098" s="1" t="s">
        <v>108</v>
      </c>
      <c r="H1098" s="1" t="s">
        <v>1293</v>
      </c>
      <c r="I1098" s="1" t="s">
        <v>3286</v>
      </c>
      <c r="J1098" s="1" t="n">
        <v>26020.78</v>
      </c>
      <c r="K1098" s="1" t="n">
        <v>23313.16</v>
      </c>
      <c r="L1098" s="1" t="n">
        <v>20635.35</v>
      </c>
      <c r="M1098" s="1" t="n">
        <v>2677.81</v>
      </c>
      <c r="N1098" s="1" t="s">
        <v>41</v>
      </c>
      <c r="P1098" s="1" t="n">
        <v>3</v>
      </c>
      <c r="Q1098" s="1" t="s">
        <v>42</v>
      </c>
      <c r="R1098" s="1" t="s">
        <v>74</v>
      </c>
      <c r="S1098" s="6" t="n">
        <v>46033</v>
      </c>
    </row>
    <row r="1099" customFormat="false" ht="14.25" hidden="false" customHeight="true" outlineLevel="0" collapsed="false">
      <c r="A1099" s="1" t="s">
        <v>3287</v>
      </c>
      <c r="B1099" s="1" t="s">
        <v>1786</v>
      </c>
      <c r="C1099" s="1" t="s">
        <v>198</v>
      </c>
      <c r="D1099" s="1" t="s">
        <v>1211</v>
      </c>
      <c r="E1099" s="6" t="n">
        <v>46191</v>
      </c>
      <c r="F1099" s="6" t="n">
        <v>46191</v>
      </c>
      <c r="G1099" s="1" t="s">
        <v>49</v>
      </c>
      <c r="H1099" s="1" t="s">
        <v>1834</v>
      </c>
      <c r="I1099" s="1" t="s">
        <v>2432</v>
      </c>
      <c r="J1099" s="1" t="n">
        <v>33191.79</v>
      </c>
      <c r="K1099" s="1" t="n">
        <v>24158.56</v>
      </c>
      <c r="L1099" s="1" t="n">
        <v>0</v>
      </c>
      <c r="M1099" s="1" t="n">
        <v>24158.56</v>
      </c>
      <c r="N1099" s="1" t="s">
        <v>111</v>
      </c>
      <c r="P1099" s="1" t="n">
        <v>12</v>
      </c>
      <c r="Q1099" s="1" t="s">
        <v>155</v>
      </c>
      <c r="R1099" s="1" t="s">
        <v>43</v>
      </c>
    </row>
    <row r="1100" customFormat="false" ht="14.25" hidden="false" customHeight="true" outlineLevel="0" collapsed="false">
      <c r="A1100" s="1" t="s">
        <v>3288</v>
      </c>
      <c r="B1100" s="1" t="s">
        <v>1147</v>
      </c>
      <c r="C1100" s="1" t="s">
        <v>686</v>
      </c>
      <c r="D1100" s="1" t="s">
        <v>400</v>
      </c>
      <c r="E1100" s="6" t="n">
        <v>46033</v>
      </c>
      <c r="F1100" s="6" t="n">
        <v>46028</v>
      </c>
      <c r="G1100" s="1" t="s">
        <v>49</v>
      </c>
      <c r="H1100" s="1" t="s">
        <v>2706</v>
      </c>
      <c r="I1100" s="1" t="s">
        <v>3289</v>
      </c>
      <c r="J1100" s="1" t="n">
        <v>25430.65</v>
      </c>
      <c r="K1100" s="1" t="n">
        <v>21013.2</v>
      </c>
      <c r="L1100" s="1" t="n">
        <v>0</v>
      </c>
      <c r="M1100" s="1" t="n">
        <v>21013.2</v>
      </c>
      <c r="N1100" s="1" t="s">
        <v>52</v>
      </c>
      <c r="O1100" s="1" t="s">
        <v>73</v>
      </c>
      <c r="P1100" s="1" t="n">
        <v>5</v>
      </c>
      <c r="Q1100" s="1" t="s">
        <v>42</v>
      </c>
      <c r="R1100" s="1" t="s">
        <v>140</v>
      </c>
    </row>
    <row r="1101" customFormat="false" ht="14.25" hidden="false" customHeight="true" outlineLevel="0" collapsed="false">
      <c r="A1101" s="1" t="s">
        <v>3290</v>
      </c>
      <c r="B1101" s="1" t="s">
        <v>748</v>
      </c>
      <c r="C1101" s="1" t="s">
        <v>300</v>
      </c>
      <c r="D1101" s="1" t="s">
        <v>48</v>
      </c>
      <c r="E1101" s="6" t="n">
        <v>46064</v>
      </c>
      <c r="F1101" s="6" t="n">
        <v>46064</v>
      </c>
      <c r="G1101" s="1" t="s">
        <v>70</v>
      </c>
      <c r="H1101" s="1" t="s">
        <v>2087</v>
      </c>
      <c r="I1101" s="1" t="s">
        <v>3291</v>
      </c>
      <c r="J1101" s="1" t="n">
        <v>44068.78</v>
      </c>
      <c r="K1101" s="1" t="n">
        <v>33351.93</v>
      </c>
      <c r="L1101" s="1" t="n">
        <v>29292.54</v>
      </c>
      <c r="M1101" s="1" t="n">
        <v>4059.39</v>
      </c>
      <c r="N1101" s="1" t="s">
        <v>41</v>
      </c>
      <c r="P1101" s="1" t="n">
        <v>4</v>
      </c>
      <c r="Q1101" s="1" t="s">
        <v>42</v>
      </c>
      <c r="R1101" s="1" t="s">
        <v>140</v>
      </c>
      <c r="S1101" s="6" t="n">
        <v>46068</v>
      </c>
    </row>
    <row r="1102" customFormat="false" ht="14.25" hidden="false" customHeight="true" outlineLevel="0" collapsed="false">
      <c r="A1102" s="1" t="s">
        <v>3292</v>
      </c>
      <c r="B1102" s="1" t="s">
        <v>880</v>
      </c>
      <c r="C1102" s="1" t="s">
        <v>36</v>
      </c>
      <c r="D1102" s="1" t="s">
        <v>717</v>
      </c>
      <c r="E1102" s="6" t="n">
        <v>46038</v>
      </c>
      <c r="F1102" s="6" t="n">
        <v>46038</v>
      </c>
      <c r="G1102" s="1" t="s">
        <v>108</v>
      </c>
      <c r="H1102" s="1" t="s">
        <v>3293</v>
      </c>
      <c r="I1102" s="1" t="s">
        <v>2658</v>
      </c>
      <c r="J1102" s="1" t="n">
        <v>2817.71</v>
      </c>
      <c r="K1102" s="1" t="n">
        <v>2232.45</v>
      </c>
      <c r="L1102" s="1" t="n">
        <v>1938.48</v>
      </c>
      <c r="M1102" s="1" t="n">
        <v>293.97</v>
      </c>
      <c r="N1102" s="1" t="s">
        <v>41</v>
      </c>
      <c r="P1102" s="1" t="n">
        <v>2</v>
      </c>
      <c r="Q1102" s="1" t="s">
        <v>155</v>
      </c>
      <c r="R1102" s="1" t="s">
        <v>125</v>
      </c>
      <c r="S1102" s="6" t="n">
        <v>46040</v>
      </c>
    </row>
    <row r="1103" customFormat="false" ht="14.25" hidden="false" customHeight="true" outlineLevel="0" collapsed="false">
      <c r="A1103" s="1" t="s">
        <v>3294</v>
      </c>
      <c r="B1103" s="1" t="s">
        <v>1884</v>
      </c>
      <c r="C1103" s="1" t="s">
        <v>446</v>
      </c>
      <c r="D1103" s="1" t="s">
        <v>377</v>
      </c>
      <c r="E1103" s="6" t="n">
        <v>46193</v>
      </c>
      <c r="F1103" s="6" t="n">
        <v>46188</v>
      </c>
      <c r="G1103" s="1" t="s">
        <v>49</v>
      </c>
      <c r="H1103" s="1" t="s">
        <v>800</v>
      </c>
      <c r="I1103" s="1" t="s">
        <v>3295</v>
      </c>
      <c r="J1103" s="1" t="n">
        <v>8312.63</v>
      </c>
      <c r="K1103" s="1" t="n">
        <v>7625.15</v>
      </c>
      <c r="L1103" s="1" t="n">
        <v>7004.35</v>
      </c>
      <c r="M1103" s="1" t="n">
        <v>620.8</v>
      </c>
      <c r="N1103" s="1" t="s">
        <v>41</v>
      </c>
      <c r="P1103" s="1" t="n">
        <v>5</v>
      </c>
      <c r="Q1103" s="1" t="s">
        <v>155</v>
      </c>
      <c r="R1103" s="1" t="s">
        <v>43</v>
      </c>
      <c r="S1103" s="6" t="n">
        <v>46198</v>
      </c>
    </row>
    <row r="1104" customFormat="false" ht="14.25" hidden="false" customHeight="true" outlineLevel="0" collapsed="false">
      <c r="A1104" s="1" t="s">
        <v>3296</v>
      </c>
      <c r="B1104" s="1" t="s">
        <v>643</v>
      </c>
      <c r="C1104" s="1" t="s">
        <v>671</v>
      </c>
      <c r="D1104" s="1" t="s">
        <v>418</v>
      </c>
      <c r="E1104" s="6" t="n">
        <v>46211</v>
      </c>
      <c r="F1104" s="6" t="n">
        <v>46208</v>
      </c>
      <c r="G1104" s="1" t="s">
        <v>70</v>
      </c>
      <c r="H1104" s="1" t="s">
        <v>1755</v>
      </c>
      <c r="I1104" s="1" t="s">
        <v>3297</v>
      </c>
      <c r="J1104" s="1" t="n">
        <v>49952.88</v>
      </c>
      <c r="K1104" s="1" t="n">
        <v>46409.45</v>
      </c>
      <c r="L1104" s="1" t="n">
        <v>40342.99</v>
      </c>
      <c r="M1104" s="1" t="n">
        <v>6066.46</v>
      </c>
      <c r="N1104" s="1" t="s">
        <v>41</v>
      </c>
      <c r="P1104" s="1" t="n">
        <v>1</v>
      </c>
      <c r="Q1104" s="1" t="s">
        <v>63</v>
      </c>
      <c r="R1104" s="1" t="s">
        <v>125</v>
      </c>
      <c r="S1104" s="6" t="n">
        <v>46212</v>
      </c>
    </row>
    <row r="1105" customFormat="false" ht="14.25" hidden="false" customHeight="true" outlineLevel="0" collapsed="false">
      <c r="A1105" s="1" t="s">
        <v>3298</v>
      </c>
      <c r="B1105" s="1" t="s">
        <v>858</v>
      </c>
      <c r="C1105" s="1" t="s">
        <v>900</v>
      </c>
      <c r="D1105" s="1" t="s">
        <v>1077</v>
      </c>
      <c r="E1105" s="6" t="n">
        <v>46049</v>
      </c>
      <c r="F1105" s="6" t="n">
        <v>46045</v>
      </c>
      <c r="G1105" s="1" t="s">
        <v>38</v>
      </c>
      <c r="H1105" s="1" t="s">
        <v>950</v>
      </c>
      <c r="I1105" s="1" t="s">
        <v>1554</v>
      </c>
      <c r="J1105" s="1" t="n">
        <v>18053.2</v>
      </c>
      <c r="K1105" s="1" t="n">
        <v>11973</v>
      </c>
      <c r="L1105" s="1" t="n">
        <v>11672.44</v>
      </c>
      <c r="M1105" s="1" t="n">
        <v>300.56</v>
      </c>
      <c r="N1105" s="1" t="s">
        <v>41</v>
      </c>
      <c r="P1105" s="1" t="n">
        <v>4</v>
      </c>
      <c r="Q1105" s="1" t="s">
        <v>63</v>
      </c>
      <c r="R1105" s="1" t="s">
        <v>54</v>
      </c>
      <c r="S1105" s="6" t="n">
        <v>46053</v>
      </c>
    </row>
    <row r="1106" customFormat="false" ht="14.25" hidden="false" customHeight="true" outlineLevel="0" collapsed="false">
      <c r="A1106" s="1" t="s">
        <v>3299</v>
      </c>
      <c r="B1106" s="1" t="s">
        <v>1073</v>
      </c>
      <c r="C1106" s="1" t="s">
        <v>68</v>
      </c>
      <c r="D1106" s="1" t="s">
        <v>1084</v>
      </c>
      <c r="E1106" s="6" t="n">
        <v>46225</v>
      </c>
      <c r="F1106" s="6" t="n">
        <v>46222</v>
      </c>
      <c r="G1106" s="1" t="s">
        <v>108</v>
      </c>
      <c r="H1106" s="1" t="s">
        <v>3300</v>
      </c>
      <c r="I1106" s="1" t="s">
        <v>3301</v>
      </c>
      <c r="J1106" s="1" t="n">
        <v>43020.17</v>
      </c>
      <c r="K1106" s="1" t="n">
        <v>36463.44</v>
      </c>
      <c r="L1106" s="1" t="n">
        <v>0</v>
      </c>
      <c r="M1106" s="1" t="n">
        <v>36463.44</v>
      </c>
      <c r="N1106" s="1" t="s">
        <v>111</v>
      </c>
      <c r="P1106" s="1" t="n">
        <v>14</v>
      </c>
      <c r="Q1106" s="1" t="s">
        <v>42</v>
      </c>
      <c r="R1106" s="1" t="s">
        <v>74</v>
      </c>
    </row>
    <row r="1107" customFormat="false" ht="14.25" hidden="false" customHeight="true" outlineLevel="0" collapsed="false">
      <c r="A1107" s="1" t="s">
        <v>3302</v>
      </c>
      <c r="B1107" s="1" t="s">
        <v>1276</v>
      </c>
      <c r="C1107" s="1" t="s">
        <v>144</v>
      </c>
      <c r="D1107" s="1" t="s">
        <v>757</v>
      </c>
      <c r="E1107" s="6" t="n">
        <v>46099</v>
      </c>
      <c r="F1107" s="6" t="n">
        <v>46095</v>
      </c>
      <c r="G1107" s="1" t="s">
        <v>70</v>
      </c>
      <c r="H1107" s="1" t="s">
        <v>2147</v>
      </c>
      <c r="I1107" s="1" t="s">
        <v>3303</v>
      </c>
      <c r="J1107" s="1" t="n">
        <v>27566.52</v>
      </c>
      <c r="K1107" s="1" t="n">
        <v>23875.54</v>
      </c>
      <c r="L1107" s="1" t="n">
        <v>23490.88</v>
      </c>
      <c r="M1107" s="1" t="n">
        <v>384.66</v>
      </c>
      <c r="N1107" s="1" t="s">
        <v>41</v>
      </c>
      <c r="P1107" s="1" t="n">
        <v>7</v>
      </c>
      <c r="Q1107" s="1" t="s">
        <v>63</v>
      </c>
      <c r="R1107" s="1" t="s">
        <v>54</v>
      </c>
      <c r="S1107" s="6" t="n">
        <v>46106</v>
      </c>
    </row>
    <row r="1108" customFormat="false" ht="14.25" hidden="false" customHeight="true" outlineLevel="0" collapsed="false">
      <c r="A1108" s="1" t="s">
        <v>3304</v>
      </c>
      <c r="B1108" s="1" t="s">
        <v>1852</v>
      </c>
      <c r="C1108" s="1" t="s">
        <v>144</v>
      </c>
      <c r="D1108" s="1" t="s">
        <v>400</v>
      </c>
      <c r="E1108" s="6" t="n">
        <v>46066</v>
      </c>
      <c r="F1108" s="6" t="n">
        <v>46062</v>
      </c>
      <c r="G1108" s="1" t="s">
        <v>38</v>
      </c>
      <c r="H1108" s="1" t="s">
        <v>870</v>
      </c>
      <c r="I1108" s="1" t="s">
        <v>3305</v>
      </c>
      <c r="J1108" s="1" t="n">
        <v>19603.79</v>
      </c>
      <c r="K1108" s="1" t="n">
        <v>13682.31</v>
      </c>
      <c r="L1108" s="1" t="n">
        <v>13454.56</v>
      </c>
      <c r="M1108" s="1" t="n">
        <v>227.75</v>
      </c>
      <c r="N1108" s="1" t="s">
        <v>41</v>
      </c>
      <c r="P1108" s="1" t="n">
        <v>4</v>
      </c>
      <c r="Q1108" s="1" t="s">
        <v>42</v>
      </c>
      <c r="R1108" s="1" t="s">
        <v>125</v>
      </c>
      <c r="S1108" s="6" t="n">
        <v>46070</v>
      </c>
    </row>
    <row r="1109" customFormat="false" ht="14.25" hidden="false" customHeight="true" outlineLevel="0" collapsed="false">
      <c r="A1109" s="1" t="s">
        <v>3306</v>
      </c>
      <c r="B1109" s="1" t="s">
        <v>1396</v>
      </c>
      <c r="C1109" s="1" t="s">
        <v>158</v>
      </c>
      <c r="D1109" s="1" t="s">
        <v>396</v>
      </c>
      <c r="E1109" s="6" t="n">
        <v>46223</v>
      </c>
      <c r="F1109" s="6" t="n">
        <v>46222</v>
      </c>
      <c r="G1109" s="1" t="s">
        <v>49</v>
      </c>
      <c r="H1109" s="1" t="s">
        <v>3198</v>
      </c>
      <c r="I1109" s="1" t="s">
        <v>3307</v>
      </c>
      <c r="J1109" s="1" t="n">
        <v>20306.46</v>
      </c>
      <c r="K1109" s="1" t="n">
        <v>17443.38</v>
      </c>
      <c r="L1109" s="1" t="n">
        <v>14076.6</v>
      </c>
      <c r="M1109" s="1" t="n">
        <v>3366.78</v>
      </c>
      <c r="N1109" s="1" t="s">
        <v>41</v>
      </c>
      <c r="P1109" s="1" t="n">
        <v>1</v>
      </c>
      <c r="Q1109" s="1" t="s">
        <v>42</v>
      </c>
      <c r="R1109" s="1" t="s">
        <v>43</v>
      </c>
      <c r="S1109" s="6" t="n">
        <v>46224</v>
      </c>
    </row>
    <row r="1110" customFormat="false" ht="14.25" hidden="false" customHeight="true" outlineLevel="0" collapsed="false">
      <c r="A1110" s="1" t="s">
        <v>3308</v>
      </c>
      <c r="B1110" s="1" t="s">
        <v>3168</v>
      </c>
      <c r="C1110" s="1" t="s">
        <v>367</v>
      </c>
      <c r="D1110" s="1" t="s">
        <v>418</v>
      </c>
      <c r="E1110" s="6" t="n">
        <v>46181</v>
      </c>
      <c r="F1110" s="6" t="n">
        <v>46177</v>
      </c>
      <c r="G1110" s="1" t="s">
        <v>38</v>
      </c>
      <c r="H1110" s="1" t="s">
        <v>2655</v>
      </c>
      <c r="I1110" s="1" t="s">
        <v>3309</v>
      </c>
      <c r="J1110" s="1" t="n">
        <v>1591.71</v>
      </c>
      <c r="K1110" s="1" t="n">
        <v>1432.39</v>
      </c>
      <c r="L1110" s="1" t="n">
        <v>1106.23</v>
      </c>
      <c r="M1110" s="1" t="n">
        <v>326.16</v>
      </c>
      <c r="N1110" s="1" t="s">
        <v>41</v>
      </c>
      <c r="P1110" s="1" t="n">
        <v>2</v>
      </c>
      <c r="Q1110" s="1" t="s">
        <v>155</v>
      </c>
      <c r="R1110" s="1" t="s">
        <v>74</v>
      </c>
      <c r="S1110" s="6" t="n">
        <v>46183</v>
      </c>
    </row>
    <row r="1111" customFormat="false" ht="14.25" hidden="false" customHeight="true" outlineLevel="0" collapsed="false">
      <c r="A1111" s="1" t="s">
        <v>3310</v>
      </c>
      <c r="B1111" s="1" t="s">
        <v>515</v>
      </c>
      <c r="C1111" s="1" t="s">
        <v>671</v>
      </c>
      <c r="D1111" s="1" t="s">
        <v>336</v>
      </c>
      <c r="E1111" s="6" t="n">
        <v>46127</v>
      </c>
      <c r="F1111" s="6" t="n">
        <v>46127</v>
      </c>
      <c r="G1111" s="1" t="s">
        <v>70</v>
      </c>
      <c r="H1111" s="1" t="s">
        <v>3311</v>
      </c>
      <c r="I1111" s="1" t="s">
        <v>1570</v>
      </c>
      <c r="J1111" s="1" t="n">
        <v>24017.96</v>
      </c>
      <c r="K1111" s="1" t="n">
        <v>18548.82</v>
      </c>
      <c r="L1111" s="1" t="n">
        <v>13913.58</v>
      </c>
      <c r="M1111" s="1" t="n">
        <v>4635.24</v>
      </c>
      <c r="N1111" s="1" t="s">
        <v>41</v>
      </c>
      <c r="P1111" s="1" t="n">
        <v>3</v>
      </c>
      <c r="Q1111" s="1" t="s">
        <v>155</v>
      </c>
      <c r="R1111" s="1" t="s">
        <v>43</v>
      </c>
      <c r="S1111" s="6" t="n">
        <v>46130</v>
      </c>
    </row>
    <row r="1112" customFormat="false" ht="14.25" hidden="false" customHeight="true" outlineLevel="0" collapsed="false">
      <c r="A1112" s="1" t="s">
        <v>3312</v>
      </c>
      <c r="B1112" s="1" t="s">
        <v>1244</v>
      </c>
      <c r="C1112" s="1" t="s">
        <v>296</v>
      </c>
      <c r="D1112" s="1" t="s">
        <v>396</v>
      </c>
      <c r="E1112" s="6" t="n">
        <v>46113</v>
      </c>
      <c r="F1112" s="6" t="n">
        <v>46108</v>
      </c>
      <c r="G1112" s="1" t="s">
        <v>108</v>
      </c>
      <c r="H1112" s="1" t="s">
        <v>839</v>
      </c>
      <c r="I1112" s="1" t="s">
        <v>3313</v>
      </c>
      <c r="J1112" s="1" t="n">
        <v>8695.88</v>
      </c>
      <c r="K1112" s="1" t="n">
        <v>8016.98</v>
      </c>
      <c r="L1112" s="1" t="n">
        <v>6570.75</v>
      </c>
      <c r="M1112" s="1" t="n">
        <v>1446.23</v>
      </c>
      <c r="N1112" s="1" t="s">
        <v>41</v>
      </c>
      <c r="P1112" s="1" t="n">
        <v>5</v>
      </c>
      <c r="Q1112" s="1" t="s">
        <v>63</v>
      </c>
      <c r="R1112" s="1" t="s">
        <v>102</v>
      </c>
      <c r="S1112" s="6" t="n">
        <v>46118</v>
      </c>
    </row>
    <row r="1113" customFormat="false" ht="14.25" hidden="false" customHeight="true" outlineLevel="0" collapsed="false">
      <c r="A1113" s="1" t="s">
        <v>3314</v>
      </c>
      <c r="B1113" s="1" t="s">
        <v>972</v>
      </c>
      <c r="C1113" s="1" t="s">
        <v>129</v>
      </c>
      <c r="D1113" s="1" t="s">
        <v>1029</v>
      </c>
      <c r="E1113" s="6" t="n">
        <v>46189</v>
      </c>
      <c r="F1113" s="6" t="n">
        <v>46189</v>
      </c>
      <c r="G1113" s="1" t="s">
        <v>49</v>
      </c>
      <c r="H1113" s="1" t="s">
        <v>559</v>
      </c>
      <c r="I1113" s="1" t="s">
        <v>3315</v>
      </c>
      <c r="J1113" s="1" t="n">
        <v>35002.22</v>
      </c>
      <c r="K1113" s="1" t="n">
        <v>25624.43</v>
      </c>
      <c r="L1113" s="1" t="n">
        <v>0</v>
      </c>
      <c r="M1113" s="1" t="n">
        <v>25624.43</v>
      </c>
      <c r="N1113" s="1" t="s">
        <v>52</v>
      </c>
      <c r="O1113" s="1" t="s">
        <v>62</v>
      </c>
      <c r="P1113" s="1" t="n">
        <v>7</v>
      </c>
      <c r="Q1113" s="1" t="s">
        <v>42</v>
      </c>
      <c r="R1113" s="1" t="s">
        <v>140</v>
      </c>
    </row>
    <row r="1114" customFormat="false" ht="14.25" hidden="false" customHeight="true" outlineLevel="0" collapsed="false">
      <c r="A1114" s="1" t="s">
        <v>3316</v>
      </c>
      <c r="B1114" s="1" t="s">
        <v>2075</v>
      </c>
      <c r="C1114" s="1" t="s">
        <v>325</v>
      </c>
      <c r="D1114" s="1" t="s">
        <v>227</v>
      </c>
      <c r="E1114" s="6" t="n">
        <v>46204</v>
      </c>
      <c r="F1114" s="6" t="n">
        <v>46202</v>
      </c>
      <c r="G1114" s="1" t="s">
        <v>108</v>
      </c>
      <c r="H1114" s="1" t="s">
        <v>3120</v>
      </c>
      <c r="I1114" s="1" t="s">
        <v>2281</v>
      </c>
      <c r="J1114" s="1" t="n">
        <v>28875.11</v>
      </c>
      <c r="K1114" s="1" t="n">
        <v>23503.95</v>
      </c>
      <c r="L1114" s="1" t="n">
        <v>0</v>
      </c>
      <c r="M1114" s="1" t="n">
        <v>23503.95</v>
      </c>
      <c r="N1114" s="1" t="s">
        <v>111</v>
      </c>
      <c r="P1114" s="1" t="n">
        <v>4</v>
      </c>
      <c r="Q1114" s="1" t="s">
        <v>63</v>
      </c>
      <c r="R1114" s="1" t="s">
        <v>125</v>
      </c>
    </row>
    <row r="1115" customFormat="false" ht="14.25" hidden="false" customHeight="true" outlineLevel="0" collapsed="false">
      <c r="A1115" s="1" t="s">
        <v>3317</v>
      </c>
      <c r="B1115" s="1" t="s">
        <v>739</v>
      </c>
      <c r="C1115" s="1" t="s">
        <v>386</v>
      </c>
      <c r="D1115" s="1" t="s">
        <v>382</v>
      </c>
      <c r="E1115" s="6" t="n">
        <v>46165</v>
      </c>
      <c r="F1115" s="6" t="n">
        <v>46164</v>
      </c>
      <c r="G1115" s="1" t="s">
        <v>38</v>
      </c>
      <c r="H1115" s="1" t="s">
        <v>525</v>
      </c>
      <c r="I1115" s="1" t="s">
        <v>3318</v>
      </c>
      <c r="J1115" s="1" t="n">
        <v>4441.16</v>
      </c>
      <c r="K1115" s="1" t="n">
        <v>3247.65</v>
      </c>
      <c r="L1115" s="1" t="n">
        <v>2855.47</v>
      </c>
      <c r="M1115" s="1" t="n">
        <v>392.18</v>
      </c>
      <c r="N1115" s="1" t="s">
        <v>41</v>
      </c>
      <c r="P1115" s="1" t="n">
        <v>2</v>
      </c>
      <c r="Q1115" s="1" t="s">
        <v>63</v>
      </c>
      <c r="R1115" s="1" t="s">
        <v>64</v>
      </c>
      <c r="S1115" s="6" t="n">
        <v>46167</v>
      </c>
    </row>
    <row r="1116" customFormat="false" ht="14.25" hidden="false" customHeight="true" outlineLevel="0" collapsed="false">
      <c r="A1116" s="1" t="s">
        <v>3319</v>
      </c>
      <c r="B1116" s="1" t="s">
        <v>721</v>
      </c>
      <c r="C1116" s="1" t="s">
        <v>106</v>
      </c>
      <c r="D1116" s="1" t="s">
        <v>485</v>
      </c>
      <c r="E1116" s="6" t="n">
        <v>46135</v>
      </c>
      <c r="F1116" s="6" t="n">
        <v>46131</v>
      </c>
      <c r="G1116" s="1" t="s">
        <v>49</v>
      </c>
      <c r="H1116" s="1" t="s">
        <v>2934</v>
      </c>
      <c r="I1116" s="1" t="s">
        <v>3320</v>
      </c>
      <c r="J1116" s="1" t="n">
        <v>31061.63</v>
      </c>
      <c r="K1116" s="1" t="n">
        <v>28717.76</v>
      </c>
      <c r="L1116" s="1" t="n">
        <v>0</v>
      </c>
      <c r="M1116" s="1" t="n">
        <v>28717.76</v>
      </c>
      <c r="N1116" s="1" t="s">
        <v>111</v>
      </c>
      <c r="P1116" s="1" t="n">
        <v>15</v>
      </c>
      <c r="Q1116" s="1" t="s">
        <v>63</v>
      </c>
      <c r="R1116" s="1" t="s">
        <v>64</v>
      </c>
    </row>
    <row r="1117" customFormat="false" ht="14.25" hidden="false" customHeight="true" outlineLevel="0" collapsed="false">
      <c r="A1117" s="1" t="s">
        <v>3321</v>
      </c>
      <c r="B1117" s="1" t="s">
        <v>57</v>
      </c>
      <c r="C1117" s="1" t="s">
        <v>367</v>
      </c>
      <c r="D1117" s="1" t="s">
        <v>177</v>
      </c>
      <c r="E1117" s="6" t="n">
        <v>46107</v>
      </c>
      <c r="F1117" s="6" t="n">
        <v>46102</v>
      </c>
      <c r="G1117" s="1" t="s">
        <v>38</v>
      </c>
      <c r="H1117" s="1" t="s">
        <v>758</v>
      </c>
      <c r="I1117" s="1" t="s">
        <v>3322</v>
      </c>
      <c r="J1117" s="1" t="n">
        <v>4969.65</v>
      </c>
      <c r="K1117" s="1" t="n">
        <v>3737.6</v>
      </c>
      <c r="L1117" s="1" t="n">
        <v>0</v>
      </c>
      <c r="M1117" s="1" t="n">
        <v>3737.6</v>
      </c>
      <c r="N1117" s="1" t="s">
        <v>52</v>
      </c>
      <c r="O1117" s="1" t="s">
        <v>230</v>
      </c>
      <c r="P1117" s="1" t="n">
        <v>5</v>
      </c>
      <c r="Q1117" s="1" t="s">
        <v>155</v>
      </c>
      <c r="R1117" s="1" t="s">
        <v>125</v>
      </c>
    </row>
    <row r="1118" customFormat="false" ht="14.25" hidden="false" customHeight="true" outlineLevel="0" collapsed="false">
      <c r="A1118" s="1" t="s">
        <v>3323</v>
      </c>
      <c r="B1118" s="1" t="s">
        <v>2751</v>
      </c>
      <c r="C1118" s="1" t="s">
        <v>367</v>
      </c>
      <c r="D1118" s="1" t="s">
        <v>876</v>
      </c>
      <c r="E1118" s="6" t="n">
        <v>46201</v>
      </c>
      <c r="F1118" s="6" t="n">
        <v>46198</v>
      </c>
      <c r="G1118" s="1" t="s">
        <v>49</v>
      </c>
      <c r="H1118" s="1" t="s">
        <v>672</v>
      </c>
      <c r="I1118" s="1" t="s">
        <v>3324</v>
      </c>
      <c r="J1118" s="1" t="n">
        <v>12696.63</v>
      </c>
      <c r="K1118" s="1" t="n">
        <v>11790.4</v>
      </c>
      <c r="L1118" s="1" t="n">
        <v>0</v>
      </c>
      <c r="M1118" s="1" t="n">
        <v>11790.4</v>
      </c>
      <c r="N1118" s="1" t="s">
        <v>260</v>
      </c>
      <c r="P1118" s="1" t="n">
        <v>1</v>
      </c>
      <c r="Q1118" s="1" t="s">
        <v>42</v>
      </c>
      <c r="R1118" s="1" t="s">
        <v>74</v>
      </c>
    </row>
    <row r="1119" customFormat="false" ht="14.25" hidden="false" customHeight="true" outlineLevel="0" collapsed="false">
      <c r="A1119" s="1" t="s">
        <v>3325</v>
      </c>
      <c r="B1119" s="1" t="s">
        <v>187</v>
      </c>
      <c r="C1119" s="1" t="s">
        <v>386</v>
      </c>
      <c r="D1119" s="1" t="s">
        <v>1448</v>
      </c>
      <c r="E1119" s="6" t="n">
        <v>46039</v>
      </c>
      <c r="F1119" s="6" t="n">
        <v>46038</v>
      </c>
      <c r="G1119" s="1" t="s">
        <v>49</v>
      </c>
      <c r="H1119" s="1" t="s">
        <v>3326</v>
      </c>
      <c r="I1119" s="1" t="s">
        <v>3327</v>
      </c>
      <c r="J1119" s="1" t="n">
        <v>27121.96</v>
      </c>
      <c r="K1119" s="1" t="n">
        <v>23904.96</v>
      </c>
      <c r="L1119" s="1" t="n">
        <v>0</v>
      </c>
      <c r="M1119" s="1" t="n">
        <v>23904.96</v>
      </c>
      <c r="N1119" s="1" t="s">
        <v>52</v>
      </c>
      <c r="O1119" s="1" t="s">
        <v>265</v>
      </c>
      <c r="P1119" s="1" t="n">
        <v>7</v>
      </c>
      <c r="Q1119" s="1" t="s">
        <v>155</v>
      </c>
      <c r="R1119" s="1" t="s">
        <v>64</v>
      </c>
    </row>
    <row r="1120" customFormat="false" ht="14.25" hidden="false" customHeight="true" outlineLevel="0" collapsed="false">
      <c r="A1120" s="1" t="s">
        <v>3328</v>
      </c>
      <c r="B1120" s="1" t="s">
        <v>429</v>
      </c>
      <c r="C1120" s="1" t="s">
        <v>543</v>
      </c>
      <c r="D1120" s="1" t="s">
        <v>165</v>
      </c>
      <c r="E1120" s="6" t="n">
        <v>46173</v>
      </c>
      <c r="F1120" s="6" t="n">
        <v>46171</v>
      </c>
      <c r="G1120" s="1" t="s">
        <v>70</v>
      </c>
      <c r="H1120" s="1" t="s">
        <v>2650</v>
      </c>
      <c r="I1120" s="1" t="s">
        <v>3329</v>
      </c>
      <c r="J1120" s="1" t="n">
        <v>30174.95</v>
      </c>
      <c r="K1120" s="1" t="n">
        <v>23044.45</v>
      </c>
      <c r="L1120" s="1" t="n">
        <v>17327.57</v>
      </c>
      <c r="M1120" s="1" t="n">
        <v>5716.88</v>
      </c>
      <c r="N1120" s="1" t="s">
        <v>41</v>
      </c>
      <c r="P1120" s="1" t="n">
        <v>1</v>
      </c>
      <c r="Q1120" s="1" t="s">
        <v>155</v>
      </c>
      <c r="R1120" s="1" t="s">
        <v>54</v>
      </c>
      <c r="S1120" s="6" t="n">
        <v>46174</v>
      </c>
    </row>
    <row r="1121" customFormat="false" ht="14.25" hidden="false" customHeight="true" outlineLevel="0" collapsed="false">
      <c r="A1121" s="1" t="s">
        <v>3330</v>
      </c>
      <c r="B1121" s="1" t="s">
        <v>450</v>
      </c>
      <c r="C1121" s="1" t="s">
        <v>900</v>
      </c>
      <c r="D1121" s="1" t="s">
        <v>740</v>
      </c>
      <c r="E1121" s="6" t="n">
        <v>46101</v>
      </c>
      <c r="F1121" s="6" t="n">
        <v>46098</v>
      </c>
      <c r="G1121" s="1" t="s">
        <v>108</v>
      </c>
      <c r="H1121" s="1" t="s">
        <v>3331</v>
      </c>
      <c r="I1121" s="1" t="s">
        <v>2022</v>
      </c>
      <c r="J1121" s="1" t="n">
        <v>34279.22</v>
      </c>
      <c r="K1121" s="1" t="n">
        <v>25098.95</v>
      </c>
      <c r="L1121" s="1" t="n">
        <v>0</v>
      </c>
      <c r="M1121" s="1" t="n">
        <v>25098.95</v>
      </c>
      <c r="N1121" s="1" t="s">
        <v>260</v>
      </c>
      <c r="P1121" s="1" t="n">
        <v>7</v>
      </c>
      <c r="Q1121" s="1" t="s">
        <v>63</v>
      </c>
      <c r="R1121" s="1" t="s">
        <v>140</v>
      </c>
    </row>
    <row r="1122" customFormat="false" ht="14.25" hidden="false" customHeight="true" outlineLevel="0" collapsed="false">
      <c r="A1122" s="1" t="s">
        <v>3332</v>
      </c>
      <c r="B1122" s="1" t="s">
        <v>748</v>
      </c>
      <c r="C1122" s="1" t="s">
        <v>300</v>
      </c>
      <c r="D1122" s="1" t="s">
        <v>607</v>
      </c>
      <c r="E1122" s="6" t="n">
        <v>46028</v>
      </c>
      <c r="F1122" s="6" t="n">
        <v>46026</v>
      </c>
      <c r="G1122" s="1" t="s">
        <v>70</v>
      </c>
      <c r="H1122" s="1" t="s">
        <v>1430</v>
      </c>
      <c r="I1122" s="1" t="s">
        <v>3333</v>
      </c>
      <c r="J1122" s="1" t="n">
        <v>43326.33</v>
      </c>
      <c r="K1122" s="1" t="n">
        <v>34531.47</v>
      </c>
      <c r="L1122" s="1" t="n">
        <v>29723.79</v>
      </c>
      <c r="M1122" s="1" t="n">
        <v>4807.68</v>
      </c>
      <c r="N1122" s="1" t="s">
        <v>41</v>
      </c>
      <c r="P1122" s="1" t="n">
        <v>1</v>
      </c>
      <c r="Q1122" s="1" t="s">
        <v>42</v>
      </c>
      <c r="R1122" s="1" t="s">
        <v>125</v>
      </c>
      <c r="S1122" s="6" t="n">
        <v>46029</v>
      </c>
    </row>
    <row r="1123" customFormat="false" ht="14.25" hidden="false" customHeight="true" outlineLevel="0" collapsed="false">
      <c r="A1123" s="1" t="s">
        <v>3334</v>
      </c>
      <c r="B1123" s="1" t="s">
        <v>295</v>
      </c>
      <c r="C1123" s="1" t="s">
        <v>158</v>
      </c>
      <c r="D1123" s="1" t="s">
        <v>590</v>
      </c>
      <c r="E1123" s="6" t="n">
        <v>46178</v>
      </c>
      <c r="F1123" s="6" t="n">
        <v>46178</v>
      </c>
      <c r="G1123" s="1" t="s">
        <v>38</v>
      </c>
      <c r="H1123" s="1" t="s">
        <v>2330</v>
      </c>
      <c r="I1123" s="1" t="s">
        <v>3335</v>
      </c>
      <c r="J1123" s="1" t="n">
        <v>12504.57</v>
      </c>
      <c r="K1123" s="1" t="n">
        <v>11062.41</v>
      </c>
      <c r="L1123" s="1" t="n">
        <v>9010.58</v>
      </c>
      <c r="M1123" s="1" t="n">
        <v>2051.83</v>
      </c>
      <c r="N1123" s="1" t="s">
        <v>41</v>
      </c>
      <c r="P1123" s="1" t="n">
        <v>7</v>
      </c>
      <c r="Q1123" s="1" t="s">
        <v>63</v>
      </c>
      <c r="R1123" s="1" t="s">
        <v>74</v>
      </c>
      <c r="S1123" s="6" t="n">
        <v>46185</v>
      </c>
    </row>
    <row r="1124" customFormat="false" ht="14.25" hidden="false" customHeight="true" outlineLevel="0" collapsed="false">
      <c r="A1124" s="1" t="s">
        <v>3336</v>
      </c>
      <c r="B1124" s="1" t="s">
        <v>1311</v>
      </c>
      <c r="C1124" s="1" t="s">
        <v>221</v>
      </c>
      <c r="D1124" s="1" t="s">
        <v>865</v>
      </c>
      <c r="E1124" s="6" t="n">
        <v>46097</v>
      </c>
      <c r="F1124" s="6" t="n">
        <v>46097</v>
      </c>
      <c r="G1124" s="1" t="s">
        <v>49</v>
      </c>
      <c r="H1124" s="1" t="s">
        <v>2123</v>
      </c>
      <c r="I1124" s="1" t="s">
        <v>3337</v>
      </c>
      <c r="J1124" s="1" t="n">
        <v>31814.89</v>
      </c>
      <c r="K1124" s="1" t="n">
        <v>26441.2</v>
      </c>
      <c r="L1124" s="1" t="n">
        <v>22124.83</v>
      </c>
      <c r="M1124" s="1" t="n">
        <v>4316.37</v>
      </c>
      <c r="N1124" s="1" t="s">
        <v>41</v>
      </c>
      <c r="P1124" s="1" t="n">
        <v>1</v>
      </c>
      <c r="Q1124" s="1" t="s">
        <v>155</v>
      </c>
      <c r="R1124" s="1" t="s">
        <v>140</v>
      </c>
      <c r="S1124" s="6" t="n">
        <v>46098</v>
      </c>
    </row>
    <row r="1125" customFormat="false" ht="14.25" hidden="false" customHeight="true" outlineLevel="0" collapsed="false">
      <c r="A1125" s="1" t="s">
        <v>3338</v>
      </c>
      <c r="B1125" s="1" t="s">
        <v>913</v>
      </c>
      <c r="C1125" s="1" t="s">
        <v>543</v>
      </c>
      <c r="D1125" s="1" t="s">
        <v>250</v>
      </c>
      <c r="E1125" s="6" t="n">
        <v>46063</v>
      </c>
      <c r="F1125" s="6" t="n">
        <v>46061</v>
      </c>
      <c r="G1125" s="1" t="s">
        <v>38</v>
      </c>
      <c r="H1125" s="1" t="s">
        <v>2476</v>
      </c>
      <c r="I1125" s="1" t="s">
        <v>3339</v>
      </c>
      <c r="J1125" s="1" t="n">
        <v>38220.81</v>
      </c>
      <c r="K1125" s="1" t="n">
        <v>30025.42</v>
      </c>
      <c r="L1125" s="1" t="n">
        <v>29757.7</v>
      </c>
      <c r="M1125" s="1" t="n">
        <v>267.72</v>
      </c>
      <c r="N1125" s="1" t="s">
        <v>41</v>
      </c>
      <c r="P1125" s="1" t="n">
        <v>8</v>
      </c>
      <c r="Q1125" s="1" t="s">
        <v>42</v>
      </c>
      <c r="R1125" s="1" t="s">
        <v>54</v>
      </c>
      <c r="S1125" s="6" t="n">
        <v>46071</v>
      </c>
    </row>
    <row r="1126" customFormat="false" ht="14.25" hidden="false" customHeight="true" outlineLevel="0" collapsed="false">
      <c r="A1126" s="1" t="s">
        <v>3340</v>
      </c>
      <c r="B1126" s="1" t="s">
        <v>1617</v>
      </c>
      <c r="C1126" s="1" t="s">
        <v>85</v>
      </c>
      <c r="D1126" s="1" t="s">
        <v>326</v>
      </c>
      <c r="E1126" s="6" t="n">
        <v>46122</v>
      </c>
      <c r="F1126" s="6" t="n">
        <v>46122</v>
      </c>
      <c r="G1126" s="1" t="s">
        <v>49</v>
      </c>
      <c r="H1126" s="1" t="s">
        <v>701</v>
      </c>
      <c r="I1126" s="1" t="s">
        <v>3341</v>
      </c>
      <c r="J1126" s="1" t="n">
        <v>9255.44</v>
      </c>
      <c r="K1126" s="1" t="n">
        <v>7985.06</v>
      </c>
      <c r="L1126" s="1" t="n">
        <v>6188.25</v>
      </c>
      <c r="M1126" s="1" t="n">
        <v>1796.81</v>
      </c>
      <c r="N1126" s="1" t="s">
        <v>41</v>
      </c>
      <c r="P1126" s="1" t="n">
        <v>6</v>
      </c>
      <c r="Q1126" s="1" t="s">
        <v>42</v>
      </c>
      <c r="R1126" s="1" t="s">
        <v>54</v>
      </c>
      <c r="S1126" s="6" t="n">
        <v>46128</v>
      </c>
    </row>
    <row r="1127" customFormat="false" ht="14.25" hidden="false" customHeight="true" outlineLevel="0" collapsed="false">
      <c r="A1127" s="1" t="s">
        <v>3342</v>
      </c>
      <c r="B1127" s="1" t="s">
        <v>1441</v>
      </c>
      <c r="C1127" s="1" t="s">
        <v>158</v>
      </c>
      <c r="D1127" s="1" t="s">
        <v>953</v>
      </c>
      <c r="E1127" s="6" t="n">
        <v>46053</v>
      </c>
      <c r="F1127" s="6" t="n">
        <v>46050</v>
      </c>
      <c r="G1127" s="1" t="s">
        <v>108</v>
      </c>
      <c r="H1127" s="1" t="s">
        <v>2021</v>
      </c>
      <c r="I1127" s="1" t="s">
        <v>3343</v>
      </c>
      <c r="J1127" s="1" t="n">
        <v>49107.94</v>
      </c>
      <c r="K1127" s="1" t="n">
        <v>39009.39</v>
      </c>
      <c r="L1127" s="1" t="n">
        <v>0</v>
      </c>
      <c r="M1127" s="1" t="n">
        <v>39009.39</v>
      </c>
      <c r="N1127" s="1" t="s">
        <v>111</v>
      </c>
      <c r="P1127" s="1" t="n">
        <v>11</v>
      </c>
      <c r="Q1127" s="1" t="s">
        <v>63</v>
      </c>
      <c r="R1127" s="1" t="s">
        <v>125</v>
      </c>
    </row>
    <row r="1128" customFormat="false" ht="14.25" hidden="false" customHeight="true" outlineLevel="0" collapsed="false">
      <c r="A1128" s="1" t="s">
        <v>3344</v>
      </c>
      <c r="B1128" s="1" t="s">
        <v>2215</v>
      </c>
      <c r="C1128" s="1" t="s">
        <v>686</v>
      </c>
      <c r="D1128" s="1" t="s">
        <v>476</v>
      </c>
      <c r="E1128" s="6" t="n">
        <v>46028</v>
      </c>
      <c r="F1128" s="6" t="n">
        <v>46026</v>
      </c>
      <c r="G1128" s="1" t="s">
        <v>108</v>
      </c>
      <c r="H1128" s="1" t="s">
        <v>1449</v>
      </c>
      <c r="I1128" s="1" t="s">
        <v>3345</v>
      </c>
      <c r="J1128" s="1" t="n">
        <v>49713.69</v>
      </c>
      <c r="K1128" s="1" t="n">
        <v>38407.04</v>
      </c>
      <c r="L1128" s="1" t="n">
        <v>31331.72</v>
      </c>
      <c r="M1128" s="1" t="n">
        <v>7075.32</v>
      </c>
      <c r="N1128" s="1" t="s">
        <v>41</v>
      </c>
      <c r="P1128" s="1" t="n">
        <v>3</v>
      </c>
      <c r="Q1128" s="1" t="s">
        <v>155</v>
      </c>
      <c r="R1128" s="1" t="s">
        <v>64</v>
      </c>
      <c r="S1128" s="6" t="n">
        <v>46031</v>
      </c>
    </row>
    <row r="1129" customFormat="false" ht="14.25" hidden="false" customHeight="true" outlineLevel="0" collapsed="false">
      <c r="A1129" s="1" t="s">
        <v>3346</v>
      </c>
      <c r="B1129" s="1" t="s">
        <v>493</v>
      </c>
      <c r="C1129" s="1" t="s">
        <v>221</v>
      </c>
      <c r="D1129" s="1" t="s">
        <v>418</v>
      </c>
      <c r="E1129" s="6" t="n">
        <v>46088</v>
      </c>
      <c r="F1129" s="6" t="n">
        <v>46087</v>
      </c>
      <c r="G1129" s="1" t="s">
        <v>49</v>
      </c>
      <c r="H1129" s="1" t="s">
        <v>3120</v>
      </c>
      <c r="I1129" s="1" t="s">
        <v>3347</v>
      </c>
      <c r="J1129" s="1" t="n">
        <v>44282.65</v>
      </c>
      <c r="K1129" s="1" t="n">
        <v>33329.12</v>
      </c>
      <c r="L1129" s="1" t="n">
        <v>0</v>
      </c>
      <c r="M1129" s="1" t="n">
        <v>33329.12</v>
      </c>
      <c r="N1129" s="1" t="s">
        <v>111</v>
      </c>
      <c r="P1129" s="1" t="n">
        <v>10</v>
      </c>
      <c r="Q1129" s="1" t="s">
        <v>155</v>
      </c>
      <c r="R1129" s="1" t="s">
        <v>43</v>
      </c>
    </row>
    <row r="1130" customFormat="false" ht="14.25" hidden="false" customHeight="true" outlineLevel="0" collapsed="false">
      <c r="A1130" s="1" t="s">
        <v>3348</v>
      </c>
      <c r="B1130" s="1" t="s">
        <v>2141</v>
      </c>
      <c r="C1130" s="1" t="s">
        <v>68</v>
      </c>
      <c r="D1130" s="1" t="s">
        <v>607</v>
      </c>
      <c r="E1130" s="6" t="n">
        <v>46166</v>
      </c>
      <c r="F1130" s="6" t="n">
        <v>46164</v>
      </c>
      <c r="G1130" s="1" t="s">
        <v>38</v>
      </c>
      <c r="H1130" s="1" t="s">
        <v>1867</v>
      </c>
      <c r="I1130" s="1" t="s">
        <v>3349</v>
      </c>
      <c r="J1130" s="1" t="n">
        <v>31960.12</v>
      </c>
      <c r="K1130" s="1" t="n">
        <v>24307.23</v>
      </c>
      <c r="L1130" s="1" t="n">
        <v>0</v>
      </c>
      <c r="M1130" s="1" t="n">
        <v>24307.23</v>
      </c>
      <c r="N1130" s="1" t="s">
        <v>260</v>
      </c>
      <c r="P1130" s="1" t="n">
        <v>5</v>
      </c>
      <c r="Q1130" s="1" t="s">
        <v>42</v>
      </c>
      <c r="R1130" s="1" t="s">
        <v>102</v>
      </c>
    </row>
    <row r="1131" customFormat="false" ht="14.25" hidden="false" customHeight="true" outlineLevel="0" collapsed="false">
      <c r="A1131" s="1" t="s">
        <v>3350</v>
      </c>
      <c r="B1131" s="1" t="s">
        <v>3057</v>
      </c>
      <c r="C1131" s="1" t="s">
        <v>543</v>
      </c>
      <c r="D1131" s="1" t="s">
        <v>331</v>
      </c>
      <c r="E1131" s="6" t="n">
        <v>46089</v>
      </c>
      <c r="F1131" s="6" t="n">
        <v>46087</v>
      </c>
      <c r="G1131" s="1" t="s">
        <v>70</v>
      </c>
      <c r="H1131" s="1" t="s">
        <v>3351</v>
      </c>
      <c r="I1131" s="1" t="s">
        <v>3352</v>
      </c>
      <c r="J1131" s="1" t="n">
        <v>49007.44</v>
      </c>
      <c r="K1131" s="1" t="n">
        <v>35800.25</v>
      </c>
      <c r="L1131" s="1" t="n">
        <v>0</v>
      </c>
      <c r="M1131" s="1" t="n">
        <v>35800.25</v>
      </c>
      <c r="N1131" s="1" t="s">
        <v>52</v>
      </c>
      <c r="O1131" s="1" t="s">
        <v>62</v>
      </c>
      <c r="P1131" s="1" t="n">
        <v>1</v>
      </c>
      <c r="Q1131" s="1" t="s">
        <v>63</v>
      </c>
      <c r="R1131" s="1" t="s">
        <v>74</v>
      </c>
    </row>
    <row r="1132" customFormat="false" ht="14.25" hidden="false" customHeight="true" outlineLevel="0" collapsed="false">
      <c r="A1132" s="1" t="s">
        <v>3353</v>
      </c>
      <c r="B1132" s="1" t="s">
        <v>1318</v>
      </c>
      <c r="C1132" s="1" t="s">
        <v>376</v>
      </c>
      <c r="D1132" s="1" t="s">
        <v>341</v>
      </c>
      <c r="E1132" s="6" t="n">
        <v>46061</v>
      </c>
      <c r="F1132" s="6" t="n">
        <v>46060</v>
      </c>
      <c r="G1132" s="1" t="s">
        <v>49</v>
      </c>
      <c r="H1132" s="1" t="s">
        <v>3354</v>
      </c>
      <c r="I1132" s="1" t="s">
        <v>3355</v>
      </c>
      <c r="J1132" s="1" t="n">
        <v>4296.84</v>
      </c>
      <c r="K1132" s="1" t="n">
        <v>2973.34</v>
      </c>
      <c r="L1132" s="1" t="n">
        <v>0</v>
      </c>
      <c r="M1132" s="1" t="n">
        <v>2973.34</v>
      </c>
      <c r="N1132" s="1" t="s">
        <v>52</v>
      </c>
      <c r="O1132" s="1" t="s">
        <v>265</v>
      </c>
      <c r="P1132" s="1" t="n">
        <v>4</v>
      </c>
      <c r="Q1132" s="1" t="s">
        <v>63</v>
      </c>
      <c r="R1132" s="1" t="s">
        <v>43</v>
      </c>
    </row>
    <row r="1133" customFormat="false" ht="14.25" hidden="false" customHeight="true" outlineLevel="0" collapsed="false">
      <c r="A1133" s="1" t="s">
        <v>3356</v>
      </c>
      <c r="B1133" s="1" t="s">
        <v>690</v>
      </c>
      <c r="C1133" s="1" t="s">
        <v>346</v>
      </c>
      <c r="D1133" s="1" t="s">
        <v>732</v>
      </c>
      <c r="E1133" s="6" t="n">
        <v>46224</v>
      </c>
      <c r="F1133" s="6" t="n">
        <v>46221</v>
      </c>
      <c r="G1133" s="1" t="s">
        <v>49</v>
      </c>
      <c r="H1133" s="1" t="s">
        <v>3357</v>
      </c>
      <c r="I1133" s="1" t="s">
        <v>3358</v>
      </c>
      <c r="J1133" s="1" t="n">
        <v>12523.36</v>
      </c>
      <c r="K1133" s="1" t="n">
        <v>9242.75</v>
      </c>
      <c r="L1133" s="1" t="n">
        <v>0</v>
      </c>
      <c r="M1133" s="1" t="n">
        <v>9242.75</v>
      </c>
      <c r="N1133" s="1" t="s">
        <v>52</v>
      </c>
      <c r="O1133" s="1" t="s">
        <v>62</v>
      </c>
      <c r="P1133" s="1" t="n">
        <v>3</v>
      </c>
      <c r="Q1133" s="1" t="s">
        <v>155</v>
      </c>
      <c r="R1133" s="1" t="s">
        <v>43</v>
      </c>
    </row>
    <row r="1134" customFormat="false" ht="14.25" hidden="false" customHeight="true" outlineLevel="0" collapsed="false">
      <c r="A1134" s="1" t="s">
        <v>3359</v>
      </c>
      <c r="B1134" s="1" t="s">
        <v>1013</v>
      </c>
      <c r="C1134" s="1" t="s">
        <v>671</v>
      </c>
      <c r="D1134" s="1" t="s">
        <v>336</v>
      </c>
      <c r="E1134" s="6" t="n">
        <v>46118</v>
      </c>
      <c r="F1134" s="6" t="n">
        <v>46113</v>
      </c>
      <c r="G1134" s="1" t="s">
        <v>70</v>
      </c>
      <c r="H1134" s="1" t="s">
        <v>1365</v>
      </c>
      <c r="I1134" s="1" t="s">
        <v>2586</v>
      </c>
      <c r="J1134" s="1" t="n">
        <v>27373.65</v>
      </c>
      <c r="K1134" s="1" t="n">
        <v>24372.37</v>
      </c>
      <c r="L1134" s="1" t="n">
        <v>18689.17</v>
      </c>
      <c r="M1134" s="1" t="n">
        <v>5683.2</v>
      </c>
      <c r="N1134" s="1" t="s">
        <v>41</v>
      </c>
      <c r="P1134" s="1" t="n">
        <v>7</v>
      </c>
      <c r="Q1134" s="1" t="s">
        <v>155</v>
      </c>
      <c r="R1134" s="1" t="s">
        <v>43</v>
      </c>
      <c r="S1134" s="6" t="n">
        <v>46125</v>
      </c>
    </row>
    <row r="1135" customFormat="false" ht="14.25" hidden="false" customHeight="true" outlineLevel="0" collapsed="false">
      <c r="A1135" s="1" t="s">
        <v>3360</v>
      </c>
      <c r="B1135" s="1" t="s">
        <v>197</v>
      </c>
      <c r="C1135" s="1" t="s">
        <v>244</v>
      </c>
      <c r="D1135" s="1" t="s">
        <v>607</v>
      </c>
      <c r="E1135" s="6" t="n">
        <v>46179</v>
      </c>
      <c r="F1135" s="6" t="n">
        <v>46178</v>
      </c>
      <c r="G1135" s="1" t="s">
        <v>108</v>
      </c>
      <c r="H1135" s="1" t="s">
        <v>251</v>
      </c>
      <c r="I1135" s="1" t="s">
        <v>3361</v>
      </c>
      <c r="J1135" s="1" t="n">
        <v>27493.27</v>
      </c>
      <c r="K1135" s="1" t="n">
        <v>24714.33</v>
      </c>
      <c r="L1135" s="1" t="n">
        <v>20183.98</v>
      </c>
      <c r="M1135" s="1" t="n">
        <v>4530.35</v>
      </c>
      <c r="N1135" s="1" t="s">
        <v>41</v>
      </c>
      <c r="P1135" s="1" t="n">
        <v>4</v>
      </c>
      <c r="Q1135" s="1" t="s">
        <v>42</v>
      </c>
      <c r="R1135" s="1" t="s">
        <v>54</v>
      </c>
      <c r="S1135" s="6" t="n">
        <v>46183</v>
      </c>
    </row>
    <row r="1136" customFormat="false" ht="14.25" hidden="false" customHeight="true" outlineLevel="0" collapsed="false">
      <c r="A1136" s="1" t="s">
        <v>3362</v>
      </c>
      <c r="B1136" s="1" t="s">
        <v>2228</v>
      </c>
      <c r="C1136" s="1" t="s">
        <v>68</v>
      </c>
      <c r="D1136" s="1" t="s">
        <v>712</v>
      </c>
      <c r="E1136" s="6" t="n">
        <v>46209</v>
      </c>
      <c r="F1136" s="6" t="n">
        <v>46206</v>
      </c>
      <c r="G1136" s="1" t="s">
        <v>70</v>
      </c>
      <c r="H1136" s="1" t="s">
        <v>455</v>
      </c>
      <c r="I1136" s="1" t="s">
        <v>3363</v>
      </c>
      <c r="J1136" s="1" t="n">
        <v>25505.25</v>
      </c>
      <c r="K1136" s="1" t="n">
        <v>20512.77</v>
      </c>
      <c r="L1136" s="1" t="n">
        <v>15727.97</v>
      </c>
      <c r="M1136" s="1" t="n">
        <v>4784.8</v>
      </c>
      <c r="N1136" s="1" t="s">
        <v>41</v>
      </c>
      <c r="P1136" s="1" t="n">
        <v>7</v>
      </c>
      <c r="Q1136" s="1" t="s">
        <v>63</v>
      </c>
      <c r="R1136" s="1" t="s">
        <v>102</v>
      </c>
      <c r="S1136" s="6" t="n">
        <v>46216</v>
      </c>
    </row>
    <row r="1137" customFormat="false" ht="14.25" hidden="false" customHeight="true" outlineLevel="0" collapsed="false">
      <c r="A1137" s="1" t="s">
        <v>3364</v>
      </c>
      <c r="B1137" s="1" t="s">
        <v>983</v>
      </c>
      <c r="C1137" s="1" t="s">
        <v>446</v>
      </c>
      <c r="D1137" s="1" t="s">
        <v>382</v>
      </c>
      <c r="E1137" s="6" t="n">
        <v>46132</v>
      </c>
      <c r="F1137" s="6" t="n">
        <v>46132</v>
      </c>
      <c r="G1137" s="1" t="s">
        <v>38</v>
      </c>
      <c r="H1137" s="1" t="s">
        <v>3365</v>
      </c>
      <c r="I1137" s="1" t="s">
        <v>3366</v>
      </c>
      <c r="J1137" s="1" t="n">
        <v>10908.17</v>
      </c>
      <c r="K1137" s="1" t="n">
        <v>8841.33</v>
      </c>
      <c r="L1137" s="1" t="n">
        <v>0</v>
      </c>
      <c r="M1137" s="1" t="n">
        <v>8841.33</v>
      </c>
      <c r="N1137" s="1" t="s">
        <v>52</v>
      </c>
      <c r="O1137" s="1" t="s">
        <v>53</v>
      </c>
      <c r="P1137" s="1" t="n">
        <v>6</v>
      </c>
      <c r="Q1137" s="1" t="s">
        <v>155</v>
      </c>
      <c r="R1137" s="1" t="s">
        <v>74</v>
      </c>
    </row>
    <row r="1138" customFormat="false" ht="14.25" hidden="false" customHeight="true" outlineLevel="0" collapsed="false">
      <c r="A1138" s="1" t="s">
        <v>3367</v>
      </c>
      <c r="B1138" s="1" t="s">
        <v>764</v>
      </c>
      <c r="C1138" s="1" t="s">
        <v>296</v>
      </c>
      <c r="D1138" s="1" t="s">
        <v>326</v>
      </c>
      <c r="E1138" s="6" t="n">
        <v>46203</v>
      </c>
      <c r="F1138" s="6" t="n">
        <v>46198</v>
      </c>
      <c r="G1138" s="1" t="s">
        <v>49</v>
      </c>
      <c r="H1138" s="1" t="s">
        <v>1853</v>
      </c>
      <c r="I1138" s="1" t="s">
        <v>3368</v>
      </c>
      <c r="J1138" s="1" t="n">
        <v>40122.43</v>
      </c>
      <c r="K1138" s="1" t="n">
        <v>34138.39</v>
      </c>
      <c r="L1138" s="1" t="n">
        <v>0</v>
      </c>
      <c r="M1138" s="1" t="n">
        <v>34138.39</v>
      </c>
      <c r="N1138" s="1" t="s">
        <v>52</v>
      </c>
      <c r="O1138" s="1" t="s">
        <v>73</v>
      </c>
      <c r="P1138" s="1" t="n">
        <v>4</v>
      </c>
      <c r="Q1138" s="1" t="s">
        <v>42</v>
      </c>
      <c r="R1138" s="1" t="s">
        <v>102</v>
      </c>
    </row>
    <row r="1139" customFormat="false" ht="14.25" hidden="false" customHeight="true" outlineLevel="0" collapsed="false">
      <c r="A1139" s="1" t="s">
        <v>3369</v>
      </c>
      <c r="B1139" s="1" t="s">
        <v>869</v>
      </c>
      <c r="C1139" s="1" t="s">
        <v>543</v>
      </c>
      <c r="D1139" s="1" t="s">
        <v>520</v>
      </c>
      <c r="E1139" s="6" t="n">
        <v>46165</v>
      </c>
      <c r="F1139" s="6" t="n">
        <v>46160</v>
      </c>
      <c r="G1139" s="1" t="s">
        <v>49</v>
      </c>
      <c r="H1139" s="1" t="s">
        <v>2943</v>
      </c>
      <c r="I1139" s="1" t="s">
        <v>3370</v>
      </c>
      <c r="J1139" s="1" t="n">
        <v>31293.9</v>
      </c>
      <c r="K1139" s="1" t="n">
        <v>25779.41</v>
      </c>
      <c r="L1139" s="1" t="n">
        <v>25703.18</v>
      </c>
      <c r="M1139" s="1" t="n">
        <v>76.23</v>
      </c>
      <c r="N1139" s="1" t="s">
        <v>41</v>
      </c>
      <c r="P1139" s="1" t="n">
        <v>3</v>
      </c>
      <c r="Q1139" s="1" t="s">
        <v>63</v>
      </c>
      <c r="R1139" s="1" t="s">
        <v>54</v>
      </c>
      <c r="S1139" s="6" t="n">
        <v>46168</v>
      </c>
    </row>
    <row r="1140" customFormat="false" ht="14.25" hidden="false" customHeight="true" outlineLevel="0" collapsed="false">
      <c r="A1140" s="1" t="s">
        <v>3371</v>
      </c>
      <c r="B1140" s="1" t="s">
        <v>960</v>
      </c>
      <c r="C1140" s="1" t="s">
        <v>361</v>
      </c>
      <c r="D1140" s="1" t="s">
        <v>717</v>
      </c>
      <c r="E1140" s="6" t="n">
        <v>46096</v>
      </c>
      <c r="F1140" s="6" t="n">
        <v>46093</v>
      </c>
      <c r="G1140" s="1" t="s">
        <v>70</v>
      </c>
      <c r="H1140" s="1" t="s">
        <v>3204</v>
      </c>
      <c r="I1140" s="1" t="s">
        <v>3372</v>
      </c>
      <c r="J1140" s="1" t="n">
        <v>13062.76</v>
      </c>
      <c r="K1140" s="1" t="n">
        <v>9402.12</v>
      </c>
      <c r="L1140" s="1" t="n">
        <v>0</v>
      </c>
      <c r="M1140" s="1" t="n">
        <v>9402.12</v>
      </c>
      <c r="N1140" s="1" t="s">
        <v>111</v>
      </c>
      <c r="P1140" s="1" t="n">
        <v>5</v>
      </c>
      <c r="Q1140" s="1" t="s">
        <v>155</v>
      </c>
      <c r="R1140" s="1" t="s">
        <v>140</v>
      </c>
    </row>
    <row r="1141" customFormat="false" ht="14.25" hidden="false" customHeight="true" outlineLevel="0" collapsed="false">
      <c r="A1141" s="1" t="s">
        <v>3373</v>
      </c>
      <c r="B1141" s="1" t="s">
        <v>731</v>
      </c>
      <c r="C1141" s="1" t="s">
        <v>367</v>
      </c>
      <c r="D1141" s="1" t="s">
        <v>239</v>
      </c>
      <c r="E1141" s="6" t="n">
        <v>46170</v>
      </c>
      <c r="F1141" s="6" t="n">
        <v>46165</v>
      </c>
      <c r="G1141" s="1" t="s">
        <v>49</v>
      </c>
      <c r="H1141" s="1" t="s">
        <v>1931</v>
      </c>
      <c r="I1141" s="1" t="s">
        <v>3374</v>
      </c>
      <c r="J1141" s="1" t="n">
        <v>22751.76</v>
      </c>
      <c r="K1141" s="1" t="n">
        <v>18347.91</v>
      </c>
      <c r="L1141" s="1" t="n">
        <v>14853.86</v>
      </c>
      <c r="M1141" s="1" t="n">
        <v>3494.05</v>
      </c>
      <c r="N1141" s="1" t="s">
        <v>41</v>
      </c>
      <c r="P1141" s="1" t="n">
        <v>2</v>
      </c>
      <c r="Q1141" s="1" t="s">
        <v>155</v>
      </c>
      <c r="R1141" s="1" t="s">
        <v>64</v>
      </c>
      <c r="S1141" s="6" t="n">
        <v>46172</v>
      </c>
    </row>
    <row r="1142" customFormat="false" ht="14.25" hidden="false" customHeight="true" outlineLevel="0" collapsed="false">
      <c r="A1142" s="1" t="s">
        <v>3375</v>
      </c>
      <c r="B1142" s="1" t="s">
        <v>1621</v>
      </c>
      <c r="C1142" s="1" t="s">
        <v>296</v>
      </c>
      <c r="D1142" s="1" t="s">
        <v>177</v>
      </c>
      <c r="E1142" s="6" t="n">
        <v>46077</v>
      </c>
      <c r="F1142" s="6" t="n">
        <v>46076</v>
      </c>
      <c r="G1142" s="1" t="s">
        <v>108</v>
      </c>
      <c r="H1142" s="1" t="s">
        <v>1796</v>
      </c>
      <c r="I1142" s="1" t="s">
        <v>3376</v>
      </c>
      <c r="J1142" s="1" t="n">
        <v>25976.85</v>
      </c>
      <c r="K1142" s="1" t="n">
        <v>17269.74</v>
      </c>
      <c r="L1142" s="1" t="n">
        <v>15448.1</v>
      </c>
      <c r="M1142" s="1" t="n">
        <v>1821.64</v>
      </c>
      <c r="N1142" s="1" t="s">
        <v>41</v>
      </c>
      <c r="P1142" s="1" t="n">
        <v>4</v>
      </c>
      <c r="Q1142" s="1" t="s">
        <v>155</v>
      </c>
      <c r="R1142" s="1" t="s">
        <v>140</v>
      </c>
      <c r="S1142" s="6" t="n">
        <v>46081</v>
      </c>
    </row>
    <row r="1143" customFormat="false" ht="14.25" hidden="false" customHeight="true" outlineLevel="0" collapsed="false">
      <c r="A1143" s="1" t="s">
        <v>3377</v>
      </c>
      <c r="B1143" s="1" t="s">
        <v>163</v>
      </c>
      <c r="C1143" s="1" t="s">
        <v>335</v>
      </c>
      <c r="D1143" s="1" t="s">
        <v>501</v>
      </c>
      <c r="E1143" s="6" t="n">
        <v>46082</v>
      </c>
      <c r="F1143" s="6" t="n">
        <v>46081</v>
      </c>
      <c r="G1143" s="1" t="s">
        <v>108</v>
      </c>
      <c r="H1143" s="1" t="s">
        <v>1931</v>
      </c>
      <c r="I1143" s="1" t="s">
        <v>3378</v>
      </c>
      <c r="J1143" s="1" t="n">
        <v>1305.73</v>
      </c>
      <c r="K1143" s="1" t="n">
        <v>1119.66</v>
      </c>
      <c r="L1143" s="1" t="n">
        <v>0</v>
      </c>
      <c r="M1143" s="1" t="n">
        <v>1119.66</v>
      </c>
      <c r="N1143" s="1" t="s">
        <v>52</v>
      </c>
      <c r="O1143" s="1" t="s">
        <v>62</v>
      </c>
      <c r="P1143" s="1" t="n">
        <v>7</v>
      </c>
      <c r="Q1143" s="1" t="s">
        <v>42</v>
      </c>
      <c r="R1143" s="1" t="s">
        <v>64</v>
      </c>
    </row>
    <row r="1144" customFormat="false" ht="14.25" hidden="false" customHeight="true" outlineLevel="0" collapsed="false">
      <c r="A1144" s="1" t="s">
        <v>3379</v>
      </c>
      <c r="B1144" s="1" t="s">
        <v>1228</v>
      </c>
      <c r="C1144" s="1" t="s">
        <v>436</v>
      </c>
      <c r="D1144" s="1" t="s">
        <v>1084</v>
      </c>
      <c r="E1144" s="6" t="n">
        <v>46198</v>
      </c>
      <c r="F1144" s="6" t="n">
        <v>46194</v>
      </c>
      <c r="G1144" s="1" t="s">
        <v>38</v>
      </c>
      <c r="H1144" s="1" t="s">
        <v>2733</v>
      </c>
      <c r="I1144" s="1" t="s">
        <v>3380</v>
      </c>
      <c r="J1144" s="1" t="n">
        <v>33998.4</v>
      </c>
      <c r="K1144" s="1" t="n">
        <v>29390.25</v>
      </c>
      <c r="L1144" s="1" t="n">
        <v>0</v>
      </c>
      <c r="M1144" s="1" t="n">
        <v>29390.25</v>
      </c>
      <c r="N1144" s="1" t="s">
        <v>52</v>
      </c>
      <c r="O1144" s="1" t="s">
        <v>53</v>
      </c>
      <c r="P1144" s="1" t="n">
        <v>2</v>
      </c>
      <c r="Q1144" s="1" t="s">
        <v>155</v>
      </c>
      <c r="R1144" s="1" t="s">
        <v>102</v>
      </c>
    </row>
    <row r="1145" customFormat="false" ht="14.25" hidden="false" customHeight="true" outlineLevel="0" collapsed="false">
      <c r="A1145" s="1" t="s">
        <v>3381</v>
      </c>
      <c r="B1145" s="1" t="s">
        <v>440</v>
      </c>
      <c r="C1145" s="1" t="s">
        <v>273</v>
      </c>
      <c r="D1145" s="1" t="s">
        <v>130</v>
      </c>
      <c r="E1145" s="6" t="n">
        <v>46043</v>
      </c>
      <c r="F1145" s="6" t="n">
        <v>46038</v>
      </c>
      <c r="G1145" s="1" t="s">
        <v>49</v>
      </c>
      <c r="H1145" s="1" t="s">
        <v>2008</v>
      </c>
      <c r="I1145" s="1" t="s">
        <v>2602</v>
      </c>
      <c r="J1145" s="1" t="n">
        <v>27875.11</v>
      </c>
      <c r="K1145" s="1" t="n">
        <v>25883.9</v>
      </c>
      <c r="L1145" s="1" t="n">
        <v>23618.25</v>
      </c>
      <c r="M1145" s="1" t="n">
        <v>2265.65</v>
      </c>
      <c r="N1145" s="1" t="s">
        <v>41</v>
      </c>
      <c r="P1145" s="1" t="n">
        <v>2</v>
      </c>
      <c r="Q1145" s="1" t="s">
        <v>42</v>
      </c>
      <c r="R1145" s="1" t="s">
        <v>74</v>
      </c>
      <c r="S1145" s="6" t="n">
        <v>46045</v>
      </c>
    </row>
    <row r="1146" customFormat="false" ht="14.25" hidden="false" customHeight="true" outlineLevel="0" collapsed="false">
      <c r="A1146" s="1" t="s">
        <v>3382</v>
      </c>
      <c r="B1146" s="1" t="s">
        <v>569</v>
      </c>
      <c r="C1146" s="1" t="s">
        <v>151</v>
      </c>
      <c r="D1146" s="1" t="s">
        <v>953</v>
      </c>
      <c r="E1146" s="6" t="n">
        <v>46059</v>
      </c>
      <c r="F1146" s="6" t="n">
        <v>46058</v>
      </c>
      <c r="G1146" s="1" t="s">
        <v>108</v>
      </c>
      <c r="H1146" s="1" t="s">
        <v>1270</v>
      </c>
      <c r="I1146" s="1" t="s">
        <v>1142</v>
      </c>
      <c r="J1146" s="1" t="n">
        <v>20729.07</v>
      </c>
      <c r="K1146" s="1" t="n">
        <v>19583.43</v>
      </c>
      <c r="L1146" s="1" t="n">
        <v>16236.58</v>
      </c>
      <c r="M1146" s="1" t="n">
        <v>3346.85</v>
      </c>
      <c r="N1146" s="1" t="s">
        <v>41</v>
      </c>
      <c r="P1146" s="1" t="n">
        <v>2</v>
      </c>
      <c r="Q1146" s="1" t="s">
        <v>155</v>
      </c>
      <c r="R1146" s="1" t="s">
        <v>54</v>
      </c>
      <c r="S1146" s="6" t="n">
        <v>46061</v>
      </c>
    </row>
    <row r="1147" customFormat="false" ht="14.25" hidden="false" customHeight="true" outlineLevel="0" collapsed="false">
      <c r="A1147" s="1" t="s">
        <v>3383</v>
      </c>
      <c r="B1147" s="1" t="s">
        <v>197</v>
      </c>
      <c r="C1147" s="1" t="s">
        <v>346</v>
      </c>
      <c r="D1147" s="1" t="s">
        <v>183</v>
      </c>
      <c r="E1147" s="6" t="n">
        <v>46119</v>
      </c>
      <c r="F1147" s="6" t="n">
        <v>46117</v>
      </c>
      <c r="G1147" s="1" t="s">
        <v>108</v>
      </c>
      <c r="H1147" s="1" t="s">
        <v>3384</v>
      </c>
      <c r="I1147" s="1" t="s">
        <v>3385</v>
      </c>
      <c r="J1147" s="1" t="n">
        <v>47648.6</v>
      </c>
      <c r="K1147" s="1" t="n">
        <v>39381.47</v>
      </c>
      <c r="L1147" s="1" t="n">
        <v>0</v>
      </c>
      <c r="M1147" s="1" t="n">
        <v>39381.47</v>
      </c>
      <c r="N1147" s="1" t="s">
        <v>52</v>
      </c>
      <c r="O1147" s="1" t="s">
        <v>53</v>
      </c>
      <c r="P1147" s="1" t="n">
        <v>8</v>
      </c>
      <c r="Q1147" s="1" t="s">
        <v>42</v>
      </c>
      <c r="R1147" s="1" t="s">
        <v>43</v>
      </c>
    </row>
    <row r="1148" customFormat="false" ht="14.25" hidden="false" customHeight="true" outlineLevel="0" collapsed="false">
      <c r="A1148" s="1" t="s">
        <v>3386</v>
      </c>
      <c r="B1148" s="1" t="s">
        <v>716</v>
      </c>
      <c r="C1148" s="1" t="s">
        <v>47</v>
      </c>
      <c r="D1148" s="1" t="s">
        <v>122</v>
      </c>
      <c r="E1148" s="6" t="n">
        <v>46133</v>
      </c>
      <c r="F1148" s="6" t="n">
        <v>46131</v>
      </c>
      <c r="G1148" s="1" t="s">
        <v>38</v>
      </c>
      <c r="H1148" s="1" t="s">
        <v>1122</v>
      </c>
      <c r="I1148" s="1" t="s">
        <v>3387</v>
      </c>
      <c r="J1148" s="1" t="n">
        <v>1145.57</v>
      </c>
      <c r="K1148" s="1" t="n">
        <v>967.08</v>
      </c>
      <c r="L1148" s="1" t="n">
        <v>946.81</v>
      </c>
      <c r="M1148" s="1" t="n">
        <v>20.27</v>
      </c>
      <c r="N1148" s="1" t="s">
        <v>41</v>
      </c>
      <c r="P1148" s="1" t="n">
        <v>5</v>
      </c>
      <c r="Q1148" s="1" t="s">
        <v>63</v>
      </c>
      <c r="R1148" s="1" t="s">
        <v>64</v>
      </c>
      <c r="S1148" s="6" t="n">
        <v>46138</v>
      </c>
    </row>
    <row r="1149" customFormat="false" ht="14.25" hidden="false" customHeight="true" outlineLevel="0" collapsed="false">
      <c r="A1149" s="1" t="s">
        <v>3388</v>
      </c>
      <c r="B1149" s="1" t="s">
        <v>1725</v>
      </c>
      <c r="C1149" s="1" t="s">
        <v>233</v>
      </c>
      <c r="D1149" s="1" t="s">
        <v>529</v>
      </c>
      <c r="E1149" s="6" t="n">
        <v>46105</v>
      </c>
      <c r="F1149" s="6" t="n">
        <v>46105</v>
      </c>
      <c r="G1149" s="1" t="s">
        <v>108</v>
      </c>
      <c r="H1149" s="1" t="s">
        <v>3389</v>
      </c>
      <c r="I1149" s="1" t="s">
        <v>3390</v>
      </c>
      <c r="J1149" s="1" t="n">
        <v>40988.27</v>
      </c>
      <c r="K1149" s="1" t="n">
        <v>37909.74</v>
      </c>
      <c r="L1149" s="1" t="n">
        <v>30980.45</v>
      </c>
      <c r="M1149" s="1" t="n">
        <v>6929.29</v>
      </c>
      <c r="N1149" s="1" t="s">
        <v>41</v>
      </c>
      <c r="P1149" s="1" t="n">
        <v>8</v>
      </c>
      <c r="Q1149" s="1" t="s">
        <v>63</v>
      </c>
      <c r="R1149" s="1" t="s">
        <v>43</v>
      </c>
      <c r="S1149" s="6" t="n">
        <v>46113</v>
      </c>
    </row>
    <row r="1150" customFormat="false" ht="14.25" hidden="false" customHeight="true" outlineLevel="0" collapsed="false">
      <c r="A1150" s="1" t="s">
        <v>3391</v>
      </c>
      <c r="B1150" s="1" t="s">
        <v>993</v>
      </c>
      <c r="C1150" s="1" t="s">
        <v>335</v>
      </c>
      <c r="D1150" s="1" t="s">
        <v>86</v>
      </c>
      <c r="E1150" s="6" t="n">
        <v>46164</v>
      </c>
      <c r="F1150" s="6" t="n">
        <v>46163</v>
      </c>
      <c r="G1150" s="1" t="s">
        <v>49</v>
      </c>
      <c r="H1150" s="1" t="s">
        <v>3392</v>
      </c>
      <c r="I1150" s="1" t="s">
        <v>3393</v>
      </c>
      <c r="J1150" s="1" t="n">
        <v>7470.92</v>
      </c>
      <c r="K1150" s="1" t="n">
        <v>6053.6</v>
      </c>
      <c r="L1150" s="1" t="n">
        <v>5399.01</v>
      </c>
      <c r="M1150" s="1" t="n">
        <v>654.59</v>
      </c>
      <c r="N1150" s="1" t="s">
        <v>41</v>
      </c>
      <c r="P1150" s="1" t="n">
        <v>7</v>
      </c>
      <c r="Q1150" s="1" t="s">
        <v>42</v>
      </c>
      <c r="R1150" s="1" t="s">
        <v>140</v>
      </c>
      <c r="S1150" s="6" t="n">
        <v>46171</v>
      </c>
    </row>
    <row r="1151" customFormat="false" ht="14.25" hidden="false" customHeight="true" outlineLevel="0" collapsed="false">
      <c r="A1151" s="1" t="s">
        <v>3394</v>
      </c>
      <c r="B1151" s="1" t="s">
        <v>355</v>
      </c>
      <c r="C1151" s="1" t="s">
        <v>58</v>
      </c>
      <c r="D1151" s="1" t="s">
        <v>1166</v>
      </c>
      <c r="E1151" s="6" t="n">
        <v>46164</v>
      </c>
      <c r="F1151" s="6" t="n">
        <v>46161</v>
      </c>
      <c r="G1151" s="1" t="s">
        <v>70</v>
      </c>
      <c r="H1151" s="1" t="s">
        <v>2666</v>
      </c>
      <c r="I1151" s="1" t="s">
        <v>3395</v>
      </c>
      <c r="J1151" s="1" t="n">
        <v>26241.93</v>
      </c>
      <c r="K1151" s="1" t="n">
        <v>22058.54</v>
      </c>
      <c r="L1151" s="1" t="n">
        <v>17196.36</v>
      </c>
      <c r="M1151" s="1" t="n">
        <v>4862.18</v>
      </c>
      <c r="N1151" s="1" t="s">
        <v>41</v>
      </c>
      <c r="P1151" s="1" t="n">
        <v>8</v>
      </c>
      <c r="Q1151" s="1" t="s">
        <v>155</v>
      </c>
      <c r="R1151" s="1" t="s">
        <v>102</v>
      </c>
      <c r="S1151" s="6" t="n">
        <v>46172</v>
      </c>
    </row>
    <row r="1152" customFormat="false" ht="14.25" hidden="false" customHeight="true" outlineLevel="0" collapsed="false">
      <c r="A1152" s="1" t="s">
        <v>3396</v>
      </c>
      <c r="B1152" s="1" t="s">
        <v>828</v>
      </c>
      <c r="C1152" s="1" t="s">
        <v>436</v>
      </c>
      <c r="D1152" s="1" t="s">
        <v>984</v>
      </c>
      <c r="E1152" s="6" t="n">
        <v>46139</v>
      </c>
      <c r="F1152" s="6" t="n">
        <v>46139</v>
      </c>
      <c r="G1152" s="1" t="s">
        <v>49</v>
      </c>
      <c r="H1152" s="1" t="s">
        <v>3397</v>
      </c>
      <c r="I1152" s="1" t="s">
        <v>3398</v>
      </c>
      <c r="J1152" s="1" t="n">
        <v>44891.21</v>
      </c>
      <c r="K1152" s="1" t="n">
        <v>29494.07</v>
      </c>
      <c r="L1152" s="1" t="n">
        <v>26505.6</v>
      </c>
      <c r="M1152" s="1" t="n">
        <v>2988.47</v>
      </c>
      <c r="N1152" s="1" t="s">
        <v>41</v>
      </c>
      <c r="P1152" s="1" t="n">
        <v>3</v>
      </c>
      <c r="Q1152" s="1" t="s">
        <v>63</v>
      </c>
      <c r="R1152" s="1" t="s">
        <v>125</v>
      </c>
      <c r="S1152" s="6" t="n">
        <v>46142</v>
      </c>
    </row>
    <row r="1153" customFormat="false" ht="14.25" hidden="false" customHeight="true" outlineLevel="0" collapsed="false">
      <c r="A1153" s="1" t="s">
        <v>3399</v>
      </c>
      <c r="B1153" s="1" t="s">
        <v>278</v>
      </c>
      <c r="C1153" s="1" t="s">
        <v>151</v>
      </c>
      <c r="D1153" s="1" t="s">
        <v>208</v>
      </c>
      <c r="E1153" s="6" t="n">
        <v>46188</v>
      </c>
      <c r="F1153" s="6" t="n">
        <v>46184</v>
      </c>
      <c r="G1153" s="1" t="s">
        <v>70</v>
      </c>
      <c r="H1153" s="1" t="s">
        <v>3400</v>
      </c>
      <c r="I1153" s="1" t="s">
        <v>3131</v>
      </c>
      <c r="J1153" s="1" t="n">
        <v>41636.33</v>
      </c>
      <c r="K1153" s="1" t="n">
        <v>29396.56</v>
      </c>
      <c r="L1153" s="1" t="n">
        <v>22155.4</v>
      </c>
      <c r="M1153" s="1" t="n">
        <v>7241.16</v>
      </c>
      <c r="N1153" s="1" t="s">
        <v>41</v>
      </c>
      <c r="P1153" s="1" t="n">
        <v>2</v>
      </c>
      <c r="Q1153" s="1" t="s">
        <v>63</v>
      </c>
      <c r="R1153" s="1" t="s">
        <v>102</v>
      </c>
      <c r="S1153" s="6" t="n">
        <v>46190</v>
      </c>
    </row>
    <row r="1154" customFormat="false" ht="14.25" hidden="false" customHeight="true" outlineLevel="0" collapsed="false">
      <c r="A1154" s="1" t="s">
        <v>3401</v>
      </c>
      <c r="B1154" s="1" t="s">
        <v>1025</v>
      </c>
      <c r="C1154" s="1" t="s">
        <v>900</v>
      </c>
      <c r="D1154" s="1" t="s">
        <v>1084</v>
      </c>
      <c r="E1154" s="6" t="n">
        <v>46112</v>
      </c>
      <c r="F1154" s="6" t="n">
        <v>46108</v>
      </c>
      <c r="G1154" s="1" t="s">
        <v>49</v>
      </c>
      <c r="H1154" s="1" t="s">
        <v>3402</v>
      </c>
      <c r="I1154" s="1" t="s">
        <v>3403</v>
      </c>
      <c r="J1154" s="1" t="n">
        <v>47888.18</v>
      </c>
      <c r="K1154" s="1" t="n">
        <v>37744.08</v>
      </c>
      <c r="L1154" s="1" t="n">
        <v>32619.55</v>
      </c>
      <c r="M1154" s="1" t="n">
        <v>5124.53</v>
      </c>
      <c r="N1154" s="1" t="s">
        <v>41</v>
      </c>
      <c r="P1154" s="1" t="n">
        <v>2</v>
      </c>
      <c r="Q1154" s="1" t="s">
        <v>155</v>
      </c>
      <c r="R1154" s="1" t="s">
        <v>54</v>
      </c>
      <c r="S1154" s="6" t="n">
        <v>46114</v>
      </c>
    </row>
    <row r="1155" customFormat="false" ht="14.25" hidden="false" customHeight="true" outlineLevel="0" collapsed="false">
      <c r="A1155" s="1" t="s">
        <v>3404</v>
      </c>
      <c r="B1155" s="1" t="s">
        <v>2963</v>
      </c>
      <c r="C1155" s="1" t="s">
        <v>158</v>
      </c>
      <c r="D1155" s="1" t="s">
        <v>538</v>
      </c>
      <c r="E1155" s="6" t="n">
        <v>46166</v>
      </c>
      <c r="F1155" s="6" t="n">
        <v>46161</v>
      </c>
      <c r="G1155" s="1" t="s">
        <v>70</v>
      </c>
      <c r="H1155" s="1" t="s">
        <v>2372</v>
      </c>
      <c r="I1155" s="1" t="s">
        <v>3405</v>
      </c>
      <c r="J1155" s="1" t="n">
        <v>32426.56</v>
      </c>
      <c r="K1155" s="1" t="n">
        <v>22484.45</v>
      </c>
      <c r="L1155" s="1" t="n">
        <v>0</v>
      </c>
      <c r="M1155" s="1" t="n">
        <v>22484.45</v>
      </c>
      <c r="N1155" s="1" t="s">
        <v>52</v>
      </c>
      <c r="O1155" s="1" t="s">
        <v>73</v>
      </c>
      <c r="P1155" s="1" t="n">
        <v>2</v>
      </c>
      <c r="Q1155" s="1" t="s">
        <v>155</v>
      </c>
      <c r="R1155" s="1" t="s">
        <v>64</v>
      </c>
    </row>
    <row r="1156" customFormat="false" ht="14.25" hidden="false" customHeight="true" outlineLevel="0" collapsed="false">
      <c r="A1156" s="1" t="s">
        <v>3406</v>
      </c>
      <c r="B1156" s="1" t="s">
        <v>3191</v>
      </c>
      <c r="C1156" s="1" t="s">
        <v>144</v>
      </c>
      <c r="D1156" s="1" t="s">
        <v>984</v>
      </c>
      <c r="E1156" s="6" t="n">
        <v>46147</v>
      </c>
      <c r="F1156" s="6" t="n">
        <v>46145</v>
      </c>
      <c r="G1156" s="1" t="s">
        <v>108</v>
      </c>
      <c r="H1156" s="1" t="s">
        <v>39</v>
      </c>
      <c r="I1156" s="1" t="s">
        <v>3407</v>
      </c>
      <c r="J1156" s="1" t="n">
        <v>4185.18</v>
      </c>
      <c r="K1156" s="1" t="n">
        <v>2787.41</v>
      </c>
      <c r="L1156" s="1" t="n">
        <v>2583.32</v>
      </c>
      <c r="M1156" s="1" t="n">
        <v>204.09</v>
      </c>
      <c r="N1156" s="1" t="s">
        <v>41</v>
      </c>
      <c r="P1156" s="1" t="n">
        <v>5</v>
      </c>
      <c r="Q1156" s="1" t="s">
        <v>42</v>
      </c>
      <c r="R1156" s="1" t="s">
        <v>102</v>
      </c>
      <c r="S1156" s="6" t="n">
        <v>46152</v>
      </c>
    </row>
    <row r="1157" customFormat="false" ht="14.25" hidden="false" customHeight="true" outlineLevel="0" collapsed="false">
      <c r="A1157" s="1" t="s">
        <v>3408</v>
      </c>
      <c r="B1157" s="1" t="s">
        <v>1009</v>
      </c>
      <c r="C1157" s="1" t="s">
        <v>296</v>
      </c>
      <c r="D1157" s="1" t="s">
        <v>984</v>
      </c>
      <c r="E1157" s="6" t="n">
        <v>46121</v>
      </c>
      <c r="F1157" s="6" t="n">
        <v>46118</v>
      </c>
      <c r="G1157" s="1" t="s">
        <v>70</v>
      </c>
      <c r="H1157" s="1" t="s">
        <v>1180</v>
      </c>
      <c r="I1157" s="1" t="s">
        <v>3409</v>
      </c>
      <c r="J1157" s="1" t="n">
        <v>2745.89</v>
      </c>
      <c r="K1157" s="1" t="n">
        <v>2143.26</v>
      </c>
      <c r="L1157" s="1" t="n">
        <v>0</v>
      </c>
      <c r="M1157" s="1" t="n">
        <v>2143.26</v>
      </c>
      <c r="N1157" s="1" t="s">
        <v>52</v>
      </c>
      <c r="O1157" s="1" t="s">
        <v>53</v>
      </c>
      <c r="P1157" s="1" t="n">
        <v>3</v>
      </c>
      <c r="Q1157" s="1" t="s">
        <v>42</v>
      </c>
      <c r="R1157" s="1" t="s">
        <v>64</v>
      </c>
    </row>
    <row r="1158" customFormat="false" ht="14.25" hidden="false" customHeight="true" outlineLevel="0" collapsed="false">
      <c r="A1158" s="1" t="s">
        <v>3410</v>
      </c>
      <c r="B1158" s="1" t="s">
        <v>1387</v>
      </c>
      <c r="C1158" s="1" t="s">
        <v>144</v>
      </c>
      <c r="D1158" s="1" t="s">
        <v>130</v>
      </c>
      <c r="E1158" s="6" t="n">
        <v>46032</v>
      </c>
      <c r="F1158" s="6" t="n">
        <v>46027</v>
      </c>
      <c r="G1158" s="1" t="s">
        <v>49</v>
      </c>
      <c r="H1158" s="1" t="s">
        <v>1053</v>
      </c>
      <c r="I1158" s="1" t="s">
        <v>3411</v>
      </c>
      <c r="J1158" s="1" t="n">
        <v>31789.85</v>
      </c>
      <c r="K1158" s="1" t="n">
        <v>22757.31</v>
      </c>
      <c r="L1158" s="1" t="n">
        <v>21073.99</v>
      </c>
      <c r="M1158" s="1" t="n">
        <v>1683.32</v>
      </c>
      <c r="N1158" s="1" t="s">
        <v>41</v>
      </c>
      <c r="P1158" s="1" t="n">
        <v>6</v>
      </c>
      <c r="Q1158" s="1" t="s">
        <v>155</v>
      </c>
      <c r="R1158" s="1" t="s">
        <v>102</v>
      </c>
      <c r="S1158" s="6" t="n">
        <v>46038</v>
      </c>
    </row>
    <row r="1159" customFormat="false" ht="14.25" hidden="false" customHeight="true" outlineLevel="0" collapsed="false">
      <c r="A1159" s="1" t="s">
        <v>3412</v>
      </c>
      <c r="B1159" s="1" t="s">
        <v>475</v>
      </c>
      <c r="C1159" s="1" t="s">
        <v>182</v>
      </c>
      <c r="D1159" s="1" t="s">
        <v>122</v>
      </c>
      <c r="E1159" s="6" t="n">
        <v>46144</v>
      </c>
      <c r="F1159" s="6" t="n">
        <v>46143</v>
      </c>
      <c r="G1159" s="1" t="s">
        <v>49</v>
      </c>
      <c r="H1159" s="1" t="s">
        <v>460</v>
      </c>
      <c r="I1159" s="1" t="s">
        <v>3413</v>
      </c>
      <c r="J1159" s="1" t="n">
        <v>46017.35</v>
      </c>
      <c r="K1159" s="1" t="n">
        <v>38346.62</v>
      </c>
      <c r="L1159" s="1" t="n">
        <v>37267.39</v>
      </c>
      <c r="M1159" s="1" t="n">
        <v>1079.23</v>
      </c>
      <c r="N1159" s="1" t="s">
        <v>41</v>
      </c>
      <c r="P1159" s="1" t="n">
        <v>5</v>
      </c>
      <c r="Q1159" s="1" t="s">
        <v>155</v>
      </c>
      <c r="R1159" s="1" t="s">
        <v>140</v>
      </c>
      <c r="S1159" s="6" t="n">
        <v>46149</v>
      </c>
    </row>
    <row r="1160" customFormat="false" ht="14.25" hidden="false" customHeight="true" outlineLevel="0" collapsed="false">
      <c r="A1160" s="1" t="s">
        <v>3414</v>
      </c>
      <c r="B1160" s="1" t="s">
        <v>355</v>
      </c>
      <c r="C1160" s="1" t="s">
        <v>335</v>
      </c>
      <c r="D1160" s="1" t="s">
        <v>400</v>
      </c>
      <c r="E1160" s="6" t="n">
        <v>46201</v>
      </c>
      <c r="F1160" s="6" t="n">
        <v>46199</v>
      </c>
      <c r="G1160" s="1" t="s">
        <v>70</v>
      </c>
      <c r="H1160" s="1" t="s">
        <v>2590</v>
      </c>
      <c r="I1160" s="1" t="s">
        <v>3415</v>
      </c>
      <c r="J1160" s="1" t="n">
        <v>12398.34</v>
      </c>
      <c r="K1160" s="1" t="n">
        <v>8565.7</v>
      </c>
      <c r="L1160" s="1" t="n">
        <v>0</v>
      </c>
      <c r="M1160" s="1" t="n">
        <v>8565.7</v>
      </c>
      <c r="N1160" s="1" t="s">
        <v>111</v>
      </c>
      <c r="P1160" s="1" t="n">
        <v>10</v>
      </c>
      <c r="Q1160" s="1" t="s">
        <v>155</v>
      </c>
      <c r="R1160" s="1" t="s">
        <v>54</v>
      </c>
    </row>
    <row r="1161" customFormat="false" ht="14.25" hidden="false" customHeight="true" outlineLevel="0" collapsed="false">
      <c r="A1161" s="1" t="s">
        <v>3416</v>
      </c>
      <c r="B1161" s="1" t="s">
        <v>207</v>
      </c>
      <c r="C1161" s="1" t="s">
        <v>459</v>
      </c>
      <c r="D1161" s="1" t="s">
        <v>1211</v>
      </c>
      <c r="E1161" s="6" t="n">
        <v>46226</v>
      </c>
      <c r="F1161" s="6" t="n">
        <v>46224</v>
      </c>
      <c r="G1161" s="1" t="s">
        <v>108</v>
      </c>
      <c r="H1161" s="1" t="s">
        <v>3417</v>
      </c>
      <c r="I1161" s="1" t="s">
        <v>3418</v>
      </c>
      <c r="J1161" s="1" t="n">
        <v>32253.28</v>
      </c>
      <c r="K1161" s="1" t="n">
        <v>28251.21</v>
      </c>
      <c r="L1161" s="1" t="n">
        <v>0</v>
      </c>
      <c r="M1161" s="1" t="n">
        <v>28251.21</v>
      </c>
      <c r="N1161" s="1" t="s">
        <v>52</v>
      </c>
      <c r="O1161" s="1" t="s">
        <v>53</v>
      </c>
      <c r="P1161" s="1" t="n">
        <v>1</v>
      </c>
      <c r="Q1161" s="1" t="s">
        <v>63</v>
      </c>
      <c r="R1161" s="1" t="s">
        <v>125</v>
      </c>
    </row>
    <row r="1162" customFormat="false" ht="14.25" hidden="false" customHeight="true" outlineLevel="0" collapsed="false">
      <c r="A1162" s="1" t="s">
        <v>3419</v>
      </c>
      <c r="B1162" s="1" t="s">
        <v>1343</v>
      </c>
      <c r="C1162" s="1" t="s">
        <v>300</v>
      </c>
      <c r="D1162" s="1" t="s">
        <v>130</v>
      </c>
      <c r="E1162" s="6" t="n">
        <v>46055</v>
      </c>
      <c r="F1162" s="6" t="n">
        <v>46050</v>
      </c>
      <c r="G1162" s="1" t="s">
        <v>38</v>
      </c>
      <c r="H1162" s="1" t="s">
        <v>297</v>
      </c>
      <c r="I1162" s="1" t="s">
        <v>3420</v>
      </c>
      <c r="J1162" s="1" t="n">
        <v>9703.52</v>
      </c>
      <c r="K1162" s="1" t="n">
        <v>6542.71</v>
      </c>
      <c r="L1162" s="1" t="n">
        <v>6346.61</v>
      </c>
      <c r="M1162" s="1" t="n">
        <v>196.1</v>
      </c>
      <c r="N1162" s="1" t="s">
        <v>41</v>
      </c>
      <c r="P1162" s="1" t="n">
        <v>6</v>
      </c>
      <c r="Q1162" s="1" t="s">
        <v>155</v>
      </c>
      <c r="R1162" s="1" t="s">
        <v>43</v>
      </c>
      <c r="S1162" s="6" t="n">
        <v>46061</v>
      </c>
    </row>
    <row r="1163" customFormat="false" ht="14.25" hidden="false" customHeight="true" outlineLevel="0" collapsed="false">
      <c r="A1163" s="1" t="s">
        <v>3421</v>
      </c>
      <c r="B1163" s="1" t="s">
        <v>202</v>
      </c>
      <c r="C1163" s="1" t="s">
        <v>221</v>
      </c>
      <c r="D1163" s="1" t="s">
        <v>331</v>
      </c>
      <c r="E1163" s="6" t="n">
        <v>46044</v>
      </c>
      <c r="F1163" s="6" t="n">
        <v>46041</v>
      </c>
      <c r="G1163" s="1" t="s">
        <v>108</v>
      </c>
      <c r="H1163" s="1" t="s">
        <v>2171</v>
      </c>
      <c r="I1163" s="1" t="s">
        <v>3422</v>
      </c>
      <c r="J1163" s="1" t="n">
        <v>34184.03</v>
      </c>
      <c r="K1163" s="1" t="n">
        <v>22266.83</v>
      </c>
      <c r="L1163" s="1" t="n">
        <v>0</v>
      </c>
      <c r="M1163" s="1" t="n">
        <v>22266.83</v>
      </c>
      <c r="N1163" s="1" t="s">
        <v>111</v>
      </c>
      <c r="P1163" s="1" t="n">
        <v>11</v>
      </c>
      <c r="Q1163" s="1" t="s">
        <v>42</v>
      </c>
      <c r="R1163" s="1" t="s">
        <v>125</v>
      </c>
    </row>
    <row r="1164" customFormat="false" ht="14.25" hidden="false" customHeight="true" outlineLevel="0" collapsed="false">
      <c r="A1164" s="1" t="s">
        <v>3423</v>
      </c>
      <c r="B1164" s="1" t="s">
        <v>366</v>
      </c>
      <c r="C1164" s="1" t="s">
        <v>459</v>
      </c>
      <c r="D1164" s="1" t="s">
        <v>234</v>
      </c>
      <c r="E1164" s="6" t="n">
        <v>46106</v>
      </c>
      <c r="F1164" s="6" t="n">
        <v>46102</v>
      </c>
      <c r="G1164" s="1" t="s">
        <v>49</v>
      </c>
      <c r="H1164" s="1" t="s">
        <v>2190</v>
      </c>
      <c r="I1164" s="1" t="s">
        <v>3424</v>
      </c>
      <c r="J1164" s="1" t="n">
        <v>35106.78</v>
      </c>
      <c r="K1164" s="1" t="n">
        <v>25210.21</v>
      </c>
      <c r="L1164" s="1" t="n">
        <v>0</v>
      </c>
      <c r="M1164" s="1" t="n">
        <v>25210.21</v>
      </c>
      <c r="N1164" s="1" t="s">
        <v>111</v>
      </c>
      <c r="P1164" s="1" t="n">
        <v>14</v>
      </c>
      <c r="Q1164" s="1" t="s">
        <v>63</v>
      </c>
      <c r="R1164" s="1" t="s">
        <v>102</v>
      </c>
    </row>
    <row r="1165" customFormat="false" ht="14.25" hidden="false" customHeight="true" outlineLevel="0" collapsed="false">
      <c r="A1165" s="1" t="s">
        <v>3425</v>
      </c>
      <c r="B1165" s="1" t="s">
        <v>2141</v>
      </c>
      <c r="C1165" s="1" t="s">
        <v>296</v>
      </c>
      <c r="D1165" s="1" t="s">
        <v>69</v>
      </c>
      <c r="E1165" s="6" t="n">
        <v>46060</v>
      </c>
      <c r="F1165" s="6" t="n">
        <v>46056</v>
      </c>
      <c r="G1165" s="1" t="s">
        <v>38</v>
      </c>
      <c r="H1165" s="1" t="s">
        <v>1862</v>
      </c>
      <c r="I1165" s="1" t="s">
        <v>3426</v>
      </c>
      <c r="J1165" s="1" t="n">
        <v>47849.22</v>
      </c>
      <c r="K1165" s="1" t="n">
        <v>42097.62</v>
      </c>
      <c r="L1165" s="1" t="n">
        <v>35924.21</v>
      </c>
      <c r="M1165" s="1" t="n">
        <v>6173.41</v>
      </c>
      <c r="N1165" s="1" t="s">
        <v>41</v>
      </c>
      <c r="P1165" s="1" t="n">
        <v>2</v>
      </c>
      <c r="Q1165" s="1" t="s">
        <v>42</v>
      </c>
      <c r="R1165" s="1" t="s">
        <v>54</v>
      </c>
      <c r="S1165" s="6" t="n">
        <v>46062</v>
      </c>
    </row>
    <row r="1166" customFormat="false" ht="14.25" hidden="false" customHeight="true" outlineLevel="0" collapsed="false">
      <c r="A1166" s="1" t="s">
        <v>3427</v>
      </c>
      <c r="B1166" s="1" t="s">
        <v>330</v>
      </c>
      <c r="C1166" s="1" t="s">
        <v>188</v>
      </c>
      <c r="D1166" s="1" t="s">
        <v>529</v>
      </c>
      <c r="E1166" s="6" t="n">
        <v>46082</v>
      </c>
      <c r="F1166" s="6" t="n">
        <v>46077</v>
      </c>
      <c r="G1166" s="1" t="s">
        <v>49</v>
      </c>
      <c r="H1166" s="1" t="s">
        <v>679</v>
      </c>
      <c r="I1166" s="1" t="s">
        <v>3428</v>
      </c>
      <c r="J1166" s="1" t="n">
        <v>2258.32</v>
      </c>
      <c r="K1166" s="1" t="n">
        <v>1693.03</v>
      </c>
      <c r="L1166" s="1" t="n">
        <v>0</v>
      </c>
      <c r="M1166" s="1" t="n">
        <v>1693.03</v>
      </c>
      <c r="N1166" s="1" t="s">
        <v>52</v>
      </c>
      <c r="O1166" s="1" t="s">
        <v>230</v>
      </c>
      <c r="P1166" s="1" t="n">
        <v>3</v>
      </c>
      <c r="Q1166" s="1" t="s">
        <v>155</v>
      </c>
      <c r="R1166" s="1" t="s">
        <v>43</v>
      </c>
    </row>
    <row r="1167" customFormat="false" ht="14.25" hidden="false" customHeight="true" outlineLevel="0" collapsed="false">
      <c r="A1167" s="1" t="s">
        <v>3429</v>
      </c>
      <c r="B1167" s="1" t="s">
        <v>202</v>
      </c>
      <c r="C1167" s="1" t="s">
        <v>233</v>
      </c>
      <c r="D1167" s="1" t="s">
        <v>208</v>
      </c>
      <c r="E1167" s="6" t="n">
        <v>46099</v>
      </c>
      <c r="F1167" s="6" t="n">
        <v>46098</v>
      </c>
      <c r="G1167" s="1" t="s">
        <v>38</v>
      </c>
      <c r="H1167" s="1" t="s">
        <v>1328</v>
      </c>
      <c r="I1167" s="1" t="s">
        <v>3430</v>
      </c>
      <c r="J1167" s="1" t="n">
        <v>39291.74</v>
      </c>
      <c r="K1167" s="1" t="n">
        <v>34125.33</v>
      </c>
      <c r="L1167" s="1" t="n">
        <v>0</v>
      </c>
      <c r="M1167" s="1" t="n">
        <v>34125.33</v>
      </c>
      <c r="N1167" s="1" t="s">
        <v>260</v>
      </c>
      <c r="P1167" s="1" t="n">
        <v>8</v>
      </c>
      <c r="Q1167" s="1" t="s">
        <v>63</v>
      </c>
      <c r="R1167" s="1" t="s">
        <v>64</v>
      </c>
    </row>
    <row r="1168" customFormat="false" ht="14.25" hidden="false" customHeight="true" outlineLevel="0" collapsed="false">
      <c r="A1168" s="1" t="s">
        <v>3431</v>
      </c>
      <c r="B1168" s="1" t="s">
        <v>1466</v>
      </c>
      <c r="C1168" s="1" t="s">
        <v>430</v>
      </c>
      <c r="D1168" s="1" t="s">
        <v>245</v>
      </c>
      <c r="E1168" s="6" t="n">
        <v>46041</v>
      </c>
      <c r="F1168" s="6" t="n">
        <v>46038</v>
      </c>
      <c r="G1168" s="1" t="s">
        <v>38</v>
      </c>
      <c r="H1168" s="1" t="s">
        <v>1945</v>
      </c>
      <c r="I1168" s="1" t="s">
        <v>3432</v>
      </c>
      <c r="J1168" s="1" t="n">
        <v>48961.17</v>
      </c>
      <c r="K1168" s="1" t="n">
        <v>38220.39</v>
      </c>
      <c r="L1168" s="1" t="n">
        <v>0</v>
      </c>
      <c r="M1168" s="1" t="n">
        <v>38220.39</v>
      </c>
      <c r="N1168" s="1" t="s">
        <v>52</v>
      </c>
      <c r="O1168" s="1" t="s">
        <v>62</v>
      </c>
      <c r="P1168" s="1" t="n">
        <v>7</v>
      </c>
      <c r="Q1168" s="1" t="s">
        <v>63</v>
      </c>
      <c r="R1168" s="1" t="s">
        <v>64</v>
      </c>
    </row>
    <row r="1169" customFormat="false" ht="14.25" hidden="false" customHeight="true" outlineLevel="0" collapsed="false">
      <c r="A1169" s="1" t="s">
        <v>3433</v>
      </c>
      <c r="B1169" s="1" t="s">
        <v>872</v>
      </c>
      <c r="C1169" s="1" t="s">
        <v>158</v>
      </c>
      <c r="D1169" s="1" t="s">
        <v>400</v>
      </c>
      <c r="E1169" s="6" t="n">
        <v>46152</v>
      </c>
      <c r="F1169" s="6" t="n">
        <v>46151</v>
      </c>
      <c r="G1169" s="1" t="s">
        <v>108</v>
      </c>
      <c r="H1169" s="1" t="s">
        <v>599</v>
      </c>
      <c r="I1169" s="1" t="s">
        <v>3434</v>
      </c>
      <c r="J1169" s="1" t="n">
        <v>48399.81</v>
      </c>
      <c r="K1169" s="1" t="n">
        <v>36076.05</v>
      </c>
      <c r="L1169" s="1" t="n">
        <v>29112.03</v>
      </c>
      <c r="M1169" s="1" t="n">
        <v>6964.02</v>
      </c>
      <c r="N1169" s="1" t="s">
        <v>41</v>
      </c>
      <c r="P1169" s="1" t="n">
        <v>5</v>
      </c>
      <c r="Q1169" s="1" t="s">
        <v>155</v>
      </c>
      <c r="R1169" s="1" t="s">
        <v>43</v>
      </c>
      <c r="S1169" s="6" t="n">
        <v>46157</v>
      </c>
    </row>
    <row r="1170" customFormat="false" ht="14.25" hidden="false" customHeight="true" outlineLevel="0" collapsed="false">
      <c r="A1170" s="1" t="s">
        <v>3435</v>
      </c>
      <c r="B1170" s="1" t="s">
        <v>121</v>
      </c>
      <c r="C1170" s="1" t="s">
        <v>356</v>
      </c>
      <c r="D1170" s="1" t="s">
        <v>890</v>
      </c>
      <c r="E1170" s="6" t="n">
        <v>46234</v>
      </c>
      <c r="F1170" s="6" t="n">
        <v>46231</v>
      </c>
      <c r="G1170" s="1" t="s">
        <v>70</v>
      </c>
      <c r="H1170" s="1" t="s">
        <v>1979</v>
      </c>
      <c r="I1170" s="1" t="s">
        <v>2738</v>
      </c>
      <c r="J1170" s="1" t="n">
        <v>35382.05</v>
      </c>
      <c r="K1170" s="1" t="n">
        <v>27174.9</v>
      </c>
      <c r="L1170" s="1" t="n">
        <v>0</v>
      </c>
      <c r="M1170" s="1" t="n">
        <v>27174.9</v>
      </c>
      <c r="N1170" s="1" t="s">
        <v>52</v>
      </c>
      <c r="O1170" s="1" t="s">
        <v>73</v>
      </c>
      <c r="P1170" s="1" t="n">
        <v>8</v>
      </c>
      <c r="Q1170" s="1" t="s">
        <v>155</v>
      </c>
      <c r="R1170" s="1" t="s">
        <v>64</v>
      </c>
    </row>
    <row r="1171" customFormat="false" ht="14.25" hidden="false" customHeight="true" outlineLevel="0" collapsed="false">
      <c r="A1171" s="1" t="s">
        <v>3436</v>
      </c>
      <c r="B1171" s="1" t="s">
        <v>1805</v>
      </c>
      <c r="C1171" s="1" t="s">
        <v>671</v>
      </c>
      <c r="D1171" s="1" t="s">
        <v>1128</v>
      </c>
      <c r="E1171" s="6" t="n">
        <v>46074</v>
      </c>
      <c r="F1171" s="6" t="n">
        <v>46069</v>
      </c>
      <c r="G1171" s="1" t="s">
        <v>70</v>
      </c>
      <c r="H1171" s="1" t="s">
        <v>153</v>
      </c>
      <c r="I1171" s="1" t="s">
        <v>3437</v>
      </c>
      <c r="J1171" s="1" t="n">
        <v>29906.3</v>
      </c>
      <c r="K1171" s="1" t="n">
        <v>24291.47</v>
      </c>
      <c r="L1171" s="1" t="n">
        <v>0</v>
      </c>
      <c r="M1171" s="1" t="n">
        <v>24291.47</v>
      </c>
      <c r="N1171" s="1" t="s">
        <v>52</v>
      </c>
      <c r="O1171" s="1" t="s">
        <v>230</v>
      </c>
      <c r="P1171" s="1" t="n">
        <v>6</v>
      </c>
      <c r="Q1171" s="1" t="s">
        <v>42</v>
      </c>
      <c r="R1171" s="1" t="s">
        <v>64</v>
      </c>
    </row>
    <row r="1172" customFormat="false" ht="14.25" hidden="false" customHeight="true" outlineLevel="0" collapsed="false">
      <c r="A1172" s="1" t="s">
        <v>3438</v>
      </c>
      <c r="B1172" s="1" t="s">
        <v>1989</v>
      </c>
      <c r="C1172" s="1" t="s">
        <v>446</v>
      </c>
      <c r="D1172" s="1" t="s">
        <v>722</v>
      </c>
      <c r="E1172" s="6" t="n">
        <v>46050</v>
      </c>
      <c r="F1172" s="6" t="n">
        <v>46049</v>
      </c>
      <c r="G1172" s="1" t="s">
        <v>108</v>
      </c>
      <c r="H1172" s="1" t="s">
        <v>2044</v>
      </c>
      <c r="I1172" s="1" t="s">
        <v>3439</v>
      </c>
      <c r="J1172" s="1" t="n">
        <v>4625.07</v>
      </c>
      <c r="K1172" s="1" t="n">
        <v>3145.21</v>
      </c>
      <c r="L1172" s="1" t="n">
        <v>2971.37</v>
      </c>
      <c r="M1172" s="1" t="n">
        <v>173.84</v>
      </c>
      <c r="N1172" s="1" t="s">
        <v>41</v>
      </c>
      <c r="P1172" s="1" t="n">
        <v>7</v>
      </c>
      <c r="Q1172" s="1" t="s">
        <v>63</v>
      </c>
      <c r="R1172" s="1" t="s">
        <v>74</v>
      </c>
      <c r="S1172" s="6" t="n">
        <v>46057</v>
      </c>
    </row>
    <row r="1173" customFormat="false" ht="14.25" hidden="false" customHeight="true" outlineLevel="0" collapsed="false">
      <c r="A1173" s="1" t="s">
        <v>3440</v>
      </c>
      <c r="B1173" s="1" t="s">
        <v>467</v>
      </c>
      <c r="C1173" s="1" t="s">
        <v>244</v>
      </c>
      <c r="D1173" s="1" t="s">
        <v>520</v>
      </c>
      <c r="E1173" s="6" t="n">
        <v>46141</v>
      </c>
      <c r="F1173" s="6" t="n">
        <v>46136</v>
      </c>
      <c r="G1173" s="1" t="s">
        <v>70</v>
      </c>
      <c r="H1173" s="1" t="s">
        <v>3441</v>
      </c>
      <c r="I1173" s="1" t="s">
        <v>3442</v>
      </c>
      <c r="J1173" s="1" t="n">
        <v>34493.51</v>
      </c>
      <c r="K1173" s="1" t="n">
        <v>24253.91</v>
      </c>
      <c r="L1173" s="1" t="n">
        <v>22033.74</v>
      </c>
      <c r="M1173" s="1" t="n">
        <v>2220.17</v>
      </c>
      <c r="N1173" s="1" t="s">
        <v>41</v>
      </c>
      <c r="P1173" s="1" t="n">
        <v>7</v>
      </c>
      <c r="Q1173" s="1" t="s">
        <v>42</v>
      </c>
      <c r="R1173" s="1" t="s">
        <v>140</v>
      </c>
      <c r="S1173" s="6" t="n">
        <v>46148</v>
      </c>
    </row>
    <row r="1174" customFormat="false" ht="14.25" hidden="false" customHeight="true" outlineLevel="0" collapsed="false">
      <c r="A1174" s="1" t="s">
        <v>3443</v>
      </c>
      <c r="B1174" s="1" t="s">
        <v>1144</v>
      </c>
      <c r="C1174" s="1" t="s">
        <v>182</v>
      </c>
      <c r="D1174" s="1" t="s">
        <v>305</v>
      </c>
      <c r="E1174" s="6" t="n">
        <v>46023</v>
      </c>
      <c r="F1174" s="6" t="n">
        <v>46023</v>
      </c>
      <c r="G1174" s="1" t="s">
        <v>38</v>
      </c>
      <c r="H1174" s="1" t="s">
        <v>1397</v>
      </c>
      <c r="I1174" s="1" t="s">
        <v>3444</v>
      </c>
      <c r="J1174" s="1" t="n">
        <v>9520.92</v>
      </c>
      <c r="K1174" s="1" t="n">
        <v>8762.44</v>
      </c>
      <c r="L1174" s="1" t="n">
        <v>0</v>
      </c>
      <c r="M1174" s="1" t="n">
        <v>8762.44</v>
      </c>
      <c r="N1174" s="1" t="s">
        <v>111</v>
      </c>
      <c r="P1174" s="1" t="n">
        <v>13</v>
      </c>
      <c r="Q1174" s="1" t="s">
        <v>42</v>
      </c>
      <c r="R1174" s="1" t="s">
        <v>54</v>
      </c>
    </row>
    <row r="1175" customFormat="false" ht="14.25" hidden="false" customHeight="true" outlineLevel="0" collapsed="false">
      <c r="A1175" s="1" t="s">
        <v>3445</v>
      </c>
      <c r="B1175" s="1" t="s">
        <v>846</v>
      </c>
      <c r="C1175" s="1" t="s">
        <v>300</v>
      </c>
      <c r="D1175" s="1" t="s">
        <v>590</v>
      </c>
      <c r="E1175" s="6" t="n">
        <v>46045</v>
      </c>
      <c r="F1175" s="6" t="n">
        <v>46043</v>
      </c>
      <c r="G1175" s="1" t="s">
        <v>70</v>
      </c>
      <c r="H1175" s="1" t="s">
        <v>3446</v>
      </c>
      <c r="I1175" s="1" t="s">
        <v>3447</v>
      </c>
      <c r="J1175" s="1" t="n">
        <v>11122.64</v>
      </c>
      <c r="K1175" s="1" t="n">
        <v>9630.45</v>
      </c>
      <c r="L1175" s="1" t="n">
        <v>7663.65</v>
      </c>
      <c r="M1175" s="1" t="n">
        <v>1966.8</v>
      </c>
      <c r="N1175" s="1" t="s">
        <v>41</v>
      </c>
      <c r="P1175" s="1" t="n">
        <v>6</v>
      </c>
      <c r="Q1175" s="1" t="s">
        <v>63</v>
      </c>
      <c r="R1175" s="1" t="s">
        <v>54</v>
      </c>
      <c r="S1175" s="6" t="n">
        <v>46051</v>
      </c>
    </row>
    <row r="1176" customFormat="false" ht="14.25" hidden="false" customHeight="true" outlineLevel="0" collapsed="false">
      <c r="A1176" s="1" t="s">
        <v>3448</v>
      </c>
      <c r="B1176" s="1" t="s">
        <v>652</v>
      </c>
      <c r="C1176" s="1" t="s">
        <v>182</v>
      </c>
      <c r="D1176" s="1" t="s">
        <v>291</v>
      </c>
      <c r="E1176" s="6" t="n">
        <v>46149</v>
      </c>
      <c r="F1176" s="6" t="n">
        <v>46149</v>
      </c>
      <c r="G1176" s="1" t="s">
        <v>70</v>
      </c>
      <c r="H1176" s="1" t="s">
        <v>2606</v>
      </c>
      <c r="I1176" s="1" t="s">
        <v>3449</v>
      </c>
      <c r="J1176" s="1" t="n">
        <v>35357.13</v>
      </c>
      <c r="K1176" s="1" t="n">
        <v>31940.13</v>
      </c>
      <c r="L1176" s="1" t="n">
        <v>0</v>
      </c>
      <c r="M1176" s="1" t="n">
        <v>31940.13</v>
      </c>
      <c r="N1176" s="1" t="s">
        <v>52</v>
      </c>
      <c r="O1176" s="1" t="s">
        <v>73</v>
      </c>
      <c r="P1176" s="1" t="n">
        <v>8</v>
      </c>
      <c r="Q1176" s="1" t="s">
        <v>155</v>
      </c>
      <c r="R1176" s="1" t="s">
        <v>74</v>
      </c>
    </row>
    <row r="1177" customFormat="false" ht="14.25" hidden="false" customHeight="true" outlineLevel="0" collapsed="false">
      <c r="A1177" s="1" t="s">
        <v>3450</v>
      </c>
      <c r="B1177" s="1" t="s">
        <v>1052</v>
      </c>
      <c r="C1177" s="1" t="s">
        <v>310</v>
      </c>
      <c r="D1177" s="1" t="s">
        <v>222</v>
      </c>
      <c r="E1177" s="6" t="n">
        <v>46215</v>
      </c>
      <c r="F1177" s="6" t="n">
        <v>46215</v>
      </c>
      <c r="G1177" s="1" t="s">
        <v>108</v>
      </c>
      <c r="H1177" s="1" t="s">
        <v>1793</v>
      </c>
      <c r="I1177" s="1" t="s">
        <v>3451</v>
      </c>
      <c r="J1177" s="1" t="n">
        <v>49137.07</v>
      </c>
      <c r="K1177" s="1" t="n">
        <v>36182.26</v>
      </c>
      <c r="L1177" s="1" t="n">
        <v>33265.41</v>
      </c>
      <c r="M1177" s="1" t="n">
        <v>2916.85</v>
      </c>
      <c r="N1177" s="1" t="s">
        <v>41</v>
      </c>
      <c r="P1177" s="1" t="n">
        <v>4</v>
      </c>
      <c r="Q1177" s="1" t="s">
        <v>155</v>
      </c>
      <c r="R1177" s="1" t="s">
        <v>102</v>
      </c>
      <c r="S1177" s="6" t="n">
        <v>46219</v>
      </c>
    </row>
    <row r="1178" customFormat="false" ht="14.25" hidden="false" customHeight="true" outlineLevel="0" collapsed="false">
      <c r="A1178" s="1" t="s">
        <v>3452</v>
      </c>
      <c r="B1178" s="1" t="s">
        <v>639</v>
      </c>
      <c r="C1178" s="1" t="s">
        <v>325</v>
      </c>
      <c r="D1178" s="1" t="s">
        <v>116</v>
      </c>
      <c r="E1178" s="6" t="n">
        <v>46113</v>
      </c>
      <c r="F1178" s="6" t="n">
        <v>46112</v>
      </c>
      <c r="G1178" s="1" t="s">
        <v>108</v>
      </c>
      <c r="H1178" s="1" t="s">
        <v>1430</v>
      </c>
      <c r="I1178" s="1" t="s">
        <v>3453</v>
      </c>
      <c r="J1178" s="1" t="n">
        <v>43975.2</v>
      </c>
      <c r="K1178" s="1" t="n">
        <v>34235.68</v>
      </c>
      <c r="L1178" s="1" t="n">
        <v>0</v>
      </c>
      <c r="M1178" s="1" t="n">
        <v>34235.68</v>
      </c>
      <c r="N1178" s="1" t="s">
        <v>52</v>
      </c>
      <c r="O1178" s="1" t="s">
        <v>53</v>
      </c>
      <c r="P1178" s="1" t="n">
        <v>5</v>
      </c>
      <c r="Q1178" s="1" t="s">
        <v>42</v>
      </c>
      <c r="R1178" s="1" t="s">
        <v>64</v>
      </c>
    </row>
    <row r="1179" customFormat="false" ht="14.25" hidden="false" customHeight="true" outlineLevel="0" collapsed="false">
      <c r="A1179" s="1" t="s">
        <v>3454</v>
      </c>
      <c r="B1179" s="1" t="s">
        <v>1368</v>
      </c>
      <c r="C1179" s="1" t="s">
        <v>671</v>
      </c>
      <c r="D1179" s="1" t="s">
        <v>257</v>
      </c>
      <c r="E1179" s="6" t="n">
        <v>46071</v>
      </c>
      <c r="F1179" s="6" t="n">
        <v>46067</v>
      </c>
      <c r="G1179" s="1" t="s">
        <v>49</v>
      </c>
      <c r="H1179" s="1" t="s">
        <v>3455</v>
      </c>
      <c r="I1179" s="1" t="s">
        <v>2065</v>
      </c>
      <c r="J1179" s="1" t="n">
        <v>38118.28</v>
      </c>
      <c r="K1179" s="1" t="n">
        <v>27562.92</v>
      </c>
      <c r="L1179" s="1" t="n">
        <v>23247.94</v>
      </c>
      <c r="M1179" s="1" t="n">
        <v>4314.98</v>
      </c>
      <c r="N1179" s="1" t="s">
        <v>41</v>
      </c>
      <c r="P1179" s="1" t="n">
        <v>6</v>
      </c>
      <c r="Q1179" s="1" t="s">
        <v>155</v>
      </c>
      <c r="R1179" s="1" t="s">
        <v>43</v>
      </c>
      <c r="S1179" s="6" t="n">
        <v>46077</v>
      </c>
    </row>
    <row r="1180" customFormat="false" ht="14.25" hidden="false" customHeight="true" outlineLevel="0" collapsed="false">
      <c r="A1180" s="1" t="s">
        <v>3456</v>
      </c>
      <c r="B1180" s="1" t="s">
        <v>2209</v>
      </c>
      <c r="C1180" s="1" t="s">
        <v>686</v>
      </c>
      <c r="D1180" s="1" t="s">
        <v>400</v>
      </c>
      <c r="E1180" s="6" t="n">
        <v>46151</v>
      </c>
      <c r="F1180" s="6" t="n">
        <v>46147</v>
      </c>
      <c r="G1180" s="1" t="s">
        <v>49</v>
      </c>
      <c r="H1180" s="1" t="s">
        <v>1945</v>
      </c>
      <c r="I1180" s="1" t="s">
        <v>3457</v>
      </c>
      <c r="J1180" s="1" t="n">
        <v>1145.89</v>
      </c>
      <c r="K1180" s="1" t="n">
        <v>751.44</v>
      </c>
      <c r="L1180" s="1" t="n">
        <v>0</v>
      </c>
      <c r="M1180" s="1" t="n">
        <v>751.44</v>
      </c>
      <c r="N1180" s="1" t="s">
        <v>52</v>
      </c>
      <c r="O1180" s="1" t="s">
        <v>73</v>
      </c>
      <c r="P1180" s="1" t="n">
        <v>7</v>
      </c>
      <c r="Q1180" s="1" t="s">
        <v>63</v>
      </c>
      <c r="R1180" s="1" t="s">
        <v>102</v>
      </c>
    </row>
    <row r="1181" customFormat="false" ht="14.25" hidden="false" customHeight="true" outlineLevel="0" collapsed="false">
      <c r="A1181" s="1" t="s">
        <v>3458</v>
      </c>
      <c r="B1181" s="1" t="s">
        <v>1466</v>
      </c>
      <c r="C1181" s="1" t="s">
        <v>459</v>
      </c>
      <c r="D1181" s="1" t="s">
        <v>1077</v>
      </c>
      <c r="E1181" s="6" t="n">
        <v>46039</v>
      </c>
      <c r="F1181" s="6" t="n">
        <v>46034</v>
      </c>
      <c r="G1181" s="1" t="s">
        <v>70</v>
      </c>
      <c r="H1181" s="1" t="s">
        <v>3459</v>
      </c>
      <c r="I1181" s="1" t="s">
        <v>3460</v>
      </c>
      <c r="J1181" s="1" t="n">
        <v>49807.74</v>
      </c>
      <c r="K1181" s="1" t="n">
        <v>39860.44</v>
      </c>
      <c r="L1181" s="1" t="n">
        <v>0</v>
      </c>
      <c r="M1181" s="1" t="n">
        <v>39860.44</v>
      </c>
      <c r="N1181" s="1" t="s">
        <v>52</v>
      </c>
      <c r="O1181" s="1" t="s">
        <v>265</v>
      </c>
      <c r="P1181" s="1" t="n">
        <v>3</v>
      </c>
      <c r="Q1181" s="1" t="s">
        <v>155</v>
      </c>
      <c r="R1181" s="1" t="s">
        <v>54</v>
      </c>
    </row>
    <row r="1182" customFormat="false" ht="14.25" hidden="false" customHeight="true" outlineLevel="0" collapsed="false">
      <c r="A1182" s="1" t="s">
        <v>3461</v>
      </c>
      <c r="B1182" s="1" t="s">
        <v>1311</v>
      </c>
      <c r="C1182" s="1" t="s">
        <v>510</v>
      </c>
      <c r="D1182" s="1" t="s">
        <v>431</v>
      </c>
      <c r="E1182" s="6" t="n">
        <v>46026</v>
      </c>
      <c r="F1182" s="6" t="n">
        <v>46023</v>
      </c>
      <c r="G1182" s="1" t="s">
        <v>70</v>
      </c>
      <c r="H1182" s="1" t="s">
        <v>1911</v>
      </c>
      <c r="I1182" s="1" t="s">
        <v>3462</v>
      </c>
      <c r="J1182" s="1" t="n">
        <v>19160.36</v>
      </c>
      <c r="K1182" s="1" t="n">
        <v>17329.01</v>
      </c>
      <c r="L1182" s="1" t="n">
        <v>13677.68</v>
      </c>
      <c r="M1182" s="1" t="n">
        <v>3651.33</v>
      </c>
      <c r="N1182" s="1" t="s">
        <v>41</v>
      </c>
      <c r="P1182" s="1" t="n">
        <v>6</v>
      </c>
      <c r="Q1182" s="1" t="s">
        <v>155</v>
      </c>
      <c r="R1182" s="1" t="s">
        <v>43</v>
      </c>
      <c r="S1182" s="6" t="n">
        <v>46032</v>
      </c>
    </row>
    <row r="1183" customFormat="false" ht="14.25" hidden="false" customHeight="true" outlineLevel="0" collapsed="false">
      <c r="A1183" s="1" t="s">
        <v>3463</v>
      </c>
      <c r="B1183" s="1" t="s">
        <v>395</v>
      </c>
      <c r="C1183" s="1" t="s">
        <v>85</v>
      </c>
      <c r="D1183" s="1" t="s">
        <v>216</v>
      </c>
      <c r="E1183" s="6" t="n">
        <v>46080</v>
      </c>
      <c r="F1183" s="6" t="n">
        <v>46077</v>
      </c>
      <c r="G1183" s="1" t="s">
        <v>108</v>
      </c>
      <c r="H1183" s="1" t="s">
        <v>1809</v>
      </c>
      <c r="I1183" s="1" t="s">
        <v>3464</v>
      </c>
      <c r="J1183" s="1" t="n">
        <v>6935.39</v>
      </c>
      <c r="K1183" s="1" t="n">
        <v>5321.86</v>
      </c>
      <c r="L1183" s="1" t="n">
        <v>4371.73</v>
      </c>
      <c r="M1183" s="1" t="n">
        <v>950.13</v>
      </c>
      <c r="N1183" s="1" t="s">
        <v>41</v>
      </c>
      <c r="P1183" s="1" t="n">
        <v>8</v>
      </c>
      <c r="Q1183" s="1" t="s">
        <v>42</v>
      </c>
      <c r="R1183" s="1" t="s">
        <v>64</v>
      </c>
      <c r="S1183" s="6" t="n">
        <v>46088</v>
      </c>
    </row>
    <row r="1184" customFormat="false" ht="14.25" hidden="false" customHeight="true" outlineLevel="0" collapsed="false">
      <c r="A1184" s="1" t="s">
        <v>3465</v>
      </c>
      <c r="B1184" s="1" t="s">
        <v>1155</v>
      </c>
      <c r="C1184" s="1" t="s">
        <v>459</v>
      </c>
      <c r="D1184" s="1" t="s">
        <v>368</v>
      </c>
      <c r="E1184" s="6" t="n">
        <v>46203</v>
      </c>
      <c r="F1184" s="6" t="n">
        <v>46202</v>
      </c>
      <c r="G1184" s="1" t="s">
        <v>49</v>
      </c>
      <c r="H1184" s="1" t="s">
        <v>2958</v>
      </c>
      <c r="I1184" s="1" t="s">
        <v>3466</v>
      </c>
      <c r="J1184" s="1" t="n">
        <v>11455.46</v>
      </c>
      <c r="K1184" s="1" t="n">
        <v>8583.68</v>
      </c>
      <c r="L1184" s="1" t="n">
        <v>6642.16</v>
      </c>
      <c r="M1184" s="1" t="n">
        <v>1941.52</v>
      </c>
      <c r="N1184" s="1" t="s">
        <v>41</v>
      </c>
      <c r="P1184" s="1" t="n">
        <v>1</v>
      </c>
      <c r="Q1184" s="1" t="s">
        <v>63</v>
      </c>
      <c r="R1184" s="1" t="s">
        <v>140</v>
      </c>
      <c r="S1184" s="6" t="n">
        <v>46204</v>
      </c>
    </row>
    <row r="1185" customFormat="false" ht="14.25" hidden="false" customHeight="true" outlineLevel="0" collapsed="false">
      <c r="A1185" s="1" t="s">
        <v>3467</v>
      </c>
      <c r="B1185" s="1" t="s">
        <v>968</v>
      </c>
      <c r="C1185" s="1" t="s">
        <v>296</v>
      </c>
      <c r="D1185" s="1" t="s">
        <v>501</v>
      </c>
      <c r="E1185" s="6" t="n">
        <v>46029</v>
      </c>
      <c r="F1185" s="6" t="n">
        <v>46024</v>
      </c>
      <c r="G1185" s="1" t="s">
        <v>108</v>
      </c>
      <c r="H1185" s="1" t="s">
        <v>2102</v>
      </c>
      <c r="I1185" s="1" t="s">
        <v>2707</v>
      </c>
      <c r="J1185" s="1" t="n">
        <v>27280.19</v>
      </c>
      <c r="K1185" s="1" t="n">
        <v>25208.46</v>
      </c>
      <c r="L1185" s="1" t="n">
        <v>0</v>
      </c>
      <c r="M1185" s="1" t="n">
        <v>25208.46</v>
      </c>
      <c r="N1185" s="1" t="s">
        <v>52</v>
      </c>
      <c r="O1185" s="1" t="s">
        <v>265</v>
      </c>
      <c r="P1185" s="1" t="n">
        <v>5</v>
      </c>
      <c r="Q1185" s="1" t="s">
        <v>63</v>
      </c>
      <c r="R1185" s="1" t="s">
        <v>140</v>
      </c>
    </row>
    <row r="1186" customFormat="false" ht="14.25" hidden="false" customHeight="true" outlineLevel="0" collapsed="false">
      <c r="A1186" s="1" t="s">
        <v>3468</v>
      </c>
      <c r="B1186" s="1" t="s">
        <v>256</v>
      </c>
      <c r="C1186" s="1" t="s">
        <v>215</v>
      </c>
      <c r="D1186" s="1" t="s">
        <v>1029</v>
      </c>
      <c r="E1186" s="6" t="n">
        <v>46227</v>
      </c>
      <c r="F1186" s="6" t="n">
        <v>46226</v>
      </c>
      <c r="G1186" s="1" t="s">
        <v>49</v>
      </c>
      <c r="H1186" s="1" t="s">
        <v>687</v>
      </c>
      <c r="I1186" s="1" t="s">
        <v>3469</v>
      </c>
      <c r="J1186" s="1" t="n">
        <v>821.51</v>
      </c>
      <c r="K1186" s="1" t="n">
        <v>754.9</v>
      </c>
      <c r="L1186" s="1" t="n">
        <v>0</v>
      </c>
      <c r="M1186" s="1" t="n">
        <v>754.9</v>
      </c>
      <c r="N1186" s="1" t="s">
        <v>111</v>
      </c>
      <c r="P1186" s="1" t="n">
        <v>9</v>
      </c>
      <c r="Q1186" s="1" t="s">
        <v>155</v>
      </c>
      <c r="R1186" s="1" t="s">
        <v>140</v>
      </c>
    </row>
    <row r="1187" customFormat="false" ht="14.25" hidden="false" customHeight="true" outlineLevel="0" collapsed="false">
      <c r="A1187" s="1" t="s">
        <v>3470</v>
      </c>
      <c r="B1187" s="1" t="s">
        <v>582</v>
      </c>
      <c r="C1187" s="1" t="s">
        <v>198</v>
      </c>
      <c r="D1187" s="1" t="s">
        <v>274</v>
      </c>
      <c r="E1187" s="6" t="n">
        <v>46179</v>
      </c>
      <c r="F1187" s="6" t="n">
        <v>46174</v>
      </c>
      <c r="G1187" s="1" t="s">
        <v>38</v>
      </c>
      <c r="H1187" s="1" t="s">
        <v>3471</v>
      </c>
      <c r="I1187" s="1" t="s">
        <v>3472</v>
      </c>
      <c r="J1187" s="1" t="n">
        <v>21463.14</v>
      </c>
      <c r="K1187" s="1" t="n">
        <v>15029.48</v>
      </c>
      <c r="L1187" s="1" t="n">
        <v>0</v>
      </c>
      <c r="M1187" s="1" t="n">
        <v>15029.48</v>
      </c>
      <c r="N1187" s="1" t="s">
        <v>111</v>
      </c>
      <c r="P1187" s="1" t="n">
        <v>4</v>
      </c>
      <c r="Q1187" s="1" t="s">
        <v>42</v>
      </c>
      <c r="R1187" s="1" t="s">
        <v>140</v>
      </c>
    </row>
    <row r="1188" customFormat="false" ht="14.25" hidden="false" customHeight="true" outlineLevel="0" collapsed="false">
      <c r="A1188" s="1" t="s">
        <v>3473</v>
      </c>
      <c r="B1188" s="1" t="s">
        <v>1583</v>
      </c>
      <c r="C1188" s="1" t="s">
        <v>151</v>
      </c>
      <c r="D1188" s="1" t="s">
        <v>37</v>
      </c>
      <c r="E1188" s="6" t="n">
        <v>46142</v>
      </c>
      <c r="F1188" s="6" t="n">
        <v>46140</v>
      </c>
      <c r="G1188" s="1" t="s">
        <v>108</v>
      </c>
      <c r="H1188" s="1" t="s">
        <v>3474</v>
      </c>
      <c r="I1188" s="1" t="s">
        <v>867</v>
      </c>
      <c r="J1188" s="1" t="n">
        <v>9733.66</v>
      </c>
      <c r="K1188" s="1" t="n">
        <v>7073.94</v>
      </c>
      <c r="L1188" s="1" t="n">
        <v>7044.41</v>
      </c>
      <c r="M1188" s="1" t="n">
        <v>29.53</v>
      </c>
      <c r="N1188" s="1" t="s">
        <v>41</v>
      </c>
      <c r="P1188" s="1" t="n">
        <v>1</v>
      </c>
      <c r="Q1188" s="1" t="s">
        <v>155</v>
      </c>
      <c r="R1188" s="1" t="s">
        <v>140</v>
      </c>
      <c r="S1188" s="6" t="n">
        <v>46143</v>
      </c>
    </row>
    <row r="1189" customFormat="false" ht="14.25" hidden="false" customHeight="true" outlineLevel="0" collapsed="false">
      <c r="A1189" s="1" t="s">
        <v>3475</v>
      </c>
      <c r="B1189" s="1" t="s">
        <v>1090</v>
      </c>
      <c r="C1189" s="1" t="s">
        <v>356</v>
      </c>
      <c r="D1189" s="1" t="s">
        <v>574</v>
      </c>
      <c r="E1189" s="6" t="n">
        <v>46209</v>
      </c>
      <c r="F1189" s="6" t="n">
        <v>46205</v>
      </c>
      <c r="G1189" s="1" t="s">
        <v>108</v>
      </c>
      <c r="H1189" s="1" t="s">
        <v>1205</v>
      </c>
      <c r="I1189" s="1" t="s">
        <v>3476</v>
      </c>
      <c r="J1189" s="1" t="n">
        <v>9857.73</v>
      </c>
      <c r="K1189" s="1" t="n">
        <v>8478.9</v>
      </c>
      <c r="L1189" s="1" t="n">
        <v>6715.82</v>
      </c>
      <c r="M1189" s="1" t="n">
        <v>1763.08</v>
      </c>
      <c r="N1189" s="1" t="s">
        <v>41</v>
      </c>
      <c r="P1189" s="1" t="n">
        <v>3</v>
      </c>
      <c r="Q1189" s="1" t="s">
        <v>42</v>
      </c>
      <c r="R1189" s="1" t="s">
        <v>54</v>
      </c>
      <c r="S1189" s="6" t="n">
        <v>46212</v>
      </c>
    </row>
    <row r="1190" customFormat="false" ht="14.25" hidden="false" customHeight="true" outlineLevel="0" collapsed="false">
      <c r="A1190" s="1" t="s">
        <v>3477</v>
      </c>
      <c r="B1190" s="1" t="s">
        <v>810</v>
      </c>
      <c r="C1190" s="1" t="s">
        <v>58</v>
      </c>
      <c r="D1190" s="1" t="s">
        <v>799</v>
      </c>
      <c r="E1190" s="6" t="n">
        <v>46200</v>
      </c>
      <c r="F1190" s="6" t="n">
        <v>46198</v>
      </c>
      <c r="G1190" s="1" t="s">
        <v>108</v>
      </c>
      <c r="H1190" s="1" t="s">
        <v>2450</v>
      </c>
      <c r="I1190" s="1" t="s">
        <v>3478</v>
      </c>
      <c r="J1190" s="1" t="n">
        <v>21969.88</v>
      </c>
      <c r="K1190" s="1" t="n">
        <v>19373.94</v>
      </c>
      <c r="L1190" s="1" t="n">
        <v>16967.37</v>
      </c>
      <c r="M1190" s="1" t="n">
        <v>2406.57</v>
      </c>
      <c r="N1190" s="1" t="s">
        <v>41</v>
      </c>
      <c r="P1190" s="1" t="n">
        <v>4</v>
      </c>
      <c r="Q1190" s="1" t="s">
        <v>42</v>
      </c>
      <c r="R1190" s="1" t="s">
        <v>74</v>
      </c>
      <c r="S1190" s="6" t="n">
        <v>46204</v>
      </c>
    </row>
    <row r="1191" customFormat="false" ht="14.25" hidden="false" customHeight="true" outlineLevel="0" collapsed="false">
      <c r="A1191" s="1" t="s">
        <v>3479</v>
      </c>
      <c r="B1191" s="1" t="s">
        <v>1408</v>
      </c>
      <c r="C1191" s="1" t="s">
        <v>233</v>
      </c>
      <c r="D1191" s="1" t="s">
        <v>368</v>
      </c>
      <c r="E1191" s="6" t="n">
        <v>46146</v>
      </c>
      <c r="F1191" s="6" t="n">
        <v>46141</v>
      </c>
      <c r="G1191" s="1" t="s">
        <v>108</v>
      </c>
      <c r="H1191" s="1" t="s">
        <v>2694</v>
      </c>
      <c r="I1191" s="1" t="s">
        <v>3480</v>
      </c>
      <c r="J1191" s="1" t="n">
        <v>8790.23</v>
      </c>
      <c r="K1191" s="1" t="n">
        <v>7535.16</v>
      </c>
      <c r="L1191" s="1" t="n">
        <v>0</v>
      </c>
      <c r="M1191" s="1" t="n">
        <v>7535.16</v>
      </c>
      <c r="N1191" s="1" t="s">
        <v>260</v>
      </c>
      <c r="P1191" s="1" t="n">
        <v>7</v>
      </c>
      <c r="Q1191" s="1" t="s">
        <v>155</v>
      </c>
      <c r="R1191" s="1" t="s">
        <v>43</v>
      </c>
    </row>
    <row r="1192" customFormat="false" ht="14.25" hidden="false" customHeight="true" outlineLevel="0" collapsed="false">
      <c r="A1192" s="1" t="s">
        <v>3481</v>
      </c>
      <c r="B1192" s="1" t="s">
        <v>565</v>
      </c>
      <c r="C1192" s="1" t="s">
        <v>115</v>
      </c>
      <c r="D1192" s="1" t="s">
        <v>280</v>
      </c>
      <c r="E1192" s="6" t="n">
        <v>46164</v>
      </c>
      <c r="F1192" s="6" t="n">
        <v>46159</v>
      </c>
      <c r="G1192" s="1" t="s">
        <v>49</v>
      </c>
      <c r="H1192" s="1" t="s">
        <v>1109</v>
      </c>
      <c r="I1192" s="1" t="s">
        <v>3482</v>
      </c>
      <c r="J1192" s="1" t="n">
        <v>11189.39</v>
      </c>
      <c r="K1192" s="1" t="n">
        <v>9110.92</v>
      </c>
      <c r="L1192" s="1" t="n">
        <v>0</v>
      </c>
      <c r="M1192" s="1" t="n">
        <v>9110.92</v>
      </c>
      <c r="N1192" s="1" t="s">
        <v>111</v>
      </c>
      <c r="P1192" s="1" t="n">
        <v>10</v>
      </c>
      <c r="Q1192" s="1" t="s">
        <v>63</v>
      </c>
      <c r="R1192" s="1" t="s">
        <v>102</v>
      </c>
    </row>
    <row r="1193" customFormat="false" ht="14.25" hidden="false" customHeight="true" outlineLevel="0" collapsed="false">
      <c r="A1193" s="1" t="s">
        <v>3483</v>
      </c>
      <c r="B1193" s="1" t="s">
        <v>524</v>
      </c>
      <c r="C1193" s="1" t="s">
        <v>176</v>
      </c>
      <c r="D1193" s="1" t="s">
        <v>93</v>
      </c>
      <c r="E1193" s="6" t="n">
        <v>46102</v>
      </c>
      <c r="F1193" s="6" t="n">
        <v>46102</v>
      </c>
      <c r="G1193" s="1" t="s">
        <v>108</v>
      </c>
      <c r="H1193" s="1" t="s">
        <v>2372</v>
      </c>
      <c r="I1193" s="1" t="s">
        <v>3484</v>
      </c>
      <c r="J1193" s="1" t="n">
        <v>49773.73</v>
      </c>
      <c r="K1193" s="1" t="n">
        <v>34415.08</v>
      </c>
      <c r="L1193" s="1" t="n">
        <v>0</v>
      </c>
      <c r="M1193" s="1" t="n">
        <v>34415.08</v>
      </c>
      <c r="N1193" s="1" t="s">
        <v>111</v>
      </c>
      <c r="P1193" s="1" t="n">
        <v>15</v>
      </c>
      <c r="Q1193" s="1" t="s">
        <v>42</v>
      </c>
      <c r="R1193" s="1" t="s">
        <v>102</v>
      </c>
    </row>
    <row r="1194" customFormat="false" ht="14.25" hidden="false" customHeight="true" outlineLevel="0" collapsed="false">
      <c r="A1194" s="1" t="s">
        <v>3485</v>
      </c>
      <c r="B1194" s="1" t="s">
        <v>565</v>
      </c>
      <c r="C1194" s="1" t="s">
        <v>182</v>
      </c>
      <c r="D1194" s="1" t="s">
        <v>336</v>
      </c>
      <c r="E1194" s="6" t="n">
        <v>46161</v>
      </c>
      <c r="F1194" s="6" t="n">
        <v>46160</v>
      </c>
      <c r="G1194" s="1" t="s">
        <v>108</v>
      </c>
      <c r="H1194" s="1" t="s">
        <v>3486</v>
      </c>
      <c r="I1194" s="1" t="s">
        <v>3487</v>
      </c>
      <c r="J1194" s="1" t="n">
        <v>42014.79</v>
      </c>
      <c r="K1194" s="1" t="n">
        <v>30191.47</v>
      </c>
      <c r="L1194" s="1" t="n">
        <v>0</v>
      </c>
      <c r="M1194" s="1" t="n">
        <v>30191.47</v>
      </c>
      <c r="N1194" s="1" t="s">
        <v>111</v>
      </c>
      <c r="P1194" s="1" t="n">
        <v>14</v>
      </c>
      <c r="Q1194" s="1" t="s">
        <v>63</v>
      </c>
      <c r="R1194" s="1" t="s">
        <v>102</v>
      </c>
    </row>
    <row r="1195" customFormat="false" ht="14.25" hidden="false" customHeight="true" outlineLevel="0" collapsed="false">
      <c r="A1195" s="1" t="s">
        <v>3488</v>
      </c>
      <c r="B1195" s="1" t="s">
        <v>1760</v>
      </c>
      <c r="C1195" s="1" t="s">
        <v>686</v>
      </c>
      <c r="D1195" s="1" t="s">
        <v>274</v>
      </c>
      <c r="E1195" s="6" t="n">
        <v>46191</v>
      </c>
      <c r="F1195" s="6" t="n">
        <v>46190</v>
      </c>
      <c r="G1195" s="1" t="s">
        <v>70</v>
      </c>
      <c r="H1195" s="1" t="s">
        <v>1668</v>
      </c>
      <c r="I1195" s="1" t="s">
        <v>3489</v>
      </c>
      <c r="J1195" s="1" t="n">
        <v>46265.46</v>
      </c>
      <c r="K1195" s="1" t="n">
        <v>42012.57</v>
      </c>
      <c r="L1195" s="1" t="n">
        <v>0</v>
      </c>
      <c r="M1195" s="1" t="n">
        <v>42012.57</v>
      </c>
      <c r="N1195" s="1" t="s">
        <v>111</v>
      </c>
      <c r="P1195" s="1" t="n">
        <v>15</v>
      </c>
      <c r="Q1195" s="1" t="s">
        <v>42</v>
      </c>
      <c r="R1195" s="1" t="s">
        <v>54</v>
      </c>
    </row>
    <row r="1196" customFormat="false" ht="14.25" hidden="false" customHeight="true" outlineLevel="0" collapsed="false">
      <c r="A1196" s="1" t="s">
        <v>3490</v>
      </c>
      <c r="B1196" s="1" t="s">
        <v>2697</v>
      </c>
      <c r="C1196" s="1" t="s">
        <v>182</v>
      </c>
      <c r="D1196" s="1" t="s">
        <v>712</v>
      </c>
      <c r="E1196" s="6" t="n">
        <v>46196</v>
      </c>
      <c r="F1196" s="6" t="n">
        <v>46195</v>
      </c>
      <c r="G1196" s="1" t="s">
        <v>38</v>
      </c>
      <c r="H1196" s="1" t="s">
        <v>1483</v>
      </c>
      <c r="I1196" s="1" t="s">
        <v>3491</v>
      </c>
      <c r="J1196" s="1" t="n">
        <v>36871.93</v>
      </c>
      <c r="K1196" s="1" t="n">
        <v>25378</v>
      </c>
      <c r="L1196" s="1" t="n">
        <v>0</v>
      </c>
      <c r="M1196" s="1" t="n">
        <v>25378</v>
      </c>
      <c r="N1196" s="1" t="s">
        <v>111</v>
      </c>
      <c r="P1196" s="1" t="n">
        <v>14</v>
      </c>
      <c r="Q1196" s="1" t="s">
        <v>155</v>
      </c>
      <c r="R1196" s="1" t="s">
        <v>74</v>
      </c>
    </row>
    <row r="1197" customFormat="false" ht="14.25" hidden="false" customHeight="true" outlineLevel="0" collapsed="false">
      <c r="A1197" s="1" t="s">
        <v>3492</v>
      </c>
      <c r="B1197" s="1" t="s">
        <v>1466</v>
      </c>
      <c r="C1197" s="1" t="s">
        <v>671</v>
      </c>
      <c r="D1197" s="1" t="s">
        <v>558</v>
      </c>
      <c r="E1197" s="6" t="n">
        <v>46138</v>
      </c>
      <c r="F1197" s="6" t="n">
        <v>46135</v>
      </c>
      <c r="G1197" s="1" t="s">
        <v>38</v>
      </c>
      <c r="H1197" s="1" t="s">
        <v>160</v>
      </c>
      <c r="I1197" s="1" t="s">
        <v>3493</v>
      </c>
      <c r="J1197" s="1" t="n">
        <v>46553.2</v>
      </c>
      <c r="K1197" s="1" t="n">
        <v>39972.24</v>
      </c>
      <c r="L1197" s="1" t="n">
        <v>31010.82</v>
      </c>
      <c r="M1197" s="1" t="n">
        <v>8961.42</v>
      </c>
      <c r="N1197" s="1" t="s">
        <v>41</v>
      </c>
      <c r="P1197" s="1" t="n">
        <v>6</v>
      </c>
      <c r="Q1197" s="1" t="s">
        <v>63</v>
      </c>
      <c r="R1197" s="1" t="s">
        <v>102</v>
      </c>
      <c r="S1197" s="6" t="n">
        <v>46144</v>
      </c>
    </row>
    <row r="1198" customFormat="false" ht="14.25" hidden="false" customHeight="true" outlineLevel="0" collapsed="false">
      <c r="A1198" s="1" t="s">
        <v>3494</v>
      </c>
      <c r="B1198" s="1" t="s">
        <v>582</v>
      </c>
      <c r="C1198" s="1" t="s">
        <v>300</v>
      </c>
      <c r="D1198" s="1" t="s">
        <v>347</v>
      </c>
      <c r="E1198" s="6" t="n">
        <v>46038</v>
      </c>
      <c r="F1198" s="6" t="n">
        <v>46035</v>
      </c>
      <c r="G1198" s="1" t="s">
        <v>49</v>
      </c>
      <c r="H1198" s="1" t="s">
        <v>3495</v>
      </c>
      <c r="I1198" s="1" t="s">
        <v>284</v>
      </c>
      <c r="J1198" s="1" t="n">
        <v>10253.55</v>
      </c>
      <c r="K1198" s="1" t="n">
        <v>8763.24</v>
      </c>
      <c r="L1198" s="1" t="n">
        <v>8379.58</v>
      </c>
      <c r="M1198" s="1" t="n">
        <v>383.66</v>
      </c>
      <c r="N1198" s="1" t="s">
        <v>41</v>
      </c>
      <c r="P1198" s="1" t="n">
        <v>6</v>
      </c>
      <c r="Q1198" s="1" t="s">
        <v>42</v>
      </c>
      <c r="R1198" s="1" t="s">
        <v>54</v>
      </c>
      <c r="S1198" s="6" t="n">
        <v>46044</v>
      </c>
    </row>
    <row r="1199" customFormat="false" ht="14.25" hidden="false" customHeight="true" outlineLevel="0" collapsed="false">
      <c r="A1199" s="1" t="s">
        <v>3496</v>
      </c>
      <c r="B1199" s="1" t="s">
        <v>324</v>
      </c>
      <c r="C1199" s="1" t="s">
        <v>164</v>
      </c>
      <c r="D1199" s="1" t="s">
        <v>722</v>
      </c>
      <c r="E1199" s="6" t="n">
        <v>46183</v>
      </c>
      <c r="F1199" s="6" t="n">
        <v>46179</v>
      </c>
      <c r="G1199" s="1" t="s">
        <v>108</v>
      </c>
      <c r="H1199" s="1" t="s">
        <v>894</v>
      </c>
      <c r="I1199" s="1" t="s">
        <v>3497</v>
      </c>
      <c r="J1199" s="1" t="n">
        <v>38511.3</v>
      </c>
      <c r="K1199" s="1" t="n">
        <v>32932.4</v>
      </c>
      <c r="L1199" s="1" t="n">
        <v>30065.32</v>
      </c>
      <c r="M1199" s="1" t="n">
        <v>2867.08</v>
      </c>
      <c r="N1199" s="1" t="s">
        <v>41</v>
      </c>
      <c r="P1199" s="1" t="n">
        <v>2</v>
      </c>
      <c r="Q1199" s="1" t="s">
        <v>63</v>
      </c>
      <c r="R1199" s="1" t="s">
        <v>125</v>
      </c>
      <c r="S1199" s="6" t="n">
        <v>46185</v>
      </c>
    </row>
    <row r="1200" customFormat="false" ht="14.25" hidden="false" customHeight="true" outlineLevel="0" collapsed="false">
      <c r="A1200" s="1" t="s">
        <v>3498</v>
      </c>
      <c r="B1200" s="1" t="s">
        <v>226</v>
      </c>
      <c r="C1200" s="1" t="s">
        <v>85</v>
      </c>
      <c r="D1200" s="1" t="s">
        <v>1448</v>
      </c>
      <c r="E1200" s="6" t="n">
        <v>46178</v>
      </c>
      <c r="F1200" s="6" t="n">
        <v>46178</v>
      </c>
      <c r="G1200" s="1" t="s">
        <v>70</v>
      </c>
      <c r="H1200" s="1" t="s">
        <v>3102</v>
      </c>
      <c r="I1200" s="1" t="s">
        <v>2519</v>
      </c>
      <c r="J1200" s="1" t="n">
        <v>8376.51</v>
      </c>
      <c r="K1200" s="1" t="n">
        <v>7327.12</v>
      </c>
      <c r="L1200" s="1" t="n">
        <v>0</v>
      </c>
      <c r="M1200" s="1" t="n">
        <v>7327.12</v>
      </c>
      <c r="N1200" s="1" t="s">
        <v>52</v>
      </c>
      <c r="O1200" s="1" t="s">
        <v>53</v>
      </c>
      <c r="P1200" s="1" t="n">
        <v>4</v>
      </c>
      <c r="Q1200" s="1" t="s">
        <v>63</v>
      </c>
      <c r="R1200" s="1" t="s">
        <v>140</v>
      </c>
    </row>
    <row r="1201" customFormat="false" ht="14.25" hidden="false" customHeight="true" outlineLevel="0" collapsed="false">
      <c r="A1201" s="1" t="s">
        <v>3499</v>
      </c>
      <c r="B1201" s="1" t="s">
        <v>422</v>
      </c>
      <c r="C1201" s="1" t="s">
        <v>182</v>
      </c>
      <c r="D1201" s="1" t="s">
        <v>257</v>
      </c>
      <c r="E1201" s="6" t="n">
        <v>46065</v>
      </c>
      <c r="F1201" s="6" t="n">
        <v>46061</v>
      </c>
      <c r="G1201" s="1" t="s">
        <v>49</v>
      </c>
      <c r="H1201" s="1" t="s">
        <v>3500</v>
      </c>
      <c r="I1201" s="1" t="s">
        <v>3501</v>
      </c>
      <c r="J1201" s="1" t="n">
        <v>43497.4</v>
      </c>
      <c r="K1201" s="1" t="n">
        <v>40525.04</v>
      </c>
      <c r="L1201" s="1" t="n">
        <v>34646.88</v>
      </c>
      <c r="M1201" s="1" t="n">
        <v>5878.16</v>
      </c>
      <c r="N1201" s="1" t="s">
        <v>41</v>
      </c>
      <c r="P1201" s="1" t="n">
        <v>1</v>
      </c>
      <c r="Q1201" s="1" t="s">
        <v>63</v>
      </c>
      <c r="R1201" s="1" t="s">
        <v>125</v>
      </c>
      <c r="S1201" s="6" t="n">
        <v>46066</v>
      </c>
    </row>
    <row r="1202" customFormat="false" ht="14.25" hidden="false" customHeight="true" outlineLevel="0" collapsed="false">
      <c r="A1202" s="1" t="s">
        <v>3502</v>
      </c>
      <c r="B1202" s="1" t="s">
        <v>2202</v>
      </c>
      <c r="C1202" s="1" t="s">
        <v>296</v>
      </c>
      <c r="D1202" s="1" t="s">
        <v>890</v>
      </c>
      <c r="E1202" s="6" t="n">
        <v>46126</v>
      </c>
      <c r="F1202" s="6" t="n">
        <v>46123</v>
      </c>
      <c r="G1202" s="1" t="s">
        <v>49</v>
      </c>
      <c r="H1202" s="1" t="s">
        <v>3503</v>
      </c>
      <c r="I1202" s="1" t="s">
        <v>3504</v>
      </c>
      <c r="J1202" s="1" t="n">
        <v>43912.14</v>
      </c>
      <c r="K1202" s="1" t="n">
        <v>29077.47</v>
      </c>
      <c r="L1202" s="1" t="n">
        <v>0</v>
      </c>
      <c r="M1202" s="1" t="n">
        <v>29077.47</v>
      </c>
      <c r="N1202" s="1" t="s">
        <v>260</v>
      </c>
      <c r="P1202" s="1" t="n">
        <v>4</v>
      </c>
      <c r="Q1202" s="1" t="s">
        <v>155</v>
      </c>
      <c r="R1202" s="1" t="s">
        <v>102</v>
      </c>
    </row>
    <row r="1203" customFormat="false" ht="14.25" hidden="false" customHeight="true" outlineLevel="0" collapsed="false">
      <c r="A1203" s="1" t="s">
        <v>3505</v>
      </c>
      <c r="B1203" s="1" t="s">
        <v>450</v>
      </c>
      <c r="C1203" s="1" t="s">
        <v>106</v>
      </c>
      <c r="D1203" s="1" t="s">
        <v>953</v>
      </c>
      <c r="E1203" s="6" t="n">
        <v>46173</v>
      </c>
      <c r="F1203" s="6" t="n">
        <v>46171</v>
      </c>
      <c r="G1203" s="1" t="s">
        <v>70</v>
      </c>
      <c r="H1203" s="1" t="s">
        <v>3300</v>
      </c>
      <c r="I1203" s="1" t="s">
        <v>3506</v>
      </c>
      <c r="J1203" s="1" t="n">
        <v>39269.52</v>
      </c>
      <c r="K1203" s="1" t="n">
        <v>29065.37</v>
      </c>
      <c r="L1203" s="1" t="n">
        <v>0</v>
      </c>
      <c r="M1203" s="1" t="n">
        <v>29065.37</v>
      </c>
      <c r="N1203" s="1" t="s">
        <v>52</v>
      </c>
      <c r="O1203" s="1" t="s">
        <v>62</v>
      </c>
      <c r="P1203" s="1" t="n">
        <v>1</v>
      </c>
      <c r="Q1203" s="1" t="s">
        <v>42</v>
      </c>
      <c r="R1203" s="1" t="s">
        <v>140</v>
      </c>
    </row>
    <row r="1204" customFormat="false" ht="14.25" hidden="false" customHeight="true" outlineLevel="0" collapsed="false">
      <c r="A1204" s="1" t="s">
        <v>3507</v>
      </c>
      <c r="B1204" s="1" t="s">
        <v>1528</v>
      </c>
      <c r="C1204" s="1" t="s">
        <v>176</v>
      </c>
      <c r="D1204" s="1" t="s">
        <v>107</v>
      </c>
      <c r="E1204" s="6" t="n">
        <v>46171</v>
      </c>
      <c r="F1204" s="6" t="n">
        <v>46168</v>
      </c>
      <c r="G1204" s="1" t="s">
        <v>38</v>
      </c>
      <c r="H1204" s="1" t="s">
        <v>1347</v>
      </c>
      <c r="I1204" s="1" t="s">
        <v>3508</v>
      </c>
      <c r="J1204" s="1" t="n">
        <v>15463.89</v>
      </c>
      <c r="K1204" s="1" t="n">
        <v>12855.99</v>
      </c>
      <c r="L1204" s="1" t="n">
        <v>10179.61</v>
      </c>
      <c r="M1204" s="1" t="n">
        <v>2676.38</v>
      </c>
      <c r="N1204" s="1" t="s">
        <v>41</v>
      </c>
      <c r="P1204" s="1" t="n">
        <v>4</v>
      </c>
      <c r="Q1204" s="1" t="s">
        <v>155</v>
      </c>
      <c r="R1204" s="1" t="s">
        <v>102</v>
      </c>
      <c r="S1204" s="6" t="n">
        <v>46175</v>
      </c>
    </row>
    <row r="1205" customFormat="false" ht="14.25" hidden="false" customHeight="true" outlineLevel="0" collapsed="false">
      <c r="A1205" s="1" t="s">
        <v>3509</v>
      </c>
      <c r="B1205" s="1" t="s">
        <v>1408</v>
      </c>
      <c r="C1205" s="1" t="s">
        <v>221</v>
      </c>
      <c r="D1205" s="1" t="s">
        <v>550</v>
      </c>
      <c r="E1205" s="6" t="n">
        <v>46062</v>
      </c>
      <c r="F1205" s="6" t="n">
        <v>46060</v>
      </c>
      <c r="G1205" s="1" t="s">
        <v>70</v>
      </c>
      <c r="H1205" s="1" t="s">
        <v>2810</v>
      </c>
      <c r="I1205" s="1" t="s">
        <v>3510</v>
      </c>
      <c r="J1205" s="1" t="n">
        <v>20841.32</v>
      </c>
      <c r="K1205" s="1" t="n">
        <v>14406.22</v>
      </c>
      <c r="L1205" s="1" t="n">
        <v>13789.45</v>
      </c>
      <c r="M1205" s="1" t="n">
        <v>616.77</v>
      </c>
      <c r="N1205" s="1" t="s">
        <v>41</v>
      </c>
      <c r="P1205" s="1" t="n">
        <v>6</v>
      </c>
      <c r="Q1205" s="1" t="s">
        <v>155</v>
      </c>
      <c r="R1205" s="1" t="s">
        <v>74</v>
      </c>
      <c r="S1205" s="6" t="n">
        <v>46068</v>
      </c>
    </row>
    <row r="1206" customFormat="false" ht="14.25" hidden="false" customHeight="true" outlineLevel="0" collapsed="false">
      <c r="A1206" s="1" t="s">
        <v>3511</v>
      </c>
      <c r="B1206" s="1" t="s">
        <v>2335</v>
      </c>
      <c r="C1206" s="1" t="s">
        <v>361</v>
      </c>
      <c r="D1206" s="1" t="s">
        <v>382</v>
      </c>
      <c r="E1206" s="6" t="n">
        <v>46158</v>
      </c>
      <c r="F1206" s="6" t="n">
        <v>46154</v>
      </c>
      <c r="G1206" s="1" t="s">
        <v>49</v>
      </c>
      <c r="H1206" s="1" t="s">
        <v>779</v>
      </c>
      <c r="I1206" s="1" t="s">
        <v>3512</v>
      </c>
      <c r="J1206" s="1" t="n">
        <v>47770.51</v>
      </c>
      <c r="K1206" s="1" t="n">
        <v>38700.81</v>
      </c>
      <c r="L1206" s="1" t="n">
        <v>0</v>
      </c>
      <c r="M1206" s="1" t="n">
        <v>38700.81</v>
      </c>
      <c r="N1206" s="1" t="s">
        <v>111</v>
      </c>
      <c r="P1206" s="1" t="n">
        <v>11</v>
      </c>
      <c r="Q1206" s="1" t="s">
        <v>42</v>
      </c>
      <c r="R1206" s="1" t="s">
        <v>102</v>
      </c>
    </row>
    <row r="1207" customFormat="false" ht="14.25" hidden="false" customHeight="true" outlineLevel="0" collapsed="false">
      <c r="A1207" s="1" t="s">
        <v>3513</v>
      </c>
      <c r="B1207" s="1" t="s">
        <v>1441</v>
      </c>
      <c r="C1207" s="1" t="s">
        <v>215</v>
      </c>
      <c r="D1207" s="1" t="s">
        <v>855</v>
      </c>
      <c r="E1207" s="6" t="n">
        <v>46238</v>
      </c>
      <c r="F1207" s="6" t="n">
        <v>46233</v>
      </c>
      <c r="G1207" s="1" t="s">
        <v>38</v>
      </c>
      <c r="H1207" s="1" t="s">
        <v>2524</v>
      </c>
      <c r="I1207" s="1" t="s">
        <v>3514</v>
      </c>
      <c r="J1207" s="1" t="n">
        <v>30238.86</v>
      </c>
      <c r="K1207" s="1" t="n">
        <v>25848.46</v>
      </c>
      <c r="L1207" s="1" t="n">
        <v>21090.21</v>
      </c>
      <c r="M1207" s="1" t="n">
        <v>4758.25</v>
      </c>
      <c r="N1207" s="1" t="s">
        <v>41</v>
      </c>
      <c r="P1207" s="1" t="n">
        <v>4</v>
      </c>
      <c r="Q1207" s="1" t="s">
        <v>63</v>
      </c>
      <c r="R1207" s="1" t="s">
        <v>140</v>
      </c>
      <c r="S1207" s="6" t="n">
        <v>46242</v>
      </c>
    </row>
    <row r="1208" customFormat="false" ht="14.25" hidden="false" customHeight="true" outlineLevel="0" collapsed="false">
      <c r="A1208" s="1" t="s">
        <v>3515</v>
      </c>
      <c r="B1208" s="1" t="s">
        <v>569</v>
      </c>
      <c r="C1208" s="1" t="s">
        <v>221</v>
      </c>
      <c r="D1208" s="1" t="s">
        <v>855</v>
      </c>
      <c r="E1208" s="6" t="n">
        <v>46121</v>
      </c>
      <c r="F1208" s="6" t="n">
        <v>46116</v>
      </c>
      <c r="G1208" s="1" t="s">
        <v>108</v>
      </c>
      <c r="H1208" s="1" t="s">
        <v>672</v>
      </c>
      <c r="I1208" s="1" t="s">
        <v>3159</v>
      </c>
      <c r="J1208" s="1" t="n">
        <v>26815.62</v>
      </c>
      <c r="K1208" s="1" t="n">
        <v>19239.51</v>
      </c>
      <c r="L1208" s="1" t="n">
        <v>15683.77</v>
      </c>
      <c r="M1208" s="1" t="n">
        <v>3555.74</v>
      </c>
      <c r="N1208" s="1" t="s">
        <v>41</v>
      </c>
      <c r="P1208" s="1" t="n">
        <v>4</v>
      </c>
      <c r="Q1208" s="1" t="s">
        <v>42</v>
      </c>
      <c r="R1208" s="1" t="s">
        <v>64</v>
      </c>
      <c r="S1208" s="6" t="n">
        <v>46125</v>
      </c>
    </row>
    <row r="1209" customFormat="false" ht="14.25" hidden="false" customHeight="true" outlineLevel="0" collapsed="false">
      <c r="A1209" s="1" t="s">
        <v>3516</v>
      </c>
      <c r="B1209" s="1" t="s">
        <v>573</v>
      </c>
      <c r="C1209" s="1" t="s">
        <v>164</v>
      </c>
      <c r="D1209" s="1" t="s">
        <v>595</v>
      </c>
      <c r="E1209" s="6" t="n">
        <v>46153</v>
      </c>
      <c r="F1209" s="6" t="n">
        <v>46150</v>
      </c>
      <c r="G1209" s="1" t="s">
        <v>49</v>
      </c>
      <c r="H1209" s="1" t="s">
        <v>599</v>
      </c>
      <c r="I1209" s="1" t="s">
        <v>3517</v>
      </c>
      <c r="J1209" s="1" t="n">
        <v>49016.82</v>
      </c>
      <c r="K1209" s="1" t="n">
        <v>35788.3</v>
      </c>
      <c r="L1209" s="1" t="n">
        <v>34567.62</v>
      </c>
      <c r="M1209" s="1" t="n">
        <v>1220.68</v>
      </c>
      <c r="N1209" s="1" t="s">
        <v>41</v>
      </c>
      <c r="P1209" s="1" t="n">
        <v>7</v>
      </c>
      <c r="Q1209" s="1" t="s">
        <v>63</v>
      </c>
      <c r="R1209" s="1" t="s">
        <v>64</v>
      </c>
      <c r="S1209" s="6" t="n">
        <v>46160</v>
      </c>
    </row>
    <row r="1210" customFormat="false" ht="14.25" hidden="false" customHeight="true" outlineLevel="0" collapsed="false">
      <c r="A1210" s="1" t="s">
        <v>3518</v>
      </c>
      <c r="B1210" s="1" t="s">
        <v>704</v>
      </c>
      <c r="C1210" s="1" t="s">
        <v>198</v>
      </c>
      <c r="D1210" s="1" t="s">
        <v>538</v>
      </c>
      <c r="E1210" s="6" t="n">
        <v>46210</v>
      </c>
      <c r="F1210" s="6" t="n">
        <v>46205</v>
      </c>
      <c r="G1210" s="1" t="s">
        <v>70</v>
      </c>
      <c r="H1210" s="1" t="s">
        <v>2221</v>
      </c>
      <c r="I1210" s="1" t="s">
        <v>3519</v>
      </c>
      <c r="J1210" s="1" t="n">
        <v>13778.43</v>
      </c>
      <c r="K1210" s="1" t="n">
        <v>12147.43</v>
      </c>
      <c r="L1210" s="1" t="n">
        <v>0</v>
      </c>
      <c r="M1210" s="1" t="n">
        <v>12147.43</v>
      </c>
      <c r="N1210" s="1" t="s">
        <v>52</v>
      </c>
      <c r="O1210" s="1" t="s">
        <v>265</v>
      </c>
      <c r="P1210" s="1" t="n">
        <v>6</v>
      </c>
      <c r="Q1210" s="1" t="s">
        <v>63</v>
      </c>
      <c r="R1210" s="1" t="s">
        <v>43</v>
      </c>
    </row>
    <row r="1211" customFormat="false" ht="14.25" hidden="false" customHeight="true" outlineLevel="0" collapsed="false">
      <c r="A1211" s="1" t="s">
        <v>3520</v>
      </c>
      <c r="B1211" s="1" t="s">
        <v>450</v>
      </c>
      <c r="C1211" s="1" t="s">
        <v>510</v>
      </c>
      <c r="D1211" s="1" t="s">
        <v>712</v>
      </c>
      <c r="E1211" s="6" t="n">
        <v>46126</v>
      </c>
      <c r="F1211" s="6" t="n">
        <v>46121</v>
      </c>
      <c r="G1211" s="1" t="s">
        <v>38</v>
      </c>
      <c r="H1211" s="1" t="s">
        <v>672</v>
      </c>
      <c r="I1211" s="1" t="s">
        <v>3521</v>
      </c>
      <c r="J1211" s="1" t="n">
        <v>25388.09</v>
      </c>
      <c r="K1211" s="1" t="n">
        <v>23831.36</v>
      </c>
      <c r="L1211" s="1" t="n">
        <v>0</v>
      </c>
      <c r="M1211" s="1" t="n">
        <v>23831.36</v>
      </c>
      <c r="N1211" s="1" t="s">
        <v>111</v>
      </c>
      <c r="P1211" s="1" t="n">
        <v>5</v>
      </c>
      <c r="Q1211" s="1" t="s">
        <v>63</v>
      </c>
      <c r="R1211" s="1" t="s">
        <v>102</v>
      </c>
    </row>
    <row r="1212" customFormat="false" ht="14.25" hidden="false" customHeight="true" outlineLevel="0" collapsed="false">
      <c r="A1212" s="1" t="s">
        <v>3522</v>
      </c>
      <c r="B1212" s="1" t="s">
        <v>1273</v>
      </c>
      <c r="C1212" s="1" t="s">
        <v>436</v>
      </c>
      <c r="D1212" s="1" t="s">
        <v>1628</v>
      </c>
      <c r="E1212" s="6" t="n">
        <v>46117</v>
      </c>
      <c r="F1212" s="6" t="n">
        <v>46117</v>
      </c>
      <c r="G1212" s="1" t="s">
        <v>38</v>
      </c>
      <c r="H1212" s="1" t="s">
        <v>1590</v>
      </c>
      <c r="I1212" s="1" t="s">
        <v>3523</v>
      </c>
      <c r="J1212" s="1" t="n">
        <v>45458.81</v>
      </c>
      <c r="K1212" s="1" t="n">
        <v>37358.32</v>
      </c>
      <c r="L1212" s="1" t="n">
        <v>36660.59</v>
      </c>
      <c r="M1212" s="1" t="n">
        <v>697.73</v>
      </c>
      <c r="N1212" s="1" t="s">
        <v>41</v>
      </c>
      <c r="P1212" s="1" t="n">
        <v>5</v>
      </c>
      <c r="Q1212" s="1" t="s">
        <v>42</v>
      </c>
      <c r="R1212" s="1" t="s">
        <v>140</v>
      </c>
      <c r="S1212" s="6" t="n">
        <v>46122</v>
      </c>
    </row>
    <row r="1213" customFormat="false" ht="14.25" hidden="false" customHeight="true" outlineLevel="0" collapsed="false">
      <c r="A1213" s="1" t="s">
        <v>3524</v>
      </c>
      <c r="B1213" s="1" t="s">
        <v>602</v>
      </c>
      <c r="C1213" s="1" t="s">
        <v>413</v>
      </c>
      <c r="D1213" s="1" t="s">
        <v>712</v>
      </c>
      <c r="E1213" s="6" t="n">
        <v>46107</v>
      </c>
      <c r="F1213" s="6" t="n">
        <v>46105</v>
      </c>
      <c r="G1213" s="1" t="s">
        <v>38</v>
      </c>
      <c r="H1213" s="1" t="s">
        <v>1281</v>
      </c>
      <c r="I1213" s="1" t="s">
        <v>3525</v>
      </c>
      <c r="J1213" s="1" t="n">
        <v>20155.21</v>
      </c>
      <c r="K1213" s="1" t="n">
        <v>18205.63</v>
      </c>
      <c r="L1213" s="1" t="n">
        <v>14481.32</v>
      </c>
      <c r="M1213" s="1" t="n">
        <v>3724.31</v>
      </c>
      <c r="N1213" s="1" t="s">
        <v>41</v>
      </c>
      <c r="P1213" s="1" t="n">
        <v>4</v>
      </c>
      <c r="Q1213" s="1" t="s">
        <v>42</v>
      </c>
      <c r="R1213" s="1" t="s">
        <v>64</v>
      </c>
      <c r="S1213" s="6" t="n">
        <v>46111</v>
      </c>
    </row>
    <row r="1214" customFormat="false" ht="14.25" hidden="false" customHeight="true" outlineLevel="0" collapsed="false">
      <c r="A1214" s="1" t="s">
        <v>3526</v>
      </c>
      <c r="B1214" s="1" t="s">
        <v>774</v>
      </c>
      <c r="C1214" s="1" t="s">
        <v>430</v>
      </c>
      <c r="D1214" s="1" t="s">
        <v>953</v>
      </c>
      <c r="E1214" s="6" t="n">
        <v>46055</v>
      </c>
      <c r="F1214" s="6" t="n">
        <v>46053</v>
      </c>
      <c r="G1214" s="1" t="s">
        <v>38</v>
      </c>
      <c r="H1214" s="1" t="s">
        <v>1152</v>
      </c>
      <c r="I1214" s="1" t="s">
        <v>3527</v>
      </c>
      <c r="J1214" s="1" t="n">
        <v>6565.72</v>
      </c>
      <c r="K1214" s="1" t="n">
        <v>5870.35</v>
      </c>
      <c r="L1214" s="1" t="n">
        <v>4480.02</v>
      </c>
      <c r="M1214" s="1" t="n">
        <v>1390.33</v>
      </c>
      <c r="N1214" s="1" t="s">
        <v>41</v>
      </c>
      <c r="P1214" s="1" t="n">
        <v>5</v>
      </c>
      <c r="Q1214" s="1" t="s">
        <v>63</v>
      </c>
      <c r="R1214" s="1" t="s">
        <v>125</v>
      </c>
      <c r="S1214" s="6" t="n">
        <v>46060</v>
      </c>
    </row>
    <row r="1215" customFormat="false" ht="14.25" hidden="false" customHeight="true" outlineLevel="0" collapsed="false">
      <c r="A1215" s="1" t="s">
        <v>3528</v>
      </c>
      <c r="B1215" s="1" t="s">
        <v>842</v>
      </c>
      <c r="C1215" s="1" t="s">
        <v>136</v>
      </c>
      <c r="D1215" s="1" t="s">
        <v>79</v>
      </c>
      <c r="E1215" s="6" t="n">
        <v>46054</v>
      </c>
      <c r="F1215" s="6" t="n">
        <v>46052</v>
      </c>
      <c r="G1215" s="1" t="s">
        <v>49</v>
      </c>
      <c r="H1215" s="1" t="s">
        <v>3529</v>
      </c>
      <c r="I1215" s="1" t="s">
        <v>3530</v>
      </c>
      <c r="J1215" s="1" t="n">
        <v>44363.48</v>
      </c>
      <c r="K1215" s="1" t="n">
        <v>31677.62</v>
      </c>
      <c r="L1215" s="1" t="n">
        <v>0</v>
      </c>
      <c r="M1215" s="1" t="n">
        <v>31677.62</v>
      </c>
      <c r="N1215" s="1" t="s">
        <v>52</v>
      </c>
      <c r="O1215" s="1" t="s">
        <v>62</v>
      </c>
      <c r="P1215" s="1" t="n">
        <v>1</v>
      </c>
      <c r="Q1215" s="1" t="s">
        <v>42</v>
      </c>
      <c r="R1215" s="1" t="s">
        <v>54</v>
      </c>
    </row>
    <row r="1216" customFormat="false" ht="14.25" hidden="false" customHeight="true" outlineLevel="0" collapsed="false">
      <c r="A1216" s="1" t="s">
        <v>3531</v>
      </c>
      <c r="B1216" s="1" t="s">
        <v>1144</v>
      </c>
      <c r="C1216" s="1" t="s">
        <v>176</v>
      </c>
      <c r="D1216" s="1" t="s">
        <v>476</v>
      </c>
      <c r="E1216" s="6" t="n">
        <v>46034</v>
      </c>
      <c r="F1216" s="6" t="n">
        <v>46030</v>
      </c>
      <c r="G1216" s="1" t="s">
        <v>108</v>
      </c>
      <c r="H1216" s="1" t="s">
        <v>2646</v>
      </c>
      <c r="I1216" s="1" t="s">
        <v>61</v>
      </c>
      <c r="J1216" s="1" t="n">
        <v>36678.1</v>
      </c>
      <c r="K1216" s="1" t="n">
        <v>29294.97</v>
      </c>
      <c r="L1216" s="1" t="n">
        <v>0</v>
      </c>
      <c r="M1216" s="1" t="n">
        <v>29294.97</v>
      </c>
      <c r="N1216" s="1" t="s">
        <v>111</v>
      </c>
      <c r="P1216" s="1" t="n">
        <v>12</v>
      </c>
      <c r="Q1216" s="1" t="s">
        <v>42</v>
      </c>
      <c r="R1216" s="1" t="s">
        <v>64</v>
      </c>
    </row>
    <row r="1217" customFormat="false" ht="14.25" hidden="false" customHeight="true" outlineLevel="0" collapsed="false">
      <c r="A1217" s="1" t="s">
        <v>3532</v>
      </c>
      <c r="B1217" s="1" t="s">
        <v>1751</v>
      </c>
      <c r="C1217" s="1" t="s">
        <v>361</v>
      </c>
      <c r="D1217" s="1" t="s">
        <v>648</v>
      </c>
      <c r="E1217" s="6" t="n">
        <v>46137</v>
      </c>
      <c r="F1217" s="6" t="n">
        <v>46137</v>
      </c>
      <c r="G1217" s="1" t="s">
        <v>49</v>
      </c>
      <c r="H1217" s="1" t="s">
        <v>240</v>
      </c>
      <c r="I1217" s="1" t="s">
        <v>3533</v>
      </c>
      <c r="J1217" s="1" t="n">
        <v>28070.58</v>
      </c>
      <c r="K1217" s="1" t="n">
        <v>20926.64</v>
      </c>
      <c r="L1217" s="1" t="n">
        <v>0</v>
      </c>
      <c r="M1217" s="1" t="n">
        <v>20926.64</v>
      </c>
      <c r="N1217" s="1" t="s">
        <v>52</v>
      </c>
      <c r="O1217" s="1" t="s">
        <v>230</v>
      </c>
      <c r="P1217" s="1" t="n">
        <v>4</v>
      </c>
      <c r="Q1217" s="1" t="s">
        <v>63</v>
      </c>
      <c r="R1217" s="1" t="s">
        <v>102</v>
      </c>
    </row>
    <row r="1218" customFormat="false" ht="14.25" hidden="false" customHeight="true" outlineLevel="0" collapsed="false">
      <c r="A1218" s="1" t="s">
        <v>3534</v>
      </c>
      <c r="B1218" s="1" t="s">
        <v>1578</v>
      </c>
      <c r="C1218" s="1" t="s">
        <v>221</v>
      </c>
      <c r="D1218" s="1" t="s">
        <v>574</v>
      </c>
      <c r="E1218" s="6" t="n">
        <v>46202</v>
      </c>
      <c r="F1218" s="6" t="n">
        <v>46197</v>
      </c>
      <c r="G1218" s="1" t="s">
        <v>49</v>
      </c>
      <c r="H1218" s="1" t="s">
        <v>3535</v>
      </c>
      <c r="I1218" s="1" t="s">
        <v>2258</v>
      </c>
      <c r="J1218" s="1" t="n">
        <v>25153.74</v>
      </c>
      <c r="K1218" s="1" t="n">
        <v>17198.33</v>
      </c>
      <c r="L1218" s="1" t="n">
        <v>0</v>
      </c>
      <c r="M1218" s="1" t="n">
        <v>17198.33</v>
      </c>
      <c r="N1218" s="1" t="s">
        <v>52</v>
      </c>
      <c r="O1218" s="1" t="s">
        <v>265</v>
      </c>
      <c r="P1218" s="1" t="n">
        <v>4</v>
      </c>
      <c r="Q1218" s="1" t="s">
        <v>42</v>
      </c>
      <c r="R1218" s="1" t="s">
        <v>125</v>
      </c>
    </row>
    <row r="1219" customFormat="false" ht="14.25" hidden="false" customHeight="true" outlineLevel="0" collapsed="false">
      <c r="A1219" s="1" t="s">
        <v>3536</v>
      </c>
      <c r="B1219" s="1" t="s">
        <v>622</v>
      </c>
      <c r="C1219" s="1" t="s">
        <v>136</v>
      </c>
      <c r="D1219" s="1" t="s">
        <v>732</v>
      </c>
      <c r="E1219" s="6" t="n">
        <v>46061</v>
      </c>
      <c r="F1219" s="6" t="n">
        <v>46060</v>
      </c>
      <c r="G1219" s="1" t="s">
        <v>38</v>
      </c>
      <c r="H1219" s="1" t="s">
        <v>3537</v>
      </c>
      <c r="I1219" s="1" t="s">
        <v>3538</v>
      </c>
      <c r="J1219" s="1" t="n">
        <v>23408.55</v>
      </c>
      <c r="K1219" s="1" t="n">
        <v>16142.94</v>
      </c>
      <c r="L1219" s="1" t="n">
        <v>0</v>
      </c>
      <c r="M1219" s="1" t="n">
        <v>16142.94</v>
      </c>
      <c r="N1219" s="1" t="s">
        <v>52</v>
      </c>
      <c r="O1219" s="1" t="s">
        <v>62</v>
      </c>
      <c r="P1219" s="1" t="n">
        <v>7</v>
      </c>
      <c r="Q1219" s="1" t="s">
        <v>155</v>
      </c>
      <c r="R1219" s="1" t="s">
        <v>102</v>
      </c>
    </row>
    <row r="1220" customFormat="false" ht="14.25" hidden="false" customHeight="true" outlineLevel="0" collapsed="false">
      <c r="A1220" s="1" t="s">
        <v>3539</v>
      </c>
      <c r="B1220" s="1" t="s">
        <v>2527</v>
      </c>
      <c r="C1220" s="1" t="s">
        <v>325</v>
      </c>
      <c r="D1220" s="1" t="s">
        <v>727</v>
      </c>
      <c r="E1220" s="6" t="n">
        <v>46043</v>
      </c>
      <c r="F1220" s="6" t="n">
        <v>46038</v>
      </c>
      <c r="G1220" s="1" t="s">
        <v>108</v>
      </c>
      <c r="H1220" s="1" t="s">
        <v>3389</v>
      </c>
      <c r="I1220" s="1" t="s">
        <v>3540</v>
      </c>
      <c r="J1220" s="1" t="n">
        <v>46287.52</v>
      </c>
      <c r="K1220" s="1" t="n">
        <v>38825.51</v>
      </c>
      <c r="L1220" s="1" t="n">
        <v>0</v>
      </c>
      <c r="M1220" s="1" t="n">
        <v>38825.51</v>
      </c>
      <c r="N1220" s="1" t="s">
        <v>52</v>
      </c>
      <c r="O1220" s="1" t="s">
        <v>265</v>
      </c>
      <c r="P1220" s="1" t="n">
        <v>6</v>
      </c>
      <c r="Q1220" s="1" t="s">
        <v>42</v>
      </c>
      <c r="R1220" s="1" t="s">
        <v>64</v>
      </c>
    </row>
    <row r="1221" customFormat="false" ht="14.25" hidden="false" customHeight="true" outlineLevel="0" collapsed="false">
      <c r="A1221" s="1" t="s">
        <v>3541</v>
      </c>
      <c r="B1221" s="1" t="s">
        <v>1140</v>
      </c>
      <c r="C1221" s="1" t="s">
        <v>543</v>
      </c>
      <c r="D1221" s="1" t="s">
        <v>216</v>
      </c>
      <c r="E1221" s="6" t="n">
        <v>46191</v>
      </c>
      <c r="F1221" s="6" t="n">
        <v>46191</v>
      </c>
      <c r="G1221" s="1" t="s">
        <v>70</v>
      </c>
      <c r="H1221" s="1" t="s">
        <v>1734</v>
      </c>
      <c r="I1221" s="1" t="s">
        <v>3542</v>
      </c>
      <c r="J1221" s="1" t="n">
        <v>46078.36</v>
      </c>
      <c r="K1221" s="1" t="n">
        <v>36639.37</v>
      </c>
      <c r="L1221" s="1" t="n">
        <v>33730.37</v>
      </c>
      <c r="M1221" s="1" t="n">
        <v>2909</v>
      </c>
      <c r="N1221" s="1" t="s">
        <v>41</v>
      </c>
      <c r="P1221" s="1" t="n">
        <v>3</v>
      </c>
      <c r="Q1221" s="1" t="s">
        <v>155</v>
      </c>
      <c r="R1221" s="1" t="s">
        <v>43</v>
      </c>
      <c r="S1221" s="6" t="n">
        <v>46194</v>
      </c>
    </row>
    <row r="1222" customFormat="false" ht="14.25" hidden="false" customHeight="true" outlineLevel="0" collapsed="false">
      <c r="A1222" s="1" t="s">
        <v>3543</v>
      </c>
      <c r="B1222" s="1" t="s">
        <v>1073</v>
      </c>
      <c r="C1222" s="1" t="s">
        <v>233</v>
      </c>
      <c r="D1222" s="1" t="s">
        <v>320</v>
      </c>
      <c r="E1222" s="6" t="n">
        <v>46033</v>
      </c>
      <c r="F1222" s="6" t="n">
        <v>46029</v>
      </c>
      <c r="G1222" s="1" t="s">
        <v>108</v>
      </c>
      <c r="H1222" s="1" t="s">
        <v>3544</v>
      </c>
      <c r="I1222" s="1" t="s">
        <v>3545</v>
      </c>
      <c r="J1222" s="1" t="n">
        <v>48399.15</v>
      </c>
      <c r="K1222" s="1" t="n">
        <v>41511.46</v>
      </c>
      <c r="L1222" s="1" t="n">
        <v>32414.41</v>
      </c>
      <c r="M1222" s="1" t="n">
        <v>9097.05</v>
      </c>
      <c r="N1222" s="1" t="s">
        <v>41</v>
      </c>
      <c r="P1222" s="1" t="n">
        <v>4</v>
      </c>
      <c r="Q1222" s="1" t="s">
        <v>155</v>
      </c>
      <c r="R1222" s="1" t="s">
        <v>140</v>
      </c>
      <c r="S1222" s="6" t="n">
        <v>46037</v>
      </c>
    </row>
    <row r="1223" customFormat="false" ht="14.25" hidden="false" customHeight="true" outlineLevel="0" collapsed="false">
      <c r="A1223" s="1" t="s">
        <v>3546</v>
      </c>
      <c r="B1223" s="1" t="s">
        <v>858</v>
      </c>
      <c r="C1223" s="1" t="s">
        <v>623</v>
      </c>
      <c r="D1223" s="1" t="s">
        <v>1166</v>
      </c>
      <c r="E1223" s="6" t="n">
        <v>46055</v>
      </c>
      <c r="F1223" s="6" t="n">
        <v>46054</v>
      </c>
      <c r="G1223" s="1" t="s">
        <v>38</v>
      </c>
      <c r="H1223" s="1" t="s">
        <v>1233</v>
      </c>
      <c r="I1223" s="1" t="s">
        <v>3547</v>
      </c>
      <c r="J1223" s="1" t="n">
        <v>17620.23</v>
      </c>
      <c r="K1223" s="1" t="n">
        <v>15201.96</v>
      </c>
      <c r="L1223" s="1" t="n">
        <v>13370.49</v>
      </c>
      <c r="M1223" s="1" t="n">
        <v>1831.47</v>
      </c>
      <c r="N1223" s="1" t="s">
        <v>41</v>
      </c>
      <c r="P1223" s="1" t="n">
        <v>7</v>
      </c>
      <c r="Q1223" s="1" t="s">
        <v>155</v>
      </c>
      <c r="R1223" s="1" t="s">
        <v>102</v>
      </c>
      <c r="S1223" s="6" t="n">
        <v>46062</v>
      </c>
    </row>
    <row r="1224" customFormat="false" ht="14.25" hidden="false" customHeight="true" outlineLevel="0" collapsed="false">
      <c r="A1224" s="1" t="s">
        <v>3548</v>
      </c>
      <c r="B1224" s="1" t="s">
        <v>537</v>
      </c>
      <c r="C1224" s="1" t="s">
        <v>296</v>
      </c>
      <c r="D1224" s="1" t="s">
        <v>441</v>
      </c>
      <c r="E1224" s="6" t="n">
        <v>46060</v>
      </c>
      <c r="F1224" s="6" t="n">
        <v>46055</v>
      </c>
      <c r="G1224" s="1" t="s">
        <v>38</v>
      </c>
      <c r="H1224" s="1" t="s">
        <v>3549</v>
      </c>
      <c r="I1224" s="1" t="s">
        <v>3550</v>
      </c>
      <c r="J1224" s="1" t="n">
        <v>30960.83</v>
      </c>
      <c r="K1224" s="1" t="n">
        <v>27808.22</v>
      </c>
      <c r="L1224" s="1" t="n">
        <v>26833.59</v>
      </c>
      <c r="M1224" s="1" t="n">
        <v>974.63</v>
      </c>
      <c r="N1224" s="1" t="s">
        <v>41</v>
      </c>
      <c r="P1224" s="1" t="n">
        <v>4</v>
      </c>
      <c r="Q1224" s="1" t="s">
        <v>155</v>
      </c>
      <c r="R1224" s="1" t="s">
        <v>74</v>
      </c>
      <c r="S1224" s="6" t="n">
        <v>46064</v>
      </c>
    </row>
    <row r="1225" customFormat="false" ht="14.25" hidden="false" customHeight="true" outlineLevel="0" collapsed="false">
      <c r="A1225" s="1" t="s">
        <v>3551</v>
      </c>
      <c r="B1225" s="1" t="s">
        <v>913</v>
      </c>
      <c r="C1225" s="1" t="s">
        <v>221</v>
      </c>
      <c r="D1225" s="1" t="s">
        <v>183</v>
      </c>
      <c r="E1225" s="6" t="n">
        <v>46181</v>
      </c>
      <c r="F1225" s="6" t="n">
        <v>46180</v>
      </c>
      <c r="G1225" s="1" t="s">
        <v>38</v>
      </c>
      <c r="H1225" s="1" t="s">
        <v>3552</v>
      </c>
      <c r="I1225" s="1" t="s">
        <v>3553</v>
      </c>
      <c r="J1225" s="1" t="n">
        <v>30367.79</v>
      </c>
      <c r="K1225" s="1" t="n">
        <v>21327.05</v>
      </c>
      <c r="L1225" s="1" t="n">
        <v>0</v>
      </c>
      <c r="M1225" s="1" t="n">
        <v>21327.05</v>
      </c>
      <c r="N1225" s="1" t="s">
        <v>52</v>
      </c>
      <c r="O1225" s="1" t="s">
        <v>230</v>
      </c>
      <c r="P1225" s="1" t="n">
        <v>5</v>
      </c>
      <c r="Q1225" s="1" t="s">
        <v>155</v>
      </c>
      <c r="R1225" s="1" t="s">
        <v>140</v>
      </c>
    </row>
    <row r="1226" customFormat="false" ht="14.25" hidden="false" customHeight="true" outlineLevel="0" collapsed="false">
      <c r="A1226" s="1" t="s">
        <v>3554</v>
      </c>
      <c r="B1226" s="1" t="s">
        <v>57</v>
      </c>
      <c r="C1226" s="1" t="s">
        <v>468</v>
      </c>
      <c r="D1226" s="1" t="s">
        <v>347</v>
      </c>
      <c r="E1226" s="6" t="n">
        <v>46084</v>
      </c>
      <c r="F1226" s="6" t="n">
        <v>46081</v>
      </c>
      <c r="G1226" s="1" t="s">
        <v>108</v>
      </c>
      <c r="H1226" s="1" t="s">
        <v>3201</v>
      </c>
      <c r="I1226" s="1" t="s">
        <v>3555</v>
      </c>
      <c r="J1226" s="1" t="n">
        <v>25610.16</v>
      </c>
      <c r="K1226" s="1" t="n">
        <v>24114.47</v>
      </c>
      <c r="L1226" s="1" t="n">
        <v>20916.54</v>
      </c>
      <c r="M1226" s="1" t="n">
        <v>3197.93</v>
      </c>
      <c r="N1226" s="1" t="s">
        <v>41</v>
      </c>
      <c r="P1226" s="1" t="n">
        <v>2</v>
      </c>
      <c r="Q1226" s="1" t="s">
        <v>63</v>
      </c>
      <c r="R1226" s="1" t="s">
        <v>64</v>
      </c>
      <c r="S1226" s="6" t="n">
        <v>46086</v>
      </c>
    </row>
    <row r="1227" customFormat="false" ht="14.25" hidden="false" customHeight="true" outlineLevel="0" collapsed="false">
      <c r="A1227" s="1" t="s">
        <v>3556</v>
      </c>
      <c r="B1227" s="1" t="s">
        <v>2164</v>
      </c>
      <c r="C1227" s="1" t="s">
        <v>92</v>
      </c>
      <c r="D1227" s="1" t="s">
        <v>305</v>
      </c>
      <c r="E1227" s="6" t="n">
        <v>46150</v>
      </c>
      <c r="F1227" s="6" t="n">
        <v>46150</v>
      </c>
      <c r="G1227" s="1" t="s">
        <v>49</v>
      </c>
      <c r="H1227" s="1" t="s">
        <v>1088</v>
      </c>
      <c r="I1227" s="1" t="s">
        <v>3557</v>
      </c>
      <c r="J1227" s="1" t="n">
        <v>40442.83</v>
      </c>
      <c r="K1227" s="1" t="n">
        <v>36355.25</v>
      </c>
      <c r="L1227" s="1" t="n">
        <v>0</v>
      </c>
      <c r="M1227" s="1" t="n">
        <v>36355.25</v>
      </c>
      <c r="N1227" s="1" t="s">
        <v>52</v>
      </c>
      <c r="O1227" s="1" t="s">
        <v>62</v>
      </c>
      <c r="P1227" s="1" t="n">
        <v>4</v>
      </c>
      <c r="Q1227" s="1" t="s">
        <v>63</v>
      </c>
      <c r="R1227" s="1" t="s">
        <v>54</v>
      </c>
    </row>
    <row r="1228" customFormat="false" ht="14.25" hidden="false" customHeight="true" outlineLevel="0" collapsed="false">
      <c r="A1228" s="1" t="s">
        <v>3558</v>
      </c>
      <c r="B1228" s="1" t="s">
        <v>794</v>
      </c>
      <c r="C1228" s="1" t="s">
        <v>188</v>
      </c>
      <c r="D1228" s="1" t="s">
        <v>320</v>
      </c>
      <c r="E1228" s="6" t="n">
        <v>46118</v>
      </c>
      <c r="F1228" s="6" t="n">
        <v>46113</v>
      </c>
      <c r="G1228" s="1" t="s">
        <v>49</v>
      </c>
      <c r="H1228" s="1" t="s">
        <v>3559</v>
      </c>
      <c r="I1228" s="1" t="s">
        <v>3560</v>
      </c>
      <c r="J1228" s="1" t="n">
        <v>41269.52</v>
      </c>
      <c r="K1228" s="1" t="n">
        <v>33679.5</v>
      </c>
      <c r="L1228" s="1" t="n">
        <v>0</v>
      </c>
      <c r="M1228" s="1" t="n">
        <v>33679.5</v>
      </c>
      <c r="N1228" s="1" t="s">
        <v>52</v>
      </c>
      <c r="O1228" s="1" t="s">
        <v>53</v>
      </c>
      <c r="P1228" s="1" t="n">
        <v>3</v>
      </c>
      <c r="Q1228" s="1" t="s">
        <v>42</v>
      </c>
      <c r="R1228" s="1" t="s">
        <v>125</v>
      </c>
    </row>
    <row r="1229" customFormat="false" ht="14.25" hidden="false" customHeight="true" outlineLevel="0" collapsed="false">
      <c r="A1229" s="1" t="s">
        <v>3561</v>
      </c>
      <c r="B1229" s="1" t="s">
        <v>818</v>
      </c>
      <c r="C1229" s="1" t="s">
        <v>221</v>
      </c>
      <c r="D1229" s="1" t="s">
        <v>99</v>
      </c>
      <c r="E1229" s="6" t="n">
        <v>46092</v>
      </c>
      <c r="F1229" s="6" t="n">
        <v>46089</v>
      </c>
      <c r="G1229" s="1" t="s">
        <v>38</v>
      </c>
      <c r="H1229" s="1" t="s">
        <v>1319</v>
      </c>
      <c r="I1229" s="1" t="s">
        <v>473</v>
      </c>
      <c r="J1229" s="1" t="n">
        <v>16553.44</v>
      </c>
      <c r="K1229" s="1" t="n">
        <v>14502.89</v>
      </c>
      <c r="L1229" s="1" t="n">
        <v>11352.22</v>
      </c>
      <c r="M1229" s="1" t="n">
        <v>3150.67</v>
      </c>
      <c r="N1229" s="1" t="s">
        <v>41</v>
      </c>
      <c r="P1229" s="1" t="n">
        <v>4</v>
      </c>
      <c r="Q1229" s="1" t="s">
        <v>155</v>
      </c>
      <c r="R1229" s="1" t="s">
        <v>74</v>
      </c>
      <c r="S1229" s="6" t="n">
        <v>46096</v>
      </c>
    </row>
    <row r="1230" customFormat="false" ht="14.25" hidden="false" customHeight="true" outlineLevel="0" collapsed="false">
      <c r="A1230" s="1" t="s">
        <v>3562</v>
      </c>
      <c r="B1230" s="1" t="s">
        <v>627</v>
      </c>
      <c r="C1230" s="1" t="s">
        <v>68</v>
      </c>
      <c r="D1230" s="1" t="s">
        <v>227</v>
      </c>
      <c r="E1230" s="6" t="n">
        <v>46054</v>
      </c>
      <c r="F1230" s="6" t="n">
        <v>46050</v>
      </c>
      <c r="G1230" s="1" t="s">
        <v>70</v>
      </c>
      <c r="H1230" s="1" t="s">
        <v>3126</v>
      </c>
      <c r="I1230" s="1" t="s">
        <v>3563</v>
      </c>
      <c r="J1230" s="1" t="n">
        <v>49858.34</v>
      </c>
      <c r="K1230" s="1" t="n">
        <v>37584.8</v>
      </c>
      <c r="L1230" s="1" t="n">
        <v>37494.5</v>
      </c>
      <c r="M1230" s="1" t="n">
        <v>90.3</v>
      </c>
      <c r="N1230" s="1" t="s">
        <v>41</v>
      </c>
      <c r="P1230" s="1" t="n">
        <v>3</v>
      </c>
      <c r="Q1230" s="1" t="s">
        <v>63</v>
      </c>
      <c r="R1230" s="1" t="s">
        <v>140</v>
      </c>
      <c r="S1230" s="6" t="n">
        <v>46057</v>
      </c>
    </row>
    <row r="1231" customFormat="false" ht="14.25" hidden="false" customHeight="true" outlineLevel="0" collapsed="false">
      <c r="A1231" s="1" t="s">
        <v>3564</v>
      </c>
      <c r="B1231" s="1" t="s">
        <v>606</v>
      </c>
      <c r="C1231" s="1" t="s">
        <v>198</v>
      </c>
      <c r="D1231" s="1" t="s">
        <v>590</v>
      </c>
      <c r="E1231" s="6" t="n">
        <v>46237</v>
      </c>
      <c r="F1231" s="6" t="n">
        <v>46233</v>
      </c>
      <c r="G1231" s="1" t="s">
        <v>49</v>
      </c>
      <c r="H1231" s="1" t="s">
        <v>3565</v>
      </c>
      <c r="I1231" s="1" t="s">
        <v>3566</v>
      </c>
      <c r="J1231" s="1" t="n">
        <v>17207.93</v>
      </c>
      <c r="K1231" s="1" t="n">
        <v>13103.45</v>
      </c>
      <c r="L1231" s="1" t="n">
        <v>0</v>
      </c>
      <c r="M1231" s="1" t="n">
        <v>13103.45</v>
      </c>
      <c r="N1231" s="1" t="s">
        <v>260</v>
      </c>
      <c r="P1231" s="1" t="n">
        <v>1</v>
      </c>
      <c r="Q1231" s="1" t="s">
        <v>155</v>
      </c>
      <c r="R1231" s="1" t="s">
        <v>125</v>
      </c>
    </row>
    <row r="1232" customFormat="false" ht="14.25" hidden="false" customHeight="true" outlineLevel="0" collapsed="false">
      <c r="A1232" s="1" t="s">
        <v>3567</v>
      </c>
      <c r="B1232" s="1" t="s">
        <v>537</v>
      </c>
      <c r="C1232" s="1" t="s">
        <v>151</v>
      </c>
      <c r="D1232" s="1" t="s">
        <v>635</v>
      </c>
      <c r="E1232" s="6" t="n">
        <v>46188</v>
      </c>
      <c r="F1232" s="6" t="n">
        <v>46188</v>
      </c>
      <c r="G1232" s="1" t="s">
        <v>70</v>
      </c>
      <c r="H1232" s="1" t="s">
        <v>1755</v>
      </c>
      <c r="I1232" s="1" t="s">
        <v>3568</v>
      </c>
      <c r="J1232" s="1" t="n">
        <v>13942.02</v>
      </c>
      <c r="K1232" s="1" t="n">
        <v>11921.85</v>
      </c>
      <c r="L1232" s="1" t="n">
        <v>10407.11</v>
      </c>
      <c r="M1232" s="1" t="n">
        <v>1514.74</v>
      </c>
      <c r="N1232" s="1" t="s">
        <v>41</v>
      </c>
      <c r="P1232" s="1" t="n">
        <v>2</v>
      </c>
      <c r="Q1232" s="1" t="s">
        <v>155</v>
      </c>
      <c r="R1232" s="1" t="s">
        <v>74</v>
      </c>
      <c r="S1232" s="6" t="n">
        <v>46190</v>
      </c>
    </row>
    <row r="1233" customFormat="false" ht="14.25" hidden="false" customHeight="true" outlineLevel="0" collapsed="false">
      <c r="A1233" s="1" t="s">
        <v>3569</v>
      </c>
      <c r="B1233" s="1" t="s">
        <v>1066</v>
      </c>
      <c r="C1233" s="1" t="s">
        <v>188</v>
      </c>
      <c r="D1233" s="1" t="s">
        <v>937</v>
      </c>
      <c r="E1233" s="6" t="n">
        <v>46168</v>
      </c>
      <c r="F1233" s="6" t="n">
        <v>46166</v>
      </c>
      <c r="G1233" s="1" t="s">
        <v>70</v>
      </c>
      <c r="H1233" s="1" t="s">
        <v>2283</v>
      </c>
      <c r="I1233" s="1" t="s">
        <v>3570</v>
      </c>
      <c r="J1233" s="1" t="n">
        <v>44479.69</v>
      </c>
      <c r="K1233" s="1" t="n">
        <v>29869.05</v>
      </c>
      <c r="L1233" s="1" t="n">
        <v>28187.19</v>
      </c>
      <c r="M1233" s="1" t="n">
        <v>1681.86</v>
      </c>
      <c r="N1233" s="1" t="s">
        <v>41</v>
      </c>
      <c r="P1233" s="1" t="n">
        <v>3</v>
      </c>
      <c r="Q1233" s="1" t="s">
        <v>155</v>
      </c>
      <c r="R1233" s="1" t="s">
        <v>64</v>
      </c>
      <c r="S1233" s="6" t="n">
        <v>46171</v>
      </c>
    </row>
    <row r="1234" customFormat="false" ht="14.25" hidden="false" customHeight="true" outlineLevel="0" collapsed="false">
      <c r="A1234" s="1" t="s">
        <v>3571</v>
      </c>
      <c r="B1234" s="1" t="s">
        <v>983</v>
      </c>
      <c r="C1234" s="1" t="s">
        <v>671</v>
      </c>
      <c r="D1234" s="1" t="s">
        <v>257</v>
      </c>
      <c r="E1234" s="6" t="n">
        <v>46210</v>
      </c>
      <c r="F1234" s="6" t="n">
        <v>46207</v>
      </c>
      <c r="G1234" s="1" t="s">
        <v>70</v>
      </c>
      <c r="H1234" s="1" t="s">
        <v>3085</v>
      </c>
      <c r="I1234" s="1" t="s">
        <v>3572</v>
      </c>
      <c r="J1234" s="1" t="n">
        <v>19612.76</v>
      </c>
      <c r="K1234" s="1" t="n">
        <v>14594.82</v>
      </c>
      <c r="L1234" s="1" t="n">
        <v>0</v>
      </c>
      <c r="M1234" s="1" t="n">
        <v>14594.82</v>
      </c>
      <c r="N1234" s="1" t="s">
        <v>111</v>
      </c>
      <c r="P1234" s="1" t="n">
        <v>8</v>
      </c>
      <c r="Q1234" s="1" t="s">
        <v>155</v>
      </c>
      <c r="R1234" s="1" t="s">
        <v>74</v>
      </c>
    </row>
    <row r="1235" customFormat="false" ht="14.25" hidden="false" customHeight="true" outlineLevel="0" collapsed="false">
      <c r="A1235" s="1" t="s">
        <v>3573</v>
      </c>
      <c r="B1235" s="1" t="s">
        <v>3574</v>
      </c>
      <c r="C1235" s="1" t="s">
        <v>279</v>
      </c>
      <c r="D1235" s="1" t="s">
        <v>595</v>
      </c>
      <c r="E1235" s="6" t="n">
        <v>46191</v>
      </c>
      <c r="F1235" s="6" t="n">
        <v>46191</v>
      </c>
      <c r="G1235" s="1" t="s">
        <v>108</v>
      </c>
      <c r="H1235" s="1" t="s">
        <v>2368</v>
      </c>
      <c r="I1235" s="1" t="s">
        <v>3575</v>
      </c>
      <c r="J1235" s="1" t="n">
        <v>21691.89</v>
      </c>
      <c r="K1235" s="1" t="n">
        <v>18787.65</v>
      </c>
      <c r="L1235" s="1" t="n">
        <v>14429.01</v>
      </c>
      <c r="M1235" s="1" t="n">
        <v>4358.64</v>
      </c>
      <c r="N1235" s="1" t="s">
        <v>41</v>
      </c>
      <c r="P1235" s="1" t="n">
        <v>6</v>
      </c>
      <c r="Q1235" s="1" t="s">
        <v>42</v>
      </c>
      <c r="R1235" s="1" t="s">
        <v>74</v>
      </c>
      <c r="S1235" s="6" t="n">
        <v>46197</v>
      </c>
    </row>
    <row r="1236" customFormat="false" ht="14.25" hidden="false" customHeight="true" outlineLevel="0" collapsed="false">
      <c r="A1236" s="1" t="s">
        <v>3576</v>
      </c>
      <c r="B1236" s="1" t="s">
        <v>114</v>
      </c>
      <c r="C1236" s="1" t="s">
        <v>68</v>
      </c>
      <c r="D1236" s="1" t="s">
        <v>937</v>
      </c>
      <c r="E1236" s="6" t="n">
        <v>46123</v>
      </c>
      <c r="F1236" s="6" t="n">
        <v>46119</v>
      </c>
      <c r="G1236" s="1" t="s">
        <v>49</v>
      </c>
      <c r="H1236" s="1" t="s">
        <v>2666</v>
      </c>
      <c r="I1236" s="1" t="s">
        <v>3577</v>
      </c>
      <c r="J1236" s="1" t="n">
        <v>29751.26</v>
      </c>
      <c r="K1236" s="1" t="n">
        <v>23362.41</v>
      </c>
      <c r="L1236" s="1" t="n">
        <v>0</v>
      </c>
      <c r="M1236" s="1" t="n">
        <v>23362.41</v>
      </c>
      <c r="N1236" s="1" t="s">
        <v>260</v>
      </c>
      <c r="P1236" s="1" t="n">
        <v>8</v>
      </c>
      <c r="Q1236" s="1" t="s">
        <v>155</v>
      </c>
      <c r="R1236" s="1" t="s">
        <v>54</v>
      </c>
    </row>
    <row r="1237" customFormat="false" ht="14.25" hidden="false" customHeight="true" outlineLevel="0" collapsed="false">
      <c r="A1237" s="1" t="s">
        <v>3578</v>
      </c>
      <c r="B1237" s="1" t="s">
        <v>340</v>
      </c>
      <c r="C1237" s="1" t="s">
        <v>158</v>
      </c>
      <c r="D1237" s="1" t="s">
        <v>227</v>
      </c>
      <c r="E1237" s="6" t="n">
        <v>46088</v>
      </c>
      <c r="F1237" s="6" t="n">
        <v>46087</v>
      </c>
      <c r="G1237" s="1" t="s">
        <v>108</v>
      </c>
      <c r="H1237" s="1" t="s">
        <v>2625</v>
      </c>
      <c r="I1237" s="1" t="s">
        <v>3579</v>
      </c>
      <c r="J1237" s="1" t="n">
        <v>8335.64</v>
      </c>
      <c r="K1237" s="1" t="n">
        <v>5455.45</v>
      </c>
      <c r="L1237" s="1" t="n">
        <v>4940.93</v>
      </c>
      <c r="M1237" s="1" t="n">
        <v>514.52</v>
      </c>
      <c r="N1237" s="1" t="s">
        <v>41</v>
      </c>
      <c r="P1237" s="1" t="n">
        <v>8</v>
      </c>
      <c r="Q1237" s="1" t="s">
        <v>155</v>
      </c>
      <c r="R1237" s="1" t="s">
        <v>140</v>
      </c>
      <c r="S1237" s="6" t="n">
        <v>46096</v>
      </c>
    </row>
    <row r="1238" customFormat="false" ht="14.25" hidden="false" customHeight="true" outlineLevel="0" collapsed="false">
      <c r="A1238" s="1" t="s">
        <v>3580</v>
      </c>
      <c r="B1238" s="1" t="s">
        <v>2468</v>
      </c>
      <c r="C1238" s="1" t="s">
        <v>459</v>
      </c>
      <c r="D1238" s="1" t="s">
        <v>239</v>
      </c>
      <c r="E1238" s="6" t="n">
        <v>46170</v>
      </c>
      <c r="F1238" s="6" t="n">
        <v>46169</v>
      </c>
      <c r="G1238" s="1" t="s">
        <v>49</v>
      </c>
      <c r="H1238" s="1" t="s">
        <v>490</v>
      </c>
      <c r="I1238" s="1" t="s">
        <v>3581</v>
      </c>
      <c r="J1238" s="1" t="n">
        <v>21784.83</v>
      </c>
      <c r="K1238" s="1" t="n">
        <v>20346.82</v>
      </c>
      <c r="L1238" s="1" t="n">
        <v>0</v>
      </c>
      <c r="M1238" s="1" t="n">
        <v>20346.82</v>
      </c>
      <c r="N1238" s="1" t="s">
        <v>52</v>
      </c>
      <c r="O1238" s="1" t="s">
        <v>62</v>
      </c>
      <c r="P1238" s="1" t="n">
        <v>7</v>
      </c>
      <c r="Q1238" s="1" t="s">
        <v>42</v>
      </c>
      <c r="R1238" s="1" t="s">
        <v>64</v>
      </c>
    </row>
    <row r="1239" customFormat="false" ht="14.25" hidden="false" customHeight="true" outlineLevel="0" collapsed="false">
      <c r="A1239" s="1" t="s">
        <v>3582</v>
      </c>
      <c r="B1239" s="1" t="s">
        <v>220</v>
      </c>
      <c r="C1239" s="1" t="s">
        <v>300</v>
      </c>
      <c r="D1239" s="1" t="s">
        <v>331</v>
      </c>
      <c r="E1239" s="6" t="n">
        <v>46145</v>
      </c>
      <c r="F1239" s="6" t="n">
        <v>46144</v>
      </c>
      <c r="G1239" s="1" t="s">
        <v>49</v>
      </c>
      <c r="H1239" s="1" t="s">
        <v>3583</v>
      </c>
      <c r="I1239" s="1" t="s">
        <v>3584</v>
      </c>
      <c r="J1239" s="1" t="n">
        <v>21604.94</v>
      </c>
      <c r="K1239" s="1" t="n">
        <v>19832.45</v>
      </c>
      <c r="L1239" s="1" t="n">
        <v>16021.27</v>
      </c>
      <c r="M1239" s="1" t="n">
        <v>3811.18</v>
      </c>
      <c r="N1239" s="1" t="s">
        <v>41</v>
      </c>
      <c r="P1239" s="1" t="n">
        <v>3</v>
      </c>
      <c r="Q1239" s="1" t="s">
        <v>63</v>
      </c>
      <c r="R1239" s="1" t="s">
        <v>102</v>
      </c>
      <c r="S1239" s="6" t="n">
        <v>46148</v>
      </c>
    </row>
    <row r="1240" customFormat="false" ht="14.25" hidden="false" customHeight="true" outlineLevel="0" collapsed="false">
      <c r="A1240" s="1" t="s">
        <v>3585</v>
      </c>
      <c r="B1240" s="1" t="s">
        <v>1896</v>
      </c>
      <c r="C1240" s="1" t="s">
        <v>198</v>
      </c>
      <c r="D1240" s="1" t="s">
        <v>590</v>
      </c>
      <c r="E1240" s="6" t="n">
        <v>46205</v>
      </c>
      <c r="F1240" s="6" t="n">
        <v>46201</v>
      </c>
      <c r="G1240" s="1" t="s">
        <v>38</v>
      </c>
      <c r="H1240" s="1" t="s">
        <v>1566</v>
      </c>
      <c r="I1240" s="1" t="s">
        <v>3586</v>
      </c>
      <c r="J1240" s="1" t="n">
        <v>26970.88</v>
      </c>
      <c r="K1240" s="1" t="n">
        <v>21375.67</v>
      </c>
      <c r="L1240" s="1" t="n">
        <v>0</v>
      </c>
      <c r="M1240" s="1" t="n">
        <v>21375.67</v>
      </c>
      <c r="N1240" s="1" t="s">
        <v>260</v>
      </c>
      <c r="P1240" s="1" t="n">
        <v>7</v>
      </c>
      <c r="Q1240" s="1" t="s">
        <v>155</v>
      </c>
      <c r="R1240" s="1" t="s">
        <v>54</v>
      </c>
    </row>
    <row r="1241" customFormat="false" ht="14.25" hidden="false" customHeight="true" outlineLevel="0" collapsed="false">
      <c r="A1241" s="1" t="s">
        <v>3587</v>
      </c>
      <c r="B1241" s="1" t="s">
        <v>497</v>
      </c>
      <c r="C1241" s="1" t="s">
        <v>164</v>
      </c>
      <c r="D1241" s="1" t="s">
        <v>222</v>
      </c>
      <c r="E1241" s="6" t="n">
        <v>46177</v>
      </c>
      <c r="F1241" s="6" t="n">
        <v>46177</v>
      </c>
      <c r="G1241" s="1" t="s">
        <v>70</v>
      </c>
      <c r="H1241" s="1" t="s">
        <v>1056</v>
      </c>
      <c r="I1241" s="1" t="s">
        <v>3588</v>
      </c>
      <c r="J1241" s="1" t="n">
        <v>19420.45</v>
      </c>
      <c r="K1241" s="1" t="n">
        <v>14422.21</v>
      </c>
      <c r="L1241" s="1" t="n">
        <v>0</v>
      </c>
      <c r="M1241" s="1" t="n">
        <v>14422.21</v>
      </c>
      <c r="N1241" s="1" t="s">
        <v>111</v>
      </c>
      <c r="P1241" s="1" t="n">
        <v>4</v>
      </c>
      <c r="Q1241" s="1" t="s">
        <v>155</v>
      </c>
      <c r="R1241" s="1" t="s">
        <v>140</v>
      </c>
    </row>
    <row r="1242" customFormat="false" ht="14.25" hidden="false" customHeight="true" outlineLevel="0" collapsed="false">
      <c r="A1242" s="1" t="s">
        <v>3589</v>
      </c>
      <c r="B1242" s="1" t="s">
        <v>417</v>
      </c>
      <c r="C1242" s="1" t="s">
        <v>144</v>
      </c>
      <c r="D1242" s="1" t="s">
        <v>1077</v>
      </c>
      <c r="E1242" s="6" t="n">
        <v>46035</v>
      </c>
      <c r="F1242" s="6" t="n">
        <v>46034</v>
      </c>
      <c r="G1242" s="1" t="s">
        <v>49</v>
      </c>
      <c r="H1242" s="1" t="s">
        <v>811</v>
      </c>
      <c r="I1242" s="1" t="s">
        <v>3590</v>
      </c>
      <c r="J1242" s="1" t="n">
        <v>3928.03</v>
      </c>
      <c r="K1242" s="1" t="n">
        <v>3545.63</v>
      </c>
      <c r="L1242" s="1" t="n">
        <v>3345.83</v>
      </c>
      <c r="M1242" s="1" t="n">
        <v>199.8</v>
      </c>
      <c r="N1242" s="1" t="s">
        <v>41</v>
      </c>
      <c r="P1242" s="1" t="n">
        <v>8</v>
      </c>
      <c r="Q1242" s="1" t="s">
        <v>63</v>
      </c>
      <c r="R1242" s="1" t="s">
        <v>54</v>
      </c>
      <c r="S1242" s="6" t="n">
        <v>46043</v>
      </c>
    </row>
    <row r="1243" customFormat="false" ht="14.25" hidden="false" customHeight="true" outlineLevel="0" collapsed="false">
      <c r="A1243" s="1" t="s">
        <v>3591</v>
      </c>
      <c r="B1243" s="1" t="s">
        <v>774</v>
      </c>
      <c r="C1243" s="1" t="s">
        <v>188</v>
      </c>
      <c r="D1243" s="1" t="s">
        <v>208</v>
      </c>
      <c r="E1243" s="6" t="n">
        <v>46205</v>
      </c>
      <c r="F1243" s="6" t="n">
        <v>46205</v>
      </c>
      <c r="G1243" s="1" t="s">
        <v>49</v>
      </c>
      <c r="H1243" s="1" t="s">
        <v>1180</v>
      </c>
      <c r="I1243" s="1" t="s">
        <v>3592</v>
      </c>
      <c r="J1243" s="1" t="n">
        <v>21332.81</v>
      </c>
      <c r="K1243" s="1" t="n">
        <v>17458.32</v>
      </c>
      <c r="L1243" s="1" t="n">
        <v>14820.56</v>
      </c>
      <c r="M1243" s="1" t="n">
        <v>2637.76</v>
      </c>
      <c r="N1243" s="1" t="s">
        <v>41</v>
      </c>
      <c r="P1243" s="1" t="n">
        <v>5</v>
      </c>
      <c r="Q1243" s="1" t="s">
        <v>63</v>
      </c>
      <c r="R1243" s="1" t="s">
        <v>64</v>
      </c>
      <c r="S1243" s="6" t="n">
        <v>46210</v>
      </c>
    </row>
    <row r="1244" customFormat="false" ht="14.25" hidden="false" customHeight="true" outlineLevel="0" collapsed="false">
      <c r="A1244" s="1" t="s">
        <v>3593</v>
      </c>
      <c r="B1244" s="1" t="s">
        <v>1641</v>
      </c>
      <c r="C1244" s="1" t="s">
        <v>356</v>
      </c>
      <c r="D1244" s="1" t="s">
        <v>387</v>
      </c>
      <c r="E1244" s="6" t="n">
        <v>46141</v>
      </c>
      <c r="F1244" s="6" t="n">
        <v>46137</v>
      </c>
      <c r="G1244" s="1" t="s">
        <v>108</v>
      </c>
      <c r="H1244" s="1" t="s">
        <v>3594</v>
      </c>
      <c r="I1244" s="1" t="s">
        <v>3595</v>
      </c>
      <c r="J1244" s="1" t="n">
        <v>15820.72</v>
      </c>
      <c r="K1244" s="1" t="n">
        <v>14749.64</v>
      </c>
      <c r="L1244" s="1" t="n">
        <v>12610.17</v>
      </c>
      <c r="M1244" s="1" t="n">
        <v>2139.47</v>
      </c>
      <c r="N1244" s="1" t="s">
        <v>41</v>
      </c>
      <c r="P1244" s="1" t="n">
        <v>4</v>
      </c>
      <c r="Q1244" s="1" t="s">
        <v>155</v>
      </c>
      <c r="R1244" s="1" t="s">
        <v>54</v>
      </c>
      <c r="S1244" s="6" t="n">
        <v>46145</v>
      </c>
    </row>
    <row r="1245" customFormat="false" ht="14.25" hidden="false" customHeight="true" outlineLevel="0" collapsed="false">
      <c r="A1245" s="1" t="s">
        <v>3596</v>
      </c>
      <c r="B1245" s="1" t="s">
        <v>1415</v>
      </c>
      <c r="C1245" s="1" t="s">
        <v>459</v>
      </c>
      <c r="D1245" s="1" t="s">
        <v>387</v>
      </c>
      <c r="E1245" s="6" t="n">
        <v>46128</v>
      </c>
      <c r="F1245" s="6" t="n">
        <v>46127</v>
      </c>
      <c r="G1245" s="1" t="s">
        <v>38</v>
      </c>
      <c r="H1245" s="1" t="s">
        <v>2861</v>
      </c>
      <c r="I1245" s="1" t="s">
        <v>3597</v>
      </c>
      <c r="J1245" s="1" t="n">
        <v>35102.06</v>
      </c>
      <c r="K1245" s="1" t="n">
        <v>27768.47</v>
      </c>
      <c r="L1245" s="1" t="n">
        <v>21087.62</v>
      </c>
      <c r="M1245" s="1" t="n">
        <v>6680.85</v>
      </c>
      <c r="N1245" s="1" t="s">
        <v>41</v>
      </c>
      <c r="P1245" s="1" t="n">
        <v>7</v>
      </c>
      <c r="Q1245" s="1" t="s">
        <v>155</v>
      </c>
      <c r="R1245" s="1" t="s">
        <v>54</v>
      </c>
      <c r="S1245" s="6" t="n">
        <v>46135</v>
      </c>
    </row>
    <row r="1246" customFormat="false" ht="14.25" hidden="false" customHeight="true" outlineLevel="0" collapsed="false">
      <c r="A1246" s="1" t="s">
        <v>3598</v>
      </c>
      <c r="B1246" s="1" t="s">
        <v>1165</v>
      </c>
      <c r="C1246" s="1" t="s">
        <v>510</v>
      </c>
      <c r="D1246" s="1" t="s">
        <v>130</v>
      </c>
      <c r="E1246" s="6" t="n">
        <v>46189</v>
      </c>
      <c r="F1246" s="6" t="n">
        <v>46185</v>
      </c>
      <c r="G1246" s="1" t="s">
        <v>70</v>
      </c>
      <c r="H1246" s="1" t="s">
        <v>1674</v>
      </c>
      <c r="I1246" s="1" t="s">
        <v>3599</v>
      </c>
      <c r="J1246" s="1" t="n">
        <v>7298.98</v>
      </c>
      <c r="K1246" s="1" t="n">
        <v>6268.24</v>
      </c>
      <c r="L1246" s="1" t="n">
        <v>0</v>
      </c>
      <c r="M1246" s="1" t="n">
        <v>6268.24</v>
      </c>
      <c r="N1246" s="1" t="s">
        <v>111</v>
      </c>
      <c r="P1246" s="1" t="n">
        <v>7</v>
      </c>
      <c r="Q1246" s="1" t="s">
        <v>42</v>
      </c>
      <c r="R1246" s="1" t="s">
        <v>54</v>
      </c>
    </row>
    <row r="1247" customFormat="false" ht="14.25" hidden="false" customHeight="true" outlineLevel="0" collapsed="false">
      <c r="A1247" s="1" t="s">
        <v>3600</v>
      </c>
      <c r="B1247" s="1" t="s">
        <v>2086</v>
      </c>
      <c r="C1247" s="1" t="s">
        <v>543</v>
      </c>
      <c r="D1247" s="1" t="s">
        <v>855</v>
      </c>
      <c r="E1247" s="6" t="n">
        <v>46070</v>
      </c>
      <c r="F1247" s="6" t="n">
        <v>46068</v>
      </c>
      <c r="G1247" s="1" t="s">
        <v>108</v>
      </c>
      <c r="H1247" s="1" t="s">
        <v>1806</v>
      </c>
      <c r="I1247" s="1" t="s">
        <v>3601</v>
      </c>
      <c r="J1247" s="1" t="n">
        <v>8494.84</v>
      </c>
      <c r="K1247" s="1" t="n">
        <v>5932.21</v>
      </c>
      <c r="L1247" s="1" t="n">
        <v>5062.44</v>
      </c>
      <c r="M1247" s="1" t="n">
        <v>869.77</v>
      </c>
      <c r="N1247" s="1" t="s">
        <v>41</v>
      </c>
      <c r="P1247" s="1" t="n">
        <v>4</v>
      </c>
      <c r="Q1247" s="1" t="s">
        <v>42</v>
      </c>
      <c r="R1247" s="1" t="s">
        <v>102</v>
      </c>
      <c r="S1247" s="6" t="n">
        <v>46074</v>
      </c>
    </row>
    <row r="1248" customFormat="false" ht="14.25" hidden="false" customHeight="true" outlineLevel="0" collapsed="false">
      <c r="A1248" s="1" t="s">
        <v>3602</v>
      </c>
      <c r="B1248" s="1" t="s">
        <v>3603</v>
      </c>
      <c r="C1248" s="1" t="s">
        <v>136</v>
      </c>
      <c r="D1248" s="1" t="s">
        <v>933</v>
      </c>
      <c r="E1248" s="6" t="n">
        <v>46161</v>
      </c>
      <c r="F1248" s="6" t="n">
        <v>46157</v>
      </c>
      <c r="G1248" s="1" t="s">
        <v>49</v>
      </c>
      <c r="H1248" s="1" t="s">
        <v>3604</v>
      </c>
      <c r="I1248" s="1" t="s">
        <v>3497</v>
      </c>
      <c r="J1248" s="1" t="n">
        <v>42104.55</v>
      </c>
      <c r="K1248" s="1" t="n">
        <v>37011.38</v>
      </c>
      <c r="L1248" s="1" t="n">
        <v>0</v>
      </c>
      <c r="M1248" s="1" t="n">
        <v>37011.38</v>
      </c>
      <c r="N1248" s="1" t="s">
        <v>52</v>
      </c>
      <c r="O1248" s="1" t="s">
        <v>230</v>
      </c>
      <c r="P1248" s="1" t="n">
        <v>7</v>
      </c>
      <c r="Q1248" s="1" t="s">
        <v>63</v>
      </c>
      <c r="R1248" s="1" t="s">
        <v>125</v>
      </c>
    </row>
    <row r="1249" customFormat="false" ht="14.25" hidden="false" customHeight="true" outlineLevel="0" collapsed="false">
      <c r="A1249" s="1" t="s">
        <v>3605</v>
      </c>
      <c r="B1249" s="1" t="s">
        <v>1514</v>
      </c>
      <c r="C1249" s="1" t="s">
        <v>516</v>
      </c>
      <c r="D1249" s="1" t="s">
        <v>177</v>
      </c>
      <c r="E1249" s="6" t="n">
        <v>46092</v>
      </c>
      <c r="F1249" s="6" t="n">
        <v>46090</v>
      </c>
      <c r="G1249" s="1" t="s">
        <v>49</v>
      </c>
      <c r="H1249" s="1" t="s">
        <v>2368</v>
      </c>
      <c r="I1249" s="1" t="s">
        <v>3606</v>
      </c>
      <c r="J1249" s="1" t="n">
        <v>15715.88</v>
      </c>
      <c r="K1249" s="1" t="n">
        <v>11428.89</v>
      </c>
      <c r="L1249" s="1" t="n">
        <v>0</v>
      </c>
      <c r="M1249" s="1" t="n">
        <v>11428.89</v>
      </c>
      <c r="N1249" s="1" t="s">
        <v>111</v>
      </c>
      <c r="P1249" s="1" t="n">
        <v>5</v>
      </c>
      <c r="Q1249" s="1" t="s">
        <v>42</v>
      </c>
      <c r="R1249" s="1" t="s">
        <v>140</v>
      </c>
    </row>
    <row r="1250" customFormat="false" ht="14.25" hidden="false" customHeight="true" outlineLevel="0" collapsed="false">
      <c r="A1250" s="1" t="s">
        <v>3607</v>
      </c>
      <c r="B1250" s="1" t="s">
        <v>1372</v>
      </c>
      <c r="C1250" s="1" t="s">
        <v>346</v>
      </c>
      <c r="D1250" s="1" t="s">
        <v>574</v>
      </c>
      <c r="E1250" s="6" t="n">
        <v>46205</v>
      </c>
      <c r="F1250" s="6" t="n">
        <v>46203</v>
      </c>
      <c r="G1250" s="1" t="s">
        <v>38</v>
      </c>
      <c r="H1250" s="1" t="s">
        <v>3608</v>
      </c>
      <c r="I1250" s="1" t="s">
        <v>3609</v>
      </c>
      <c r="J1250" s="1" t="n">
        <v>22819.07</v>
      </c>
      <c r="K1250" s="1" t="n">
        <v>16382.37</v>
      </c>
      <c r="L1250" s="1" t="n">
        <v>15894.66</v>
      </c>
      <c r="M1250" s="1" t="n">
        <v>487.71</v>
      </c>
      <c r="N1250" s="1" t="s">
        <v>41</v>
      </c>
      <c r="P1250" s="1" t="n">
        <v>7</v>
      </c>
      <c r="Q1250" s="1" t="s">
        <v>155</v>
      </c>
      <c r="R1250" s="1" t="s">
        <v>64</v>
      </c>
      <c r="S1250" s="6" t="n">
        <v>46212</v>
      </c>
    </row>
    <row r="1251" customFormat="false" ht="14.25" hidden="false" customHeight="true" outlineLevel="0" collapsed="false">
      <c r="A1251" s="1" t="s">
        <v>3610</v>
      </c>
      <c r="B1251" s="1" t="s">
        <v>381</v>
      </c>
      <c r="C1251" s="1" t="s">
        <v>198</v>
      </c>
      <c r="D1251" s="1" t="s">
        <v>431</v>
      </c>
      <c r="E1251" s="6" t="n">
        <v>46111</v>
      </c>
      <c r="F1251" s="6" t="n">
        <v>46107</v>
      </c>
      <c r="G1251" s="1" t="s">
        <v>108</v>
      </c>
      <c r="H1251" s="1" t="s">
        <v>2011</v>
      </c>
      <c r="I1251" s="1" t="s">
        <v>3611</v>
      </c>
      <c r="J1251" s="1" t="n">
        <v>30469.22</v>
      </c>
      <c r="K1251" s="1" t="n">
        <v>24165.39</v>
      </c>
      <c r="L1251" s="1" t="n">
        <v>23773.79</v>
      </c>
      <c r="M1251" s="1" t="n">
        <v>391.6</v>
      </c>
      <c r="N1251" s="1" t="s">
        <v>41</v>
      </c>
      <c r="P1251" s="1" t="n">
        <v>5</v>
      </c>
      <c r="Q1251" s="1" t="s">
        <v>155</v>
      </c>
      <c r="R1251" s="1" t="s">
        <v>54</v>
      </c>
      <c r="S1251" s="6" t="n">
        <v>46116</v>
      </c>
    </row>
    <row r="1252" customFormat="false" ht="14.25" hidden="false" customHeight="true" outlineLevel="0" collapsed="false">
      <c r="A1252" s="1" t="s">
        <v>3612</v>
      </c>
      <c r="B1252" s="1" t="s">
        <v>3613</v>
      </c>
      <c r="C1252" s="1" t="s">
        <v>376</v>
      </c>
      <c r="D1252" s="1" t="s">
        <v>320</v>
      </c>
      <c r="E1252" s="6" t="n">
        <v>46200</v>
      </c>
      <c r="F1252" s="6" t="n">
        <v>46199</v>
      </c>
      <c r="G1252" s="1" t="s">
        <v>49</v>
      </c>
      <c r="H1252" s="1" t="s">
        <v>3614</v>
      </c>
      <c r="I1252" s="1" t="s">
        <v>3615</v>
      </c>
      <c r="J1252" s="1" t="n">
        <v>24197.49</v>
      </c>
      <c r="K1252" s="1" t="n">
        <v>16043.07</v>
      </c>
      <c r="L1252" s="1" t="n">
        <v>13343.12</v>
      </c>
      <c r="M1252" s="1" t="n">
        <v>2699.95</v>
      </c>
      <c r="N1252" s="1" t="s">
        <v>41</v>
      </c>
      <c r="P1252" s="1" t="n">
        <v>6</v>
      </c>
      <c r="Q1252" s="1" t="s">
        <v>63</v>
      </c>
      <c r="R1252" s="1" t="s">
        <v>125</v>
      </c>
      <c r="S1252" s="6" t="n">
        <v>46206</v>
      </c>
    </row>
    <row r="1253" customFormat="false" ht="14.25" hidden="false" customHeight="true" outlineLevel="0" collapsed="false">
      <c r="A1253" s="1" t="s">
        <v>3616</v>
      </c>
      <c r="B1253" s="1" t="s">
        <v>1562</v>
      </c>
      <c r="C1253" s="1" t="s">
        <v>459</v>
      </c>
      <c r="D1253" s="1" t="s">
        <v>538</v>
      </c>
      <c r="E1253" s="6" t="n">
        <v>46173</v>
      </c>
      <c r="F1253" s="6" t="n">
        <v>46172</v>
      </c>
      <c r="G1253" s="1" t="s">
        <v>70</v>
      </c>
      <c r="H1253" s="1" t="s">
        <v>1543</v>
      </c>
      <c r="I1253" s="1" t="s">
        <v>3617</v>
      </c>
      <c r="J1253" s="1" t="n">
        <v>6720.22</v>
      </c>
      <c r="K1253" s="1" t="n">
        <v>4860.94</v>
      </c>
      <c r="L1253" s="1" t="n">
        <v>0</v>
      </c>
      <c r="M1253" s="1" t="n">
        <v>4860.94</v>
      </c>
      <c r="N1253" s="1" t="s">
        <v>52</v>
      </c>
      <c r="O1253" s="1" t="s">
        <v>230</v>
      </c>
      <c r="P1253" s="1" t="n">
        <v>1</v>
      </c>
      <c r="Q1253" s="1" t="s">
        <v>155</v>
      </c>
      <c r="R1253" s="1" t="s">
        <v>74</v>
      </c>
    </row>
    <row r="1254" customFormat="false" ht="14.25" hidden="false" customHeight="true" outlineLevel="0" collapsed="false">
      <c r="A1254" s="1" t="s">
        <v>3618</v>
      </c>
      <c r="B1254" s="1" t="s">
        <v>1805</v>
      </c>
      <c r="C1254" s="1" t="s">
        <v>158</v>
      </c>
      <c r="D1254" s="1" t="s">
        <v>558</v>
      </c>
      <c r="E1254" s="6" t="n">
        <v>46180</v>
      </c>
      <c r="F1254" s="6" t="n">
        <v>46179</v>
      </c>
      <c r="G1254" s="1" t="s">
        <v>108</v>
      </c>
      <c r="H1254" s="1" t="s">
        <v>1793</v>
      </c>
      <c r="I1254" s="1" t="s">
        <v>3619</v>
      </c>
      <c r="J1254" s="1" t="n">
        <v>41236.55</v>
      </c>
      <c r="K1254" s="1" t="n">
        <v>28553.45</v>
      </c>
      <c r="L1254" s="1" t="n">
        <v>26678.18</v>
      </c>
      <c r="M1254" s="1" t="n">
        <v>1875.27</v>
      </c>
      <c r="N1254" s="1" t="s">
        <v>41</v>
      </c>
      <c r="P1254" s="1" t="n">
        <v>6</v>
      </c>
      <c r="Q1254" s="1" t="s">
        <v>63</v>
      </c>
      <c r="R1254" s="1" t="s">
        <v>125</v>
      </c>
      <c r="S1254" s="6" t="n">
        <v>46186</v>
      </c>
    </row>
    <row r="1255" customFormat="false" ht="14.25" hidden="false" customHeight="true" outlineLevel="0" collapsed="false">
      <c r="A1255" s="1" t="s">
        <v>3620</v>
      </c>
      <c r="B1255" s="1" t="s">
        <v>3621</v>
      </c>
      <c r="C1255" s="1" t="s">
        <v>468</v>
      </c>
      <c r="D1255" s="1" t="s">
        <v>538</v>
      </c>
      <c r="E1255" s="6" t="n">
        <v>46125</v>
      </c>
      <c r="F1255" s="6" t="n">
        <v>46123</v>
      </c>
      <c r="G1255" s="1" t="s">
        <v>108</v>
      </c>
      <c r="H1255" s="1" t="s">
        <v>2548</v>
      </c>
      <c r="I1255" s="1" t="s">
        <v>3622</v>
      </c>
      <c r="J1255" s="1" t="n">
        <v>29947.83</v>
      </c>
      <c r="K1255" s="1" t="n">
        <v>21175.94</v>
      </c>
      <c r="L1255" s="1" t="n">
        <v>18964.91</v>
      </c>
      <c r="M1255" s="1" t="n">
        <v>2211.03</v>
      </c>
      <c r="N1255" s="1" t="s">
        <v>41</v>
      </c>
      <c r="P1255" s="1" t="n">
        <v>8</v>
      </c>
      <c r="Q1255" s="1" t="s">
        <v>155</v>
      </c>
      <c r="R1255" s="1" t="s">
        <v>102</v>
      </c>
      <c r="S1255" s="6" t="n">
        <v>46133</v>
      </c>
    </row>
    <row r="1256" customFormat="false" ht="14.25" hidden="false" customHeight="true" outlineLevel="0" collapsed="false">
      <c r="A1256" s="1" t="s">
        <v>3623</v>
      </c>
      <c r="B1256" s="1" t="s">
        <v>1719</v>
      </c>
      <c r="C1256" s="1" t="s">
        <v>686</v>
      </c>
      <c r="D1256" s="1" t="s">
        <v>79</v>
      </c>
      <c r="E1256" s="6" t="n">
        <v>46205</v>
      </c>
      <c r="F1256" s="6" t="n">
        <v>46203</v>
      </c>
      <c r="G1256" s="1" t="s">
        <v>70</v>
      </c>
      <c r="H1256" s="1" t="s">
        <v>1097</v>
      </c>
      <c r="I1256" s="1" t="s">
        <v>3624</v>
      </c>
      <c r="J1256" s="1" t="n">
        <v>9863.05</v>
      </c>
      <c r="K1256" s="1" t="n">
        <v>8469.69</v>
      </c>
      <c r="L1256" s="1" t="n">
        <v>7191.93</v>
      </c>
      <c r="M1256" s="1" t="n">
        <v>1277.76</v>
      </c>
      <c r="N1256" s="1" t="s">
        <v>41</v>
      </c>
      <c r="P1256" s="1" t="n">
        <v>4</v>
      </c>
      <c r="Q1256" s="1" t="s">
        <v>63</v>
      </c>
      <c r="R1256" s="1" t="s">
        <v>140</v>
      </c>
      <c r="S1256" s="6" t="n">
        <v>46209</v>
      </c>
    </row>
    <row r="1257" customFormat="false" ht="14.25" hidden="false" customHeight="true" outlineLevel="0" collapsed="false">
      <c r="A1257" s="1" t="s">
        <v>3625</v>
      </c>
      <c r="B1257" s="1" t="s">
        <v>770</v>
      </c>
      <c r="C1257" s="1" t="s">
        <v>413</v>
      </c>
      <c r="D1257" s="1" t="s">
        <v>1084</v>
      </c>
      <c r="E1257" s="6" t="n">
        <v>46074</v>
      </c>
      <c r="F1257" s="6" t="n">
        <v>46071</v>
      </c>
      <c r="G1257" s="1" t="s">
        <v>38</v>
      </c>
      <c r="H1257" s="1" t="s">
        <v>1817</v>
      </c>
      <c r="I1257" s="1" t="s">
        <v>3626</v>
      </c>
      <c r="J1257" s="1" t="n">
        <v>33702.05</v>
      </c>
      <c r="K1257" s="1" t="n">
        <v>23278.67</v>
      </c>
      <c r="L1257" s="1" t="n">
        <v>22452.13</v>
      </c>
      <c r="M1257" s="1" t="n">
        <v>826.54</v>
      </c>
      <c r="N1257" s="1" t="s">
        <v>41</v>
      </c>
      <c r="P1257" s="1" t="n">
        <v>4</v>
      </c>
      <c r="Q1257" s="1" t="s">
        <v>155</v>
      </c>
      <c r="R1257" s="1" t="s">
        <v>74</v>
      </c>
      <c r="S1257" s="6" t="n">
        <v>46078</v>
      </c>
    </row>
    <row r="1258" customFormat="false" ht="14.25" hidden="false" customHeight="true" outlineLevel="0" collapsed="false">
      <c r="A1258" s="1" t="s">
        <v>3627</v>
      </c>
      <c r="B1258" s="1" t="s">
        <v>960</v>
      </c>
      <c r="C1258" s="1" t="s">
        <v>346</v>
      </c>
      <c r="D1258" s="1" t="s">
        <v>152</v>
      </c>
      <c r="E1258" s="6" t="n">
        <v>46050</v>
      </c>
      <c r="F1258" s="6" t="n">
        <v>46050</v>
      </c>
      <c r="G1258" s="1" t="s">
        <v>70</v>
      </c>
      <c r="H1258" s="1" t="s">
        <v>1261</v>
      </c>
      <c r="I1258" s="1" t="s">
        <v>1857</v>
      </c>
      <c r="J1258" s="1" t="n">
        <v>33332.64</v>
      </c>
      <c r="K1258" s="1" t="n">
        <v>28808.12</v>
      </c>
      <c r="L1258" s="1" t="n">
        <v>24599.87</v>
      </c>
      <c r="M1258" s="1" t="n">
        <v>4208.25</v>
      </c>
      <c r="N1258" s="1" t="s">
        <v>41</v>
      </c>
      <c r="P1258" s="1" t="n">
        <v>7</v>
      </c>
      <c r="Q1258" s="1" t="s">
        <v>42</v>
      </c>
      <c r="R1258" s="1" t="s">
        <v>125</v>
      </c>
      <c r="S1258" s="6" t="n">
        <v>46057</v>
      </c>
    </row>
    <row r="1259" customFormat="false" ht="14.25" hidden="false" customHeight="true" outlineLevel="0" collapsed="false">
      <c r="A1259" s="1" t="s">
        <v>3628</v>
      </c>
      <c r="B1259" s="1" t="s">
        <v>2527</v>
      </c>
      <c r="C1259" s="1" t="s">
        <v>376</v>
      </c>
      <c r="D1259" s="1" t="s">
        <v>727</v>
      </c>
      <c r="E1259" s="6" t="n">
        <v>46097</v>
      </c>
      <c r="F1259" s="6" t="n">
        <v>46094</v>
      </c>
      <c r="G1259" s="1" t="s">
        <v>49</v>
      </c>
      <c r="H1259" s="1" t="s">
        <v>2076</v>
      </c>
      <c r="I1259" s="1" t="s">
        <v>2743</v>
      </c>
      <c r="J1259" s="1" t="n">
        <v>47983.53</v>
      </c>
      <c r="K1259" s="1" t="n">
        <v>33391.6</v>
      </c>
      <c r="L1259" s="1" t="n">
        <v>0</v>
      </c>
      <c r="M1259" s="1" t="n">
        <v>33391.6</v>
      </c>
      <c r="N1259" s="1" t="s">
        <v>52</v>
      </c>
      <c r="O1259" s="1" t="s">
        <v>62</v>
      </c>
      <c r="P1259" s="1" t="n">
        <v>2</v>
      </c>
      <c r="Q1259" s="1" t="s">
        <v>155</v>
      </c>
      <c r="R1259" s="1" t="s">
        <v>102</v>
      </c>
    </row>
    <row r="1260" customFormat="false" ht="14.25" hidden="false" customHeight="true" outlineLevel="0" collapsed="false">
      <c r="A1260" s="1" t="s">
        <v>3629</v>
      </c>
      <c r="B1260" s="1" t="s">
        <v>2853</v>
      </c>
      <c r="C1260" s="1" t="s">
        <v>176</v>
      </c>
      <c r="D1260" s="1" t="s">
        <v>315</v>
      </c>
      <c r="E1260" s="6" t="n">
        <v>46078</v>
      </c>
      <c r="F1260" s="6" t="n">
        <v>46076</v>
      </c>
      <c r="G1260" s="1" t="s">
        <v>70</v>
      </c>
      <c r="H1260" s="1" t="s">
        <v>1315</v>
      </c>
      <c r="I1260" s="1" t="s">
        <v>1548</v>
      </c>
      <c r="J1260" s="1" t="n">
        <v>11804.85</v>
      </c>
      <c r="K1260" s="1" t="n">
        <v>10484.85</v>
      </c>
      <c r="L1260" s="1" t="n">
        <v>10051.6</v>
      </c>
      <c r="M1260" s="1" t="n">
        <v>433.25</v>
      </c>
      <c r="N1260" s="1" t="s">
        <v>41</v>
      </c>
      <c r="P1260" s="1" t="n">
        <v>1</v>
      </c>
      <c r="Q1260" s="1" t="s">
        <v>63</v>
      </c>
      <c r="R1260" s="1" t="s">
        <v>140</v>
      </c>
      <c r="S1260" s="6" t="n">
        <v>46079</v>
      </c>
    </row>
    <row r="1261" customFormat="false" ht="14.25" hidden="false" customHeight="true" outlineLevel="0" collapsed="false">
      <c r="A1261" s="1" t="s">
        <v>3630</v>
      </c>
      <c r="B1261" s="1" t="s">
        <v>1232</v>
      </c>
      <c r="C1261" s="1" t="s">
        <v>158</v>
      </c>
      <c r="D1261" s="1" t="s">
        <v>234</v>
      </c>
      <c r="E1261" s="6" t="n">
        <v>46139</v>
      </c>
      <c r="F1261" s="6" t="n">
        <v>46137</v>
      </c>
      <c r="G1261" s="1" t="s">
        <v>38</v>
      </c>
      <c r="H1261" s="1" t="s">
        <v>691</v>
      </c>
      <c r="I1261" s="1" t="s">
        <v>3631</v>
      </c>
      <c r="J1261" s="1" t="n">
        <v>37817.64</v>
      </c>
      <c r="K1261" s="1" t="n">
        <v>33190</v>
      </c>
      <c r="L1261" s="1" t="n">
        <v>0</v>
      </c>
      <c r="M1261" s="1" t="n">
        <v>33190</v>
      </c>
      <c r="N1261" s="1" t="s">
        <v>111</v>
      </c>
      <c r="P1261" s="1" t="n">
        <v>7</v>
      </c>
      <c r="Q1261" s="1" t="s">
        <v>155</v>
      </c>
      <c r="R1261" s="1" t="s">
        <v>140</v>
      </c>
    </row>
    <row r="1262" customFormat="false" ht="14.25" hidden="false" customHeight="true" outlineLevel="0" collapsed="false">
      <c r="A1262" s="1" t="s">
        <v>3632</v>
      </c>
      <c r="B1262" s="1" t="s">
        <v>1000</v>
      </c>
      <c r="C1262" s="1" t="s">
        <v>346</v>
      </c>
      <c r="D1262" s="1" t="s">
        <v>79</v>
      </c>
      <c r="E1262" s="6" t="n">
        <v>46028</v>
      </c>
      <c r="F1262" s="6" t="n">
        <v>46027</v>
      </c>
      <c r="G1262" s="1" t="s">
        <v>38</v>
      </c>
      <c r="H1262" s="1" t="s">
        <v>469</v>
      </c>
      <c r="I1262" s="1" t="s">
        <v>3633</v>
      </c>
      <c r="J1262" s="1" t="n">
        <v>28894.04</v>
      </c>
      <c r="K1262" s="1" t="n">
        <v>19715.62</v>
      </c>
      <c r="L1262" s="1" t="n">
        <v>15794.24</v>
      </c>
      <c r="M1262" s="1" t="n">
        <v>3921.38</v>
      </c>
      <c r="N1262" s="1" t="s">
        <v>41</v>
      </c>
      <c r="P1262" s="1" t="n">
        <v>1</v>
      </c>
      <c r="Q1262" s="1" t="s">
        <v>63</v>
      </c>
      <c r="R1262" s="1" t="s">
        <v>43</v>
      </c>
      <c r="S1262" s="6" t="n">
        <v>46029</v>
      </c>
    </row>
    <row r="1263" customFormat="false" ht="14.25" hidden="false" customHeight="true" outlineLevel="0" collapsed="false">
      <c r="A1263" s="1" t="s">
        <v>3634</v>
      </c>
      <c r="B1263" s="1" t="s">
        <v>385</v>
      </c>
      <c r="C1263" s="1" t="s">
        <v>151</v>
      </c>
      <c r="D1263" s="1" t="s">
        <v>37</v>
      </c>
      <c r="E1263" s="6" t="n">
        <v>46045</v>
      </c>
      <c r="F1263" s="6" t="n">
        <v>46040</v>
      </c>
      <c r="G1263" s="1" t="s">
        <v>49</v>
      </c>
      <c r="H1263" s="1" t="s">
        <v>2044</v>
      </c>
      <c r="I1263" s="1" t="s">
        <v>3635</v>
      </c>
      <c r="J1263" s="1" t="n">
        <v>33681.21</v>
      </c>
      <c r="K1263" s="1" t="n">
        <v>26215.19</v>
      </c>
      <c r="L1263" s="1" t="n">
        <v>0</v>
      </c>
      <c r="M1263" s="1" t="n">
        <v>26215.19</v>
      </c>
      <c r="N1263" s="1" t="s">
        <v>111</v>
      </c>
      <c r="P1263" s="1" t="n">
        <v>11</v>
      </c>
      <c r="Q1263" s="1" t="s">
        <v>42</v>
      </c>
      <c r="R1263" s="1" t="s">
        <v>64</v>
      </c>
    </row>
    <row r="1264" customFormat="false" ht="14.25" hidden="false" customHeight="true" outlineLevel="0" collapsed="false">
      <c r="A1264" s="1" t="s">
        <v>3636</v>
      </c>
      <c r="B1264" s="1" t="s">
        <v>1830</v>
      </c>
      <c r="C1264" s="1" t="s">
        <v>436</v>
      </c>
      <c r="D1264" s="1" t="s">
        <v>648</v>
      </c>
      <c r="E1264" s="6" t="n">
        <v>46113</v>
      </c>
      <c r="F1264" s="6" t="n">
        <v>46111</v>
      </c>
      <c r="G1264" s="1" t="s">
        <v>38</v>
      </c>
      <c r="H1264" s="1" t="s">
        <v>957</v>
      </c>
      <c r="I1264" s="1" t="s">
        <v>3637</v>
      </c>
      <c r="J1264" s="1" t="n">
        <v>37545.44</v>
      </c>
      <c r="K1264" s="1" t="n">
        <v>26359.46</v>
      </c>
      <c r="L1264" s="1" t="n">
        <v>23998.67</v>
      </c>
      <c r="M1264" s="1" t="n">
        <v>2360.79</v>
      </c>
      <c r="N1264" s="1" t="s">
        <v>41</v>
      </c>
      <c r="P1264" s="1" t="n">
        <v>4</v>
      </c>
      <c r="Q1264" s="1" t="s">
        <v>63</v>
      </c>
      <c r="R1264" s="1" t="s">
        <v>140</v>
      </c>
      <c r="S1264" s="6" t="n">
        <v>46117</v>
      </c>
    </row>
    <row r="1265" customFormat="false" ht="14.25" hidden="false" customHeight="true" outlineLevel="0" collapsed="false">
      <c r="A1265" s="1" t="s">
        <v>3638</v>
      </c>
      <c r="B1265" s="1" t="s">
        <v>960</v>
      </c>
      <c r="C1265" s="1" t="s">
        <v>376</v>
      </c>
      <c r="D1265" s="1" t="s">
        <v>347</v>
      </c>
      <c r="E1265" s="6" t="n">
        <v>46083</v>
      </c>
      <c r="F1265" s="6" t="n">
        <v>46083</v>
      </c>
      <c r="G1265" s="1" t="s">
        <v>108</v>
      </c>
      <c r="H1265" s="1" t="s">
        <v>811</v>
      </c>
      <c r="I1265" s="1" t="s">
        <v>3639</v>
      </c>
      <c r="J1265" s="1" t="n">
        <v>35978.57</v>
      </c>
      <c r="K1265" s="1" t="n">
        <v>33648.18</v>
      </c>
      <c r="L1265" s="1" t="n">
        <v>26344.93</v>
      </c>
      <c r="M1265" s="1" t="n">
        <v>7303.25</v>
      </c>
      <c r="N1265" s="1" t="s">
        <v>41</v>
      </c>
      <c r="P1265" s="1" t="n">
        <v>3</v>
      </c>
      <c r="Q1265" s="1" t="s">
        <v>155</v>
      </c>
      <c r="R1265" s="1" t="s">
        <v>43</v>
      </c>
      <c r="S1265" s="6" t="n">
        <v>46086</v>
      </c>
    </row>
    <row r="1266" customFormat="false" ht="14.25" hidden="false" customHeight="true" outlineLevel="0" collapsed="false">
      <c r="A1266" s="1" t="s">
        <v>3640</v>
      </c>
      <c r="B1266" s="1" t="s">
        <v>1869</v>
      </c>
      <c r="C1266" s="1" t="s">
        <v>182</v>
      </c>
      <c r="D1266" s="1" t="s">
        <v>37</v>
      </c>
      <c r="E1266" s="6" t="n">
        <v>46207</v>
      </c>
      <c r="F1266" s="6" t="n">
        <v>46206</v>
      </c>
      <c r="G1266" s="1" t="s">
        <v>49</v>
      </c>
      <c r="H1266" s="1" t="s">
        <v>1722</v>
      </c>
      <c r="I1266" s="1" t="s">
        <v>3641</v>
      </c>
      <c r="J1266" s="1" t="n">
        <v>33264.91</v>
      </c>
      <c r="K1266" s="1" t="n">
        <v>22943.5</v>
      </c>
      <c r="L1266" s="1" t="n">
        <v>0</v>
      </c>
      <c r="M1266" s="1" t="n">
        <v>22943.5</v>
      </c>
      <c r="N1266" s="1" t="s">
        <v>260</v>
      </c>
      <c r="P1266" s="1" t="n">
        <v>1</v>
      </c>
      <c r="Q1266" s="1" t="s">
        <v>42</v>
      </c>
      <c r="R1266" s="1" t="s">
        <v>64</v>
      </c>
    </row>
    <row r="1267" customFormat="false" ht="14.25" hidden="false" customHeight="true" outlineLevel="0" collapsed="false">
      <c r="A1267" s="1" t="s">
        <v>3642</v>
      </c>
      <c r="B1267" s="1" t="s">
        <v>547</v>
      </c>
      <c r="C1267" s="1" t="s">
        <v>136</v>
      </c>
      <c r="D1267" s="1" t="s">
        <v>159</v>
      </c>
      <c r="E1267" s="6" t="n">
        <v>46146</v>
      </c>
      <c r="F1267" s="6" t="n">
        <v>46141</v>
      </c>
      <c r="G1267" s="1" t="s">
        <v>38</v>
      </c>
      <c r="H1267" s="1" t="s">
        <v>2265</v>
      </c>
      <c r="I1267" s="1" t="s">
        <v>3643</v>
      </c>
      <c r="J1267" s="1" t="n">
        <v>5528.72</v>
      </c>
      <c r="K1267" s="1" t="n">
        <v>5115.19</v>
      </c>
      <c r="L1267" s="1" t="n">
        <v>0</v>
      </c>
      <c r="M1267" s="1" t="n">
        <v>5115.19</v>
      </c>
      <c r="N1267" s="1" t="s">
        <v>52</v>
      </c>
      <c r="O1267" s="1" t="s">
        <v>230</v>
      </c>
      <c r="P1267" s="1" t="n">
        <v>8</v>
      </c>
      <c r="Q1267" s="1" t="s">
        <v>63</v>
      </c>
      <c r="R1267" s="1" t="s">
        <v>102</v>
      </c>
    </row>
    <row r="1268" customFormat="false" ht="14.25" hidden="false" customHeight="true" outlineLevel="0" collapsed="false">
      <c r="A1268" s="1" t="s">
        <v>3644</v>
      </c>
      <c r="B1268" s="1" t="s">
        <v>1368</v>
      </c>
      <c r="C1268" s="1" t="s">
        <v>215</v>
      </c>
      <c r="D1268" s="1" t="s">
        <v>48</v>
      </c>
      <c r="E1268" s="6" t="n">
        <v>46190</v>
      </c>
      <c r="F1268" s="6" t="n">
        <v>46186</v>
      </c>
      <c r="G1268" s="1" t="s">
        <v>108</v>
      </c>
      <c r="H1268" s="1" t="s">
        <v>3645</v>
      </c>
      <c r="I1268" s="1" t="s">
        <v>2907</v>
      </c>
      <c r="J1268" s="1" t="n">
        <v>43683.66</v>
      </c>
      <c r="K1268" s="1" t="n">
        <v>34169.88</v>
      </c>
      <c r="L1268" s="1" t="n">
        <v>32364.17</v>
      </c>
      <c r="M1268" s="1" t="n">
        <v>1805.71</v>
      </c>
      <c r="N1268" s="1" t="s">
        <v>41</v>
      </c>
      <c r="P1268" s="1" t="n">
        <v>8</v>
      </c>
      <c r="Q1268" s="1" t="s">
        <v>63</v>
      </c>
      <c r="R1268" s="1" t="s">
        <v>64</v>
      </c>
      <c r="S1268" s="6" t="n">
        <v>46198</v>
      </c>
    </row>
    <row r="1269" customFormat="false" ht="14.25" hidden="false" customHeight="true" outlineLevel="0" collapsed="false">
      <c r="A1269" s="1" t="s">
        <v>3646</v>
      </c>
      <c r="B1269" s="1" t="s">
        <v>243</v>
      </c>
      <c r="C1269" s="1" t="s">
        <v>623</v>
      </c>
      <c r="D1269" s="1" t="s">
        <v>964</v>
      </c>
      <c r="E1269" s="6" t="n">
        <v>46037</v>
      </c>
      <c r="F1269" s="6" t="n">
        <v>46033</v>
      </c>
      <c r="G1269" s="1" t="s">
        <v>38</v>
      </c>
      <c r="H1269" s="1" t="s">
        <v>3604</v>
      </c>
      <c r="I1269" s="1" t="s">
        <v>3647</v>
      </c>
      <c r="J1269" s="1" t="n">
        <v>17490.48</v>
      </c>
      <c r="K1269" s="1" t="n">
        <v>13437.25</v>
      </c>
      <c r="L1269" s="1" t="n">
        <v>0</v>
      </c>
      <c r="M1269" s="1" t="n">
        <v>13437.25</v>
      </c>
      <c r="N1269" s="1" t="s">
        <v>52</v>
      </c>
      <c r="O1269" s="1" t="s">
        <v>230</v>
      </c>
      <c r="P1269" s="1" t="n">
        <v>5</v>
      </c>
      <c r="Q1269" s="1" t="s">
        <v>155</v>
      </c>
      <c r="R1269" s="1" t="s">
        <v>74</v>
      </c>
    </row>
    <row r="1270" customFormat="false" ht="14.25" hidden="false" customHeight="true" outlineLevel="0" collapsed="false">
      <c r="A1270" s="1" t="s">
        <v>3648</v>
      </c>
      <c r="B1270" s="1" t="s">
        <v>716</v>
      </c>
      <c r="C1270" s="1" t="s">
        <v>182</v>
      </c>
      <c r="D1270" s="1" t="s">
        <v>177</v>
      </c>
      <c r="E1270" s="6" t="n">
        <v>46074</v>
      </c>
      <c r="F1270" s="6" t="n">
        <v>46071</v>
      </c>
      <c r="G1270" s="1" t="s">
        <v>49</v>
      </c>
      <c r="H1270" s="1" t="s">
        <v>2052</v>
      </c>
      <c r="I1270" s="1" t="s">
        <v>2152</v>
      </c>
      <c r="J1270" s="1" t="n">
        <v>47054.18</v>
      </c>
      <c r="K1270" s="1" t="n">
        <v>41799.58</v>
      </c>
      <c r="L1270" s="1" t="n">
        <v>32391.85</v>
      </c>
      <c r="M1270" s="1" t="n">
        <v>9407.73</v>
      </c>
      <c r="N1270" s="1" t="s">
        <v>41</v>
      </c>
      <c r="P1270" s="1" t="n">
        <v>2</v>
      </c>
      <c r="Q1270" s="1" t="s">
        <v>155</v>
      </c>
      <c r="R1270" s="1" t="s">
        <v>74</v>
      </c>
      <c r="S1270" s="6" t="n">
        <v>46076</v>
      </c>
    </row>
    <row r="1271" customFormat="false" ht="14.25" hidden="false" customHeight="true" outlineLevel="0" collapsed="false">
      <c r="A1271" s="1" t="s">
        <v>3649</v>
      </c>
      <c r="B1271" s="1" t="s">
        <v>1462</v>
      </c>
      <c r="C1271" s="1" t="s">
        <v>182</v>
      </c>
      <c r="D1271" s="1" t="s">
        <v>635</v>
      </c>
      <c r="E1271" s="6" t="n">
        <v>46116</v>
      </c>
      <c r="F1271" s="6" t="n">
        <v>46111</v>
      </c>
      <c r="G1271" s="1" t="s">
        <v>70</v>
      </c>
      <c r="H1271" s="1" t="s">
        <v>498</v>
      </c>
      <c r="I1271" s="1" t="s">
        <v>3650</v>
      </c>
      <c r="J1271" s="1" t="n">
        <v>40463.45</v>
      </c>
      <c r="K1271" s="1" t="n">
        <v>35317.48</v>
      </c>
      <c r="L1271" s="1" t="n">
        <v>26929.55</v>
      </c>
      <c r="M1271" s="1" t="n">
        <v>8387.93</v>
      </c>
      <c r="N1271" s="1" t="s">
        <v>41</v>
      </c>
      <c r="P1271" s="1" t="n">
        <v>2</v>
      </c>
      <c r="Q1271" s="1" t="s">
        <v>42</v>
      </c>
      <c r="R1271" s="1" t="s">
        <v>140</v>
      </c>
      <c r="S1271" s="6" t="n">
        <v>46118</v>
      </c>
    </row>
    <row r="1272" customFormat="false" ht="14.25" hidden="false" customHeight="true" outlineLevel="0" collapsed="false">
      <c r="A1272" s="1" t="s">
        <v>3651</v>
      </c>
      <c r="B1272" s="1" t="s">
        <v>941</v>
      </c>
      <c r="C1272" s="1" t="s">
        <v>446</v>
      </c>
      <c r="D1272" s="1" t="s">
        <v>520</v>
      </c>
      <c r="E1272" s="6" t="n">
        <v>46177</v>
      </c>
      <c r="F1272" s="6" t="n">
        <v>46176</v>
      </c>
      <c r="G1272" s="1" t="s">
        <v>108</v>
      </c>
      <c r="H1272" s="1" t="s">
        <v>3652</v>
      </c>
      <c r="I1272" s="1" t="s">
        <v>3653</v>
      </c>
      <c r="J1272" s="1" t="n">
        <v>29593.97</v>
      </c>
      <c r="K1272" s="1" t="n">
        <v>24735.47</v>
      </c>
      <c r="L1272" s="1" t="n">
        <v>20108.82</v>
      </c>
      <c r="M1272" s="1" t="n">
        <v>4626.65</v>
      </c>
      <c r="N1272" s="1" t="s">
        <v>41</v>
      </c>
      <c r="P1272" s="1" t="n">
        <v>6</v>
      </c>
      <c r="Q1272" s="1" t="s">
        <v>155</v>
      </c>
      <c r="R1272" s="1" t="s">
        <v>140</v>
      </c>
      <c r="S1272" s="6" t="n">
        <v>46183</v>
      </c>
    </row>
    <row r="1273" customFormat="false" ht="14.25" hidden="false" customHeight="true" outlineLevel="0" collapsed="false">
      <c r="A1273" s="1" t="s">
        <v>3654</v>
      </c>
      <c r="B1273" s="1" t="s">
        <v>2853</v>
      </c>
      <c r="C1273" s="1" t="s">
        <v>346</v>
      </c>
      <c r="D1273" s="1" t="s">
        <v>257</v>
      </c>
      <c r="E1273" s="6" t="n">
        <v>46062</v>
      </c>
      <c r="F1273" s="6" t="n">
        <v>46059</v>
      </c>
      <c r="G1273" s="1" t="s">
        <v>70</v>
      </c>
      <c r="H1273" s="1" t="s">
        <v>2625</v>
      </c>
      <c r="I1273" s="1" t="s">
        <v>3655</v>
      </c>
      <c r="J1273" s="1" t="n">
        <v>37547.7</v>
      </c>
      <c r="K1273" s="1" t="n">
        <v>27219.53</v>
      </c>
      <c r="L1273" s="1" t="n">
        <v>0</v>
      </c>
      <c r="M1273" s="1" t="n">
        <v>27219.53</v>
      </c>
      <c r="N1273" s="1" t="s">
        <v>52</v>
      </c>
      <c r="O1273" s="1" t="s">
        <v>265</v>
      </c>
      <c r="P1273" s="1" t="n">
        <v>8</v>
      </c>
      <c r="Q1273" s="1" t="s">
        <v>155</v>
      </c>
      <c r="R1273" s="1" t="s">
        <v>43</v>
      </c>
    </row>
    <row r="1274" customFormat="false" ht="14.25" hidden="false" customHeight="true" outlineLevel="0" collapsed="false">
      <c r="A1274" s="1" t="s">
        <v>3656</v>
      </c>
      <c r="B1274" s="1" t="s">
        <v>295</v>
      </c>
      <c r="C1274" s="1" t="s">
        <v>36</v>
      </c>
      <c r="D1274" s="1" t="s">
        <v>732</v>
      </c>
      <c r="E1274" s="6" t="n">
        <v>46071</v>
      </c>
      <c r="F1274" s="6" t="n">
        <v>46068</v>
      </c>
      <c r="G1274" s="1" t="s">
        <v>108</v>
      </c>
      <c r="H1274" s="1" t="s">
        <v>3657</v>
      </c>
      <c r="I1274" s="1" t="s">
        <v>3658</v>
      </c>
      <c r="J1274" s="1" t="n">
        <v>34412.41</v>
      </c>
      <c r="K1274" s="1" t="n">
        <v>25059.18</v>
      </c>
      <c r="L1274" s="1" t="n">
        <v>0</v>
      </c>
      <c r="M1274" s="1" t="n">
        <v>25059.18</v>
      </c>
      <c r="N1274" s="1" t="s">
        <v>111</v>
      </c>
      <c r="P1274" s="1" t="n">
        <v>14</v>
      </c>
      <c r="Q1274" s="1" t="s">
        <v>155</v>
      </c>
      <c r="R1274" s="1" t="s">
        <v>140</v>
      </c>
    </row>
    <row r="1275" customFormat="false" ht="14.25" hidden="false" customHeight="true" outlineLevel="0" collapsed="false">
      <c r="A1275" s="1" t="s">
        <v>3659</v>
      </c>
      <c r="B1275" s="1" t="s">
        <v>1273</v>
      </c>
      <c r="C1275" s="1" t="s">
        <v>446</v>
      </c>
      <c r="D1275" s="1" t="s">
        <v>280</v>
      </c>
      <c r="E1275" s="6" t="n">
        <v>46099</v>
      </c>
      <c r="F1275" s="6" t="n">
        <v>46097</v>
      </c>
      <c r="G1275" s="1" t="s">
        <v>70</v>
      </c>
      <c r="H1275" s="1" t="s">
        <v>914</v>
      </c>
      <c r="I1275" s="1" t="s">
        <v>985</v>
      </c>
      <c r="J1275" s="1" t="n">
        <v>43921.85</v>
      </c>
      <c r="K1275" s="1" t="n">
        <v>39532.04</v>
      </c>
      <c r="L1275" s="1" t="n">
        <v>32660.71</v>
      </c>
      <c r="M1275" s="1" t="n">
        <v>6871.33</v>
      </c>
      <c r="N1275" s="1" t="s">
        <v>41</v>
      </c>
      <c r="P1275" s="1" t="n">
        <v>8</v>
      </c>
      <c r="Q1275" s="1" t="s">
        <v>63</v>
      </c>
      <c r="R1275" s="1" t="s">
        <v>54</v>
      </c>
      <c r="S1275" s="6" t="n">
        <v>46107</v>
      </c>
    </row>
    <row r="1276" customFormat="false" ht="14.25" hidden="false" customHeight="true" outlineLevel="0" collapsed="false">
      <c r="A1276" s="1" t="s">
        <v>3660</v>
      </c>
      <c r="B1276" s="1" t="s">
        <v>639</v>
      </c>
      <c r="C1276" s="1" t="s">
        <v>516</v>
      </c>
      <c r="D1276" s="1" t="s">
        <v>341</v>
      </c>
      <c r="E1276" s="6" t="n">
        <v>46229</v>
      </c>
      <c r="F1276" s="6" t="n">
        <v>46228</v>
      </c>
      <c r="G1276" s="1" t="s">
        <v>70</v>
      </c>
      <c r="H1276" s="1" t="s">
        <v>2165</v>
      </c>
      <c r="I1276" s="1" t="s">
        <v>3661</v>
      </c>
      <c r="J1276" s="1" t="n">
        <v>19022.46</v>
      </c>
      <c r="K1276" s="1" t="n">
        <v>16262.97</v>
      </c>
      <c r="L1276" s="1" t="n">
        <v>15311.4</v>
      </c>
      <c r="M1276" s="1" t="n">
        <v>951.57</v>
      </c>
      <c r="N1276" s="1" t="s">
        <v>41</v>
      </c>
      <c r="P1276" s="1" t="n">
        <v>6</v>
      </c>
      <c r="Q1276" s="1" t="s">
        <v>63</v>
      </c>
      <c r="R1276" s="1" t="s">
        <v>102</v>
      </c>
      <c r="S1276" s="6" t="n">
        <v>46235</v>
      </c>
    </row>
    <row r="1277" customFormat="false" ht="14.25" hidden="false" customHeight="true" outlineLevel="0" collapsed="false">
      <c r="A1277" s="1" t="s">
        <v>3662</v>
      </c>
      <c r="B1277" s="1" t="s">
        <v>1177</v>
      </c>
      <c r="C1277" s="1" t="s">
        <v>136</v>
      </c>
      <c r="D1277" s="1" t="s">
        <v>203</v>
      </c>
      <c r="E1277" s="6" t="n">
        <v>46187</v>
      </c>
      <c r="F1277" s="6" t="n">
        <v>46182</v>
      </c>
      <c r="G1277" s="1" t="s">
        <v>70</v>
      </c>
      <c r="H1277" s="1" t="s">
        <v>1763</v>
      </c>
      <c r="I1277" s="1" t="s">
        <v>3663</v>
      </c>
      <c r="J1277" s="1" t="n">
        <v>20164.42</v>
      </c>
      <c r="K1277" s="1" t="n">
        <v>16946.14</v>
      </c>
      <c r="L1277" s="1" t="n">
        <v>0</v>
      </c>
      <c r="M1277" s="1" t="n">
        <v>16946.14</v>
      </c>
      <c r="N1277" s="1" t="s">
        <v>52</v>
      </c>
      <c r="O1277" s="1" t="s">
        <v>265</v>
      </c>
      <c r="P1277" s="1" t="n">
        <v>4</v>
      </c>
      <c r="Q1277" s="1" t="s">
        <v>63</v>
      </c>
      <c r="R1277" s="1" t="s">
        <v>43</v>
      </c>
    </row>
    <row r="1278" customFormat="false" ht="14.25" hidden="false" customHeight="true" outlineLevel="0" collapsed="false">
      <c r="A1278" s="1" t="s">
        <v>3664</v>
      </c>
      <c r="B1278" s="1" t="s">
        <v>850</v>
      </c>
      <c r="C1278" s="1" t="s">
        <v>325</v>
      </c>
      <c r="D1278" s="1" t="s">
        <v>890</v>
      </c>
      <c r="E1278" s="6" t="n">
        <v>46105</v>
      </c>
      <c r="F1278" s="6" t="n">
        <v>46104</v>
      </c>
      <c r="G1278" s="1" t="s">
        <v>38</v>
      </c>
      <c r="H1278" s="1" t="s">
        <v>1942</v>
      </c>
      <c r="I1278" s="1" t="s">
        <v>3665</v>
      </c>
      <c r="J1278" s="1" t="n">
        <v>18255.29</v>
      </c>
      <c r="K1278" s="1" t="n">
        <v>12707.2</v>
      </c>
      <c r="L1278" s="1" t="n">
        <v>10859.45</v>
      </c>
      <c r="M1278" s="1" t="n">
        <v>1847.75</v>
      </c>
      <c r="N1278" s="1" t="s">
        <v>41</v>
      </c>
      <c r="P1278" s="1" t="n">
        <v>7</v>
      </c>
      <c r="Q1278" s="1" t="s">
        <v>155</v>
      </c>
      <c r="R1278" s="1" t="s">
        <v>74</v>
      </c>
      <c r="S1278" s="6" t="n">
        <v>46112</v>
      </c>
    </row>
    <row r="1279" customFormat="false" ht="14.25" hidden="false" customHeight="true" outlineLevel="0" collapsed="false">
      <c r="A1279" s="1" t="s">
        <v>3666</v>
      </c>
      <c r="B1279" s="1" t="s">
        <v>639</v>
      </c>
      <c r="C1279" s="1" t="s">
        <v>386</v>
      </c>
      <c r="D1279" s="1" t="s">
        <v>341</v>
      </c>
      <c r="E1279" s="6" t="n">
        <v>46121</v>
      </c>
      <c r="F1279" s="6" t="n">
        <v>46117</v>
      </c>
      <c r="G1279" s="1" t="s">
        <v>49</v>
      </c>
      <c r="H1279" s="1" t="s">
        <v>1103</v>
      </c>
      <c r="I1279" s="1" t="s">
        <v>3667</v>
      </c>
      <c r="J1279" s="1" t="n">
        <v>8304.56</v>
      </c>
      <c r="K1279" s="1" t="n">
        <v>6874.17</v>
      </c>
      <c r="L1279" s="1" t="n">
        <v>0</v>
      </c>
      <c r="M1279" s="1" t="n">
        <v>6874.17</v>
      </c>
      <c r="N1279" s="1" t="s">
        <v>111</v>
      </c>
      <c r="P1279" s="1" t="n">
        <v>5</v>
      </c>
      <c r="Q1279" s="1" t="s">
        <v>155</v>
      </c>
      <c r="R1279" s="1" t="s">
        <v>64</v>
      </c>
    </row>
    <row r="1280" customFormat="false" ht="14.25" hidden="false" customHeight="true" outlineLevel="0" collapsed="false">
      <c r="A1280" s="1" t="s">
        <v>3668</v>
      </c>
      <c r="B1280" s="1" t="s">
        <v>756</v>
      </c>
      <c r="C1280" s="1" t="s">
        <v>188</v>
      </c>
      <c r="D1280" s="1" t="s">
        <v>222</v>
      </c>
      <c r="E1280" s="6" t="n">
        <v>46106</v>
      </c>
      <c r="F1280" s="6" t="n">
        <v>46104</v>
      </c>
      <c r="G1280" s="1" t="s">
        <v>38</v>
      </c>
      <c r="H1280" s="1" t="s">
        <v>2778</v>
      </c>
      <c r="I1280" s="1" t="s">
        <v>3669</v>
      </c>
      <c r="J1280" s="1" t="n">
        <v>35206.01</v>
      </c>
      <c r="K1280" s="1" t="n">
        <v>27132.11</v>
      </c>
      <c r="L1280" s="1" t="n">
        <v>0</v>
      </c>
      <c r="M1280" s="1" t="n">
        <v>27132.11</v>
      </c>
      <c r="N1280" s="1" t="s">
        <v>52</v>
      </c>
      <c r="O1280" s="1" t="s">
        <v>265</v>
      </c>
      <c r="P1280" s="1" t="n">
        <v>7</v>
      </c>
      <c r="Q1280" s="1" t="s">
        <v>155</v>
      </c>
      <c r="R1280" s="1" t="s">
        <v>125</v>
      </c>
    </row>
    <row r="1281" customFormat="false" ht="14.25" hidden="false" customHeight="true" outlineLevel="0" collapsed="false">
      <c r="A1281" s="1" t="s">
        <v>3670</v>
      </c>
      <c r="B1281" s="1" t="s">
        <v>121</v>
      </c>
      <c r="C1281" s="1" t="s">
        <v>188</v>
      </c>
      <c r="D1281" s="1" t="s">
        <v>396</v>
      </c>
      <c r="E1281" s="6" t="n">
        <v>46187</v>
      </c>
      <c r="F1281" s="6" t="n">
        <v>46182</v>
      </c>
      <c r="G1281" s="1" t="s">
        <v>108</v>
      </c>
      <c r="H1281" s="1" t="s">
        <v>2778</v>
      </c>
      <c r="I1281" s="1" t="s">
        <v>3671</v>
      </c>
      <c r="J1281" s="1" t="n">
        <v>38315.31</v>
      </c>
      <c r="K1281" s="1" t="n">
        <v>26972.66</v>
      </c>
      <c r="L1281" s="1" t="n">
        <v>23138.93</v>
      </c>
      <c r="M1281" s="1" t="n">
        <v>3833.73</v>
      </c>
      <c r="N1281" s="1" t="s">
        <v>41</v>
      </c>
      <c r="P1281" s="1" t="n">
        <v>2</v>
      </c>
      <c r="Q1281" s="1" t="s">
        <v>155</v>
      </c>
      <c r="R1281" s="1" t="s">
        <v>140</v>
      </c>
      <c r="S1281" s="6" t="n">
        <v>46189</v>
      </c>
    </row>
    <row r="1282" customFormat="false" ht="14.25" hidden="false" customHeight="true" outlineLevel="0" collapsed="false">
      <c r="A1282" s="1" t="s">
        <v>3672</v>
      </c>
      <c r="B1282" s="1" t="s">
        <v>429</v>
      </c>
      <c r="C1282" s="1" t="s">
        <v>325</v>
      </c>
      <c r="D1282" s="1" t="s">
        <v>79</v>
      </c>
      <c r="E1282" s="6" t="n">
        <v>46080</v>
      </c>
      <c r="F1282" s="6" t="n">
        <v>46075</v>
      </c>
      <c r="G1282" s="1" t="s">
        <v>38</v>
      </c>
      <c r="H1282" s="1" t="s">
        <v>1532</v>
      </c>
      <c r="I1282" s="1" t="s">
        <v>3673</v>
      </c>
      <c r="J1282" s="1" t="n">
        <v>32907.71</v>
      </c>
      <c r="K1282" s="1" t="n">
        <v>28895.76</v>
      </c>
      <c r="L1282" s="1" t="n">
        <v>21964.01</v>
      </c>
      <c r="M1282" s="1" t="n">
        <v>6931.75</v>
      </c>
      <c r="N1282" s="1" t="s">
        <v>41</v>
      </c>
      <c r="P1282" s="1" t="n">
        <v>5</v>
      </c>
      <c r="Q1282" s="1" t="s">
        <v>155</v>
      </c>
      <c r="R1282" s="1" t="s">
        <v>125</v>
      </c>
      <c r="S1282" s="6" t="n">
        <v>46085</v>
      </c>
    </row>
    <row r="1283" customFormat="false" ht="14.25" hidden="false" customHeight="true" outlineLevel="0" collapsed="false">
      <c r="A1283" s="1" t="s">
        <v>3674</v>
      </c>
      <c r="B1283" s="1" t="s">
        <v>611</v>
      </c>
      <c r="C1283" s="1" t="s">
        <v>47</v>
      </c>
      <c r="D1283" s="1" t="s">
        <v>1211</v>
      </c>
      <c r="E1283" s="6" t="n">
        <v>46061</v>
      </c>
      <c r="F1283" s="6" t="n">
        <v>46061</v>
      </c>
      <c r="G1283" s="1" t="s">
        <v>38</v>
      </c>
      <c r="H1283" s="1" t="s">
        <v>2928</v>
      </c>
      <c r="I1283" s="1" t="s">
        <v>3675</v>
      </c>
      <c r="J1283" s="1" t="n">
        <v>9058.34</v>
      </c>
      <c r="K1283" s="1" t="n">
        <v>6095.18</v>
      </c>
      <c r="L1283" s="1" t="n">
        <v>0</v>
      </c>
      <c r="M1283" s="1" t="n">
        <v>6095.18</v>
      </c>
      <c r="N1283" s="1" t="s">
        <v>52</v>
      </c>
      <c r="O1283" s="1" t="s">
        <v>73</v>
      </c>
      <c r="P1283" s="1" t="n">
        <v>5</v>
      </c>
      <c r="Q1283" s="1" t="s">
        <v>42</v>
      </c>
      <c r="R1283" s="1" t="s">
        <v>43</v>
      </c>
    </row>
    <row r="1284" customFormat="false" ht="14.25" hidden="false" customHeight="true" outlineLevel="0" collapsed="false">
      <c r="A1284" s="1" t="s">
        <v>3676</v>
      </c>
      <c r="B1284" s="1" t="s">
        <v>3677</v>
      </c>
      <c r="C1284" s="1" t="s">
        <v>386</v>
      </c>
      <c r="D1284" s="1" t="s">
        <v>396</v>
      </c>
      <c r="E1284" s="6" t="n">
        <v>46163</v>
      </c>
      <c r="F1284" s="6" t="n">
        <v>46160</v>
      </c>
      <c r="G1284" s="1" t="s">
        <v>108</v>
      </c>
      <c r="H1284" s="1" t="s">
        <v>3678</v>
      </c>
      <c r="I1284" s="1" t="s">
        <v>2009</v>
      </c>
      <c r="J1284" s="1" t="n">
        <v>15248.74</v>
      </c>
      <c r="K1284" s="1" t="n">
        <v>9950.27</v>
      </c>
      <c r="L1284" s="1" t="n">
        <v>0</v>
      </c>
      <c r="M1284" s="1" t="n">
        <v>9950.27</v>
      </c>
      <c r="N1284" s="1" t="s">
        <v>260</v>
      </c>
      <c r="P1284" s="1" t="n">
        <v>2</v>
      </c>
      <c r="Q1284" s="1" t="s">
        <v>63</v>
      </c>
      <c r="R1284" s="1" t="s">
        <v>125</v>
      </c>
    </row>
    <row r="1285" customFormat="false" ht="14.25" hidden="false" customHeight="true" outlineLevel="0" collapsed="false">
      <c r="A1285" s="1" t="s">
        <v>3679</v>
      </c>
      <c r="B1285" s="1" t="s">
        <v>1108</v>
      </c>
      <c r="C1285" s="1" t="s">
        <v>286</v>
      </c>
      <c r="D1285" s="1" t="s">
        <v>574</v>
      </c>
      <c r="E1285" s="6" t="n">
        <v>46062</v>
      </c>
      <c r="F1285" s="6" t="n">
        <v>46057</v>
      </c>
      <c r="G1285" s="1" t="s">
        <v>49</v>
      </c>
      <c r="H1285" s="1" t="s">
        <v>3680</v>
      </c>
      <c r="I1285" s="1" t="s">
        <v>1351</v>
      </c>
      <c r="J1285" s="1" t="n">
        <v>39833.32</v>
      </c>
      <c r="K1285" s="1" t="n">
        <v>28014.71</v>
      </c>
      <c r="L1285" s="1" t="n">
        <v>27510.93</v>
      </c>
      <c r="M1285" s="1" t="n">
        <v>503.78</v>
      </c>
      <c r="N1285" s="1" t="s">
        <v>41</v>
      </c>
      <c r="P1285" s="1" t="n">
        <v>8</v>
      </c>
      <c r="Q1285" s="1" t="s">
        <v>42</v>
      </c>
      <c r="R1285" s="1" t="s">
        <v>102</v>
      </c>
      <c r="S1285" s="6" t="n">
        <v>46070</v>
      </c>
    </row>
    <row r="1286" customFormat="false" ht="14.25" hidden="false" customHeight="true" outlineLevel="0" collapsed="false">
      <c r="A1286" s="1" t="s">
        <v>3681</v>
      </c>
      <c r="B1286" s="1" t="s">
        <v>46</v>
      </c>
      <c r="C1286" s="1" t="s">
        <v>310</v>
      </c>
      <c r="D1286" s="1" t="s">
        <v>268</v>
      </c>
      <c r="E1286" s="6" t="n">
        <v>46226</v>
      </c>
      <c r="F1286" s="6" t="n">
        <v>46221</v>
      </c>
      <c r="G1286" s="1" t="s">
        <v>108</v>
      </c>
      <c r="H1286" s="1" t="s">
        <v>660</v>
      </c>
      <c r="I1286" s="1" t="s">
        <v>3682</v>
      </c>
      <c r="J1286" s="1" t="n">
        <v>32071.39</v>
      </c>
      <c r="K1286" s="1" t="n">
        <v>23557.42</v>
      </c>
      <c r="L1286" s="1" t="n">
        <v>0</v>
      </c>
      <c r="M1286" s="1" t="n">
        <v>23557.42</v>
      </c>
      <c r="N1286" s="1" t="s">
        <v>260</v>
      </c>
      <c r="P1286" s="1" t="n">
        <v>7</v>
      </c>
      <c r="Q1286" s="1" t="s">
        <v>42</v>
      </c>
      <c r="R1286" s="1" t="s">
        <v>140</v>
      </c>
    </row>
    <row r="1287" customFormat="false" ht="14.25" hidden="false" customHeight="true" outlineLevel="0" collapsed="false">
      <c r="A1287" s="1" t="s">
        <v>3683</v>
      </c>
      <c r="B1287" s="1" t="s">
        <v>906</v>
      </c>
      <c r="C1287" s="1" t="s">
        <v>68</v>
      </c>
      <c r="D1287" s="1" t="s">
        <v>876</v>
      </c>
      <c r="E1287" s="6" t="n">
        <v>46080</v>
      </c>
      <c r="F1287" s="6" t="n">
        <v>46078</v>
      </c>
      <c r="G1287" s="1" t="s">
        <v>38</v>
      </c>
      <c r="H1287" s="1" t="s">
        <v>512</v>
      </c>
      <c r="I1287" s="1" t="s">
        <v>3684</v>
      </c>
      <c r="J1287" s="1" t="n">
        <v>6033.76</v>
      </c>
      <c r="K1287" s="1" t="n">
        <v>4177.01</v>
      </c>
      <c r="L1287" s="1" t="n">
        <v>0</v>
      </c>
      <c r="M1287" s="1" t="n">
        <v>4177.01</v>
      </c>
      <c r="N1287" s="1" t="s">
        <v>111</v>
      </c>
      <c r="P1287" s="1" t="n">
        <v>10</v>
      </c>
      <c r="Q1287" s="1" t="s">
        <v>63</v>
      </c>
      <c r="R1287" s="1" t="s">
        <v>74</v>
      </c>
    </row>
    <row r="1288" customFormat="false" ht="14.25" hidden="false" customHeight="true" outlineLevel="0" collapsed="false">
      <c r="A1288" s="1" t="s">
        <v>3685</v>
      </c>
      <c r="B1288" s="1" t="s">
        <v>3603</v>
      </c>
      <c r="C1288" s="1" t="s">
        <v>623</v>
      </c>
      <c r="D1288" s="1" t="s">
        <v>635</v>
      </c>
      <c r="E1288" s="6" t="n">
        <v>46039</v>
      </c>
      <c r="F1288" s="6" t="n">
        <v>46039</v>
      </c>
      <c r="G1288" s="1" t="s">
        <v>108</v>
      </c>
      <c r="H1288" s="1" t="s">
        <v>3686</v>
      </c>
      <c r="I1288" s="1" t="s">
        <v>3687</v>
      </c>
      <c r="J1288" s="1" t="n">
        <v>30780.84</v>
      </c>
      <c r="K1288" s="1" t="n">
        <v>24919.22</v>
      </c>
      <c r="L1288" s="1" t="n">
        <v>23647.33</v>
      </c>
      <c r="M1288" s="1" t="n">
        <v>1271.89</v>
      </c>
      <c r="N1288" s="1" t="s">
        <v>41</v>
      </c>
      <c r="P1288" s="1" t="n">
        <v>2</v>
      </c>
      <c r="Q1288" s="1" t="s">
        <v>42</v>
      </c>
      <c r="R1288" s="1" t="s">
        <v>43</v>
      </c>
      <c r="S1288" s="6" t="n">
        <v>46041</v>
      </c>
    </row>
    <row r="1289" customFormat="false" ht="14.25" hidden="false" customHeight="true" outlineLevel="0" collapsed="false">
      <c r="A1289" s="1" t="s">
        <v>3688</v>
      </c>
      <c r="B1289" s="1" t="s">
        <v>700</v>
      </c>
      <c r="C1289" s="1" t="s">
        <v>92</v>
      </c>
      <c r="D1289" s="1" t="s">
        <v>331</v>
      </c>
      <c r="E1289" s="6" t="n">
        <v>46065</v>
      </c>
      <c r="F1289" s="6" t="n">
        <v>46062</v>
      </c>
      <c r="G1289" s="1" t="s">
        <v>38</v>
      </c>
      <c r="H1289" s="1" t="s">
        <v>3689</v>
      </c>
      <c r="I1289" s="1" t="s">
        <v>3690</v>
      </c>
      <c r="J1289" s="1" t="n">
        <v>29906.04</v>
      </c>
      <c r="K1289" s="1" t="n">
        <v>24938.34</v>
      </c>
      <c r="L1289" s="1" t="n">
        <v>0</v>
      </c>
      <c r="M1289" s="1" t="n">
        <v>24938.34</v>
      </c>
      <c r="N1289" s="1" t="s">
        <v>111</v>
      </c>
      <c r="P1289" s="1" t="n">
        <v>13</v>
      </c>
      <c r="Q1289" s="1" t="s">
        <v>155</v>
      </c>
      <c r="R1289" s="1" t="s">
        <v>74</v>
      </c>
    </row>
    <row r="1290" customFormat="false" ht="14.25" hidden="false" customHeight="true" outlineLevel="0" collapsed="false">
      <c r="A1290" s="1" t="s">
        <v>3691</v>
      </c>
      <c r="B1290" s="1" t="s">
        <v>3621</v>
      </c>
      <c r="C1290" s="1" t="s">
        <v>182</v>
      </c>
      <c r="D1290" s="1" t="s">
        <v>93</v>
      </c>
      <c r="E1290" s="6" t="n">
        <v>46163</v>
      </c>
      <c r="F1290" s="6" t="n">
        <v>46163</v>
      </c>
      <c r="G1290" s="1" t="s">
        <v>70</v>
      </c>
      <c r="H1290" s="1" t="s">
        <v>3692</v>
      </c>
      <c r="I1290" s="1" t="s">
        <v>3693</v>
      </c>
      <c r="J1290" s="1" t="n">
        <v>43821.58</v>
      </c>
      <c r="K1290" s="1" t="n">
        <v>34035.1</v>
      </c>
      <c r="L1290" s="1" t="n">
        <v>25704.47</v>
      </c>
      <c r="M1290" s="1" t="n">
        <v>8330.63</v>
      </c>
      <c r="N1290" s="1" t="s">
        <v>41</v>
      </c>
      <c r="P1290" s="1" t="n">
        <v>3</v>
      </c>
      <c r="Q1290" s="1" t="s">
        <v>42</v>
      </c>
      <c r="R1290" s="1" t="s">
        <v>102</v>
      </c>
      <c r="S1290" s="6" t="n">
        <v>46166</v>
      </c>
    </row>
    <row r="1291" customFormat="false" ht="14.25" hidden="false" customHeight="true" outlineLevel="0" collapsed="false">
      <c r="A1291" s="1" t="s">
        <v>3694</v>
      </c>
      <c r="B1291" s="1" t="s">
        <v>941</v>
      </c>
      <c r="C1291" s="1" t="s">
        <v>144</v>
      </c>
      <c r="D1291" s="1" t="s">
        <v>1448</v>
      </c>
      <c r="E1291" s="6" t="n">
        <v>46076</v>
      </c>
      <c r="F1291" s="6" t="n">
        <v>46072</v>
      </c>
      <c r="G1291" s="1" t="s">
        <v>38</v>
      </c>
      <c r="H1291" s="1" t="s">
        <v>1771</v>
      </c>
      <c r="I1291" s="1" t="s">
        <v>3695</v>
      </c>
      <c r="J1291" s="1" t="n">
        <v>43711.92</v>
      </c>
      <c r="K1291" s="1" t="n">
        <v>28463.22</v>
      </c>
      <c r="L1291" s="1" t="n">
        <v>25843.24</v>
      </c>
      <c r="M1291" s="1" t="n">
        <v>2619.98</v>
      </c>
      <c r="N1291" s="1" t="s">
        <v>41</v>
      </c>
      <c r="P1291" s="1" t="n">
        <v>6</v>
      </c>
      <c r="Q1291" s="1" t="s">
        <v>63</v>
      </c>
      <c r="R1291" s="1" t="s">
        <v>64</v>
      </c>
      <c r="S1291" s="6" t="n">
        <v>46082</v>
      </c>
    </row>
    <row r="1292" customFormat="false" ht="14.25" hidden="false" customHeight="true" outlineLevel="0" collapsed="false">
      <c r="A1292" s="1" t="s">
        <v>3696</v>
      </c>
      <c r="B1292" s="1" t="s">
        <v>351</v>
      </c>
      <c r="C1292" s="1" t="s">
        <v>106</v>
      </c>
      <c r="D1292" s="1" t="s">
        <v>326</v>
      </c>
      <c r="E1292" s="6" t="n">
        <v>46200</v>
      </c>
      <c r="F1292" s="6" t="n">
        <v>46199</v>
      </c>
      <c r="G1292" s="1" t="s">
        <v>49</v>
      </c>
      <c r="H1292" s="1" t="s">
        <v>2295</v>
      </c>
      <c r="I1292" s="1" t="s">
        <v>3697</v>
      </c>
      <c r="J1292" s="1" t="n">
        <v>42201.34</v>
      </c>
      <c r="K1292" s="1" t="n">
        <v>35228.98</v>
      </c>
      <c r="L1292" s="1" t="n">
        <v>0</v>
      </c>
      <c r="M1292" s="1" t="n">
        <v>35228.98</v>
      </c>
      <c r="N1292" s="1" t="s">
        <v>52</v>
      </c>
      <c r="O1292" s="1" t="s">
        <v>53</v>
      </c>
      <c r="P1292" s="1" t="n">
        <v>1</v>
      </c>
      <c r="Q1292" s="1" t="s">
        <v>63</v>
      </c>
      <c r="R1292" s="1" t="s">
        <v>140</v>
      </c>
    </row>
    <row r="1293" customFormat="false" ht="14.25" hidden="false" customHeight="true" outlineLevel="0" collapsed="false">
      <c r="A1293" s="1" t="s">
        <v>3698</v>
      </c>
      <c r="B1293" s="1" t="s">
        <v>3168</v>
      </c>
      <c r="C1293" s="1" t="s">
        <v>129</v>
      </c>
      <c r="D1293" s="1" t="s">
        <v>740</v>
      </c>
      <c r="E1293" s="6" t="n">
        <v>46082</v>
      </c>
      <c r="F1293" s="6" t="n">
        <v>46081</v>
      </c>
      <c r="G1293" s="1" t="s">
        <v>108</v>
      </c>
      <c r="H1293" s="1" t="s">
        <v>240</v>
      </c>
      <c r="I1293" s="1" t="s">
        <v>3699</v>
      </c>
      <c r="J1293" s="1" t="n">
        <v>49650.7</v>
      </c>
      <c r="K1293" s="1" t="n">
        <v>35353.42</v>
      </c>
      <c r="L1293" s="1" t="n">
        <v>0</v>
      </c>
      <c r="M1293" s="1" t="n">
        <v>35353.42</v>
      </c>
      <c r="N1293" s="1" t="s">
        <v>52</v>
      </c>
      <c r="O1293" s="1" t="s">
        <v>265</v>
      </c>
      <c r="P1293" s="1" t="n">
        <v>7</v>
      </c>
      <c r="Q1293" s="1" t="s">
        <v>42</v>
      </c>
      <c r="R1293" s="1" t="s">
        <v>54</v>
      </c>
    </row>
    <row r="1294" customFormat="false" ht="14.25" hidden="false" customHeight="true" outlineLevel="0" collapsed="false">
      <c r="A1294" s="1" t="s">
        <v>3700</v>
      </c>
      <c r="B1294" s="1" t="s">
        <v>1462</v>
      </c>
      <c r="C1294" s="1" t="s">
        <v>92</v>
      </c>
      <c r="D1294" s="1" t="s">
        <v>1448</v>
      </c>
      <c r="E1294" s="6" t="n">
        <v>46188</v>
      </c>
      <c r="F1294" s="6" t="n">
        <v>46184</v>
      </c>
      <c r="G1294" s="1" t="s">
        <v>49</v>
      </c>
      <c r="H1294" s="1" t="s">
        <v>882</v>
      </c>
      <c r="I1294" s="1" t="s">
        <v>3701</v>
      </c>
      <c r="J1294" s="1" t="n">
        <v>37627.11</v>
      </c>
      <c r="K1294" s="1" t="n">
        <v>33126.5</v>
      </c>
      <c r="L1294" s="1" t="n">
        <v>0</v>
      </c>
      <c r="M1294" s="1" t="n">
        <v>33126.5</v>
      </c>
      <c r="N1294" s="1" t="s">
        <v>52</v>
      </c>
      <c r="O1294" s="1" t="s">
        <v>62</v>
      </c>
      <c r="P1294" s="1" t="n">
        <v>3</v>
      </c>
      <c r="Q1294" s="1" t="s">
        <v>155</v>
      </c>
      <c r="R1294" s="1" t="s">
        <v>54</v>
      </c>
    </row>
    <row r="1295" customFormat="false" ht="14.25" hidden="false" customHeight="true" outlineLevel="0" collapsed="false">
      <c r="A1295" s="1" t="s">
        <v>3702</v>
      </c>
      <c r="B1295" s="1" t="s">
        <v>2335</v>
      </c>
      <c r="C1295" s="1" t="s">
        <v>164</v>
      </c>
      <c r="D1295" s="1" t="s">
        <v>400</v>
      </c>
      <c r="E1295" s="6" t="n">
        <v>46043</v>
      </c>
      <c r="F1295" s="6" t="n">
        <v>46042</v>
      </c>
      <c r="G1295" s="1" t="s">
        <v>38</v>
      </c>
      <c r="H1295" s="1" t="s">
        <v>3225</v>
      </c>
      <c r="I1295" s="1" t="s">
        <v>3703</v>
      </c>
      <c r="J1295" s="1" t="n">
        <v>25539.15</v>
      </c>
      <c r="K1295" s="1" t="n">
        <v>17802.2</v>
      </c>
      <c r="L1295" s="1" t="n">
        <v>17357.45</v>
      </c>
      <c r="M1295" s="1" t="n">
        <v>444.75</v>
      </c>
      <c r="N1295" s="1" t="s">
        <v>41</v>
      </c>
      <c r="P1295" s="1" t="n">
        <v>3</v>
      </c>
      <c r="Q1295" s="1" t="s">
        <v>63</v>
      </c>
      <c r="R1295" s="1" t="s">
        <v>74</v>
      </c>
      <c r="S1295" s="6" t="n">
        <v>46046</v>
      </c>
    </row>
    <row r="1296" customFormat="false" ht="14.25" hidden="false" customHeight="true" outlineLevel="0" collapsed="false">
      <c r="A1296" s="1" t="s">
        <v>3704</v>
      </c>
      <c r="B1296" s="1" t="s">
        <v>3705</v>
      </c>
      <c r="C1296" s="1" t="s">
        <v>900</v>
      </c>
      <c r="D1296" s="1" t="s">
        <v>107</v>
      </c>
      <c r="E1296" s="6" t="n">
        <v>46181</v>
      </c>
      <c r="F1296" s="6" t="n">
        <v>46176</v>
      </c>
      <c r="G1296" s="1" t="s">
        <v>108</v>
      </c>
      <c r="H1296" s="1" t="s">
        <v>3706</v>
      </c>
      <c r="I1296" s="1" t="s">
        <v>452</v>
      </c>
      <c r="J1296" s="1" t="n">
        <v>26653.57</v>
      </c>
      <c r="K1296" s="1" t="n">
        <v>19926.48</v>
      </c>
      <c r="L1296" s="1" t="n">
        <v>0</v>
      </c>
      <c r="M1296" s="1" t="n">
        <v>19926.48</v>
      </c>
      <c r="N1296" s="1" t="s">
        <v>52</v>
      </c>
      <c r="O1296" s="1" t="s">
        <v>62</v>
      </c>
      <c r="P1296" s="1" t="n">
        <v>1</v>
      </c>
      <c r="Q1296" s="1" t="s">
        <v>63</v>
      </c>
      <c r="R1296" s="1" t="s">
        <v>125</v>
      </c>
    </row>
    <row r="1297" customFormat="false" ht="14.25" hidden="false" customHeight="true" outlineLevel="0" collapsed="false">
      <c r="A1297" s="1" t="s">
        <v>3707</v>
      </c>
      <c r="B1297" s="1" t="s">
        <v>643</v>
      </c>
      <c r="C1297" s="1" t="s">
        <v>198</v>
      </c>
      <c r="D1297" s="1" t="s">
        <v>341</v>
      </c>
      <c r="E1297" s="6" t="n">
        <v>46189</v>
      </c>
      <c r="F1297" s="6" t="n">
        <v>46184</v>
      </c>
      <c r="G1297" s="1" t="s">
        <v>108</v>
      </c>
      <c r="H1297" s="1" t="s">
        <v>3708</v>
      </c>
      <c r="I1297" s="1" t="s">
        <v>3709</v>
      </c>
      <c r="J1297" s="1" t="n">
        <v>29309.06</v>
      </c>
      <c r="K1297" s="1" t="n">
        <v>19106.05</v>
      </c>
      <c r="L1297" s="1" t="n">
        <v>18622.92</v>
      </c>
      <c r="M1297" s="1" t="n">
        <v>483.13</v>
      </c>
      <c r="N1297" s="1" t="s">
        <v>41</v>
      </c>
      <c r="P1297" s="1" t="n">
        <v>2</v>
      </c>
      <c r="Q1297" s="1" t="s">
        <v>63</v>
      </c>
      <c r="R1297" s="1" t="s">
        <v>64</v>
      </c>
      <c r="S1297" s="6" t="n">
        <v>46191</v>
      </c>
    </row>
    <row r="1298" customFormat="false" ht="14.25" hidden="false" customHeight="true" outlineLevel="0" collapsed="false">
      <c r="A1298" s="1" t="s">
        <v>3710</v>
      </c>
      <c r="B1298" s="1" t="s">
        <v>1183</v>
      </c>
      <c r="C1298" s="1" t="s">
        <v>325</v>
      </c>
      <c r="D1298" s="1" t="s">
        <v>239</v>
      </c>
      <c r="E1298" s="6" t="n">
        <v>46139</v>
      </c>
      <c r="F1298" s="6" t="n">
        <v>46136</v>
      </c>
      <c r="G1298" s="1" t="s">
        <v>38</v>
      </c>
      <c r="H1298" s="1" t="s">
        <v>3179</v>
      </c>
      <c r="I1298" s="1" t="s">
        <v>3711</v>
      </c>
      <c r="J1298" s="1" t="n">
        <v>45951.93</v>
      </c>
      <c r="K1298" s="1" t="n">
        <v>39446.89</v>
      </c>
      <c r="L1298" s="1" t="n">
        <v>33059.88</v>
      </c>
      <c r="M1298" s="1" t="n">
        <v>6387.01</v>
      </c>
      <c r="N1298" s="1" t="s">
        <v>41</v>
      </c>
      <c r="P1298" s="1" t="n">
        <v>7</v>
      </c>
      <c r="Q1298" s="1" t="s">
        <v>63</v>
      </c>
      <c r="R1298" s="1" t="s">
        <v>74</v>
      </c>
      <c r="S1298" s="6" t="n">
        <v>46146</v>
      </c>
    </row>
    <row r="1299" customFormat="false" ht="14.25" hidden="false" customHeight="true" outlineLevel="0" collapsed="false">
      <c r="A1299" s="1" t="s">
        <v>3712</v>
      </c>
      <c r="B1299" s="1" t="s">
        <v>731</v>
      </c>
      <c r="C1299" s="1" t="s">
        <v>221</v>
      </c>
      <c r="D1299" s="1" t="s">
        <v>362</v>
      </c>
      <c r="E1299" s="6" t="n">
        <v>46151</v>
      </c>
      <c r="F1299" s="6" t="n">
        <v>46150</v>
      </c>
      <c r="G1299" s="1" t="s">
        <v>49</v>
      </c>
      <c r="H1299" s="1" t="s">
        <v>1540</v>
      </c>
      <c r="I1299" s="1" t="s">
        <v>1533</v>
      </c>
      <c r="J1299" s="1" t="n">
        <v>1323.5</v>
      </c>
      <c r="K1299" s="1" t="n">
        <v>1144.64</v>
      </c>
      <c r="L1299" s="1" t="n">
        <v>0</v>
      </c>
      <c r="M1299" s="1" t="n">
        <v>1144.64</v>
      </c>
      <c r="N1299" s="1" t="s">
        <v>111</v>
      </c>
      <c r="P1299" s="1" t="n">
        <v>15</v>
      </c>
      <c r="Q1299" s="1" t="s">
        <v>42</v>
      </c>
      <c r="R1299" s="1" t="s">
        <v>43</v>
      </c>
    </row>
    <row r="1300" customFormat="false" ht="14.25" hidden="false" customHeight="true" outlineLevel="0" collapsed="false">
      <c r="A1300" s="1" t="s">
        <v>3713</v>
      </c>
      <c r="B1300" s="1" t="s">
        <v>622</v>
      </c>
      <c r="C1300" s="1" t="s">
        <v>300</v>
      </c>
      <c r="D1300" s="1" t="s">
        <v>145</v>
      </c>
      <c r="E1300" s="6" t="n">
        <v>46219</v>
      </c>
      <c r="F1300" s="6" t="n">
        <v>46218</v>
      </c>
      <c r="G1300" s="1" t="s">
        <v>70</v>
      </c>
      <c r="H1300" s="1" t="s">
        <v>839</v>
      </c>
      <c r="I1300" s="1" t="s">
        <v>3714</v>
      </c>
      <c r="J1300" s="1" t="n">
        <v>18018.14</v>
      </c>
      <c r="K1300" s="1" t="n">
        <v>16195.24</v>
      </c>
      <c r="L1300" s="1" t="n">
        <v>0</v>
      </c>
      <c r="M1300" s="1" t="n">
        <v>16195.24</v>
      </c>
      <c r="N1300" s="1" t="s">
        <v>111</v>
      </c>
      <c r="P1300" s="1" t="n">
        <v>6</v>
      </c>
      <c r="Q1300" s="1" t="s">
        <v>42</v>
      </c>
      <c r="R1300" s="1" t="s">
        <v>64</v>
      </c>
    </row>
    <row r="1301" customFormat="false" ht="14.25" hidden="false" customHeight="true" outlineLevel="0" collapsed="false">
      <c r="A1301" s="1" t="s">
        <v>3715</v>
      </c>
      <c r="B1301" s="1" t="s">
        <v>1132</v>
      </c>
      <c r="C1301" s="1" t="s">
        <v>361</v>
      </c>
      <c r="D1301" s="1" t="s">
        <v>116</v>
      </c>
      <c r="E1301" s="6" t="n">
        <v>46066</v>
      </c>
      <c r="F1301" s="6" t="n">
        <v>46064</v>
      </c>
      <c r="G1301" s="1" t="s">
        <v>38</v>
      </c>
      <c r="H1301" s="1" t="s">
        <v>3716</v>
      </c>
      <c r="I1301" s="1" t="s">
        <v>3717</v>
      </c>
      <c r="J1301" s="1" t="n">
        <v>30316.03</v>
      </c>
      <c r="K1301" s="1" t="n">
        <v>25809.51</v>
      </c>
      <c r="L1301" s="1" t="n">
        <v>23411</v>
      </c>
      <c r="M1301" s="1" t="n">
        <v>2398.51</v>
      </c>
      <c r="N1301" s="1" t="s">
        <v>41</v>
      </c>
      <c r="P1301" s="1" t="n">
        <v>1</v>
      </c>
      <c r="Q1301" s="1" t="s">
        <v>63</v>
      </c>
      <c r="R1301" s="1" t="s">
        <v>102</v>
      </c>
      <c r="S1301" s="6" t="n">
        <v>46067</v>
      </c>
    </row>
    <row r="1302" customFormat="false" ht="14.25" hidden="false" customHeight="true" outlineLevel="0" collapsed="false">
      <c r="A1302" s="1" t="s">
        <v>3718</v>
      </c>
      <c r="B1302" s="1" t="s">
        <v>972</v>
      </c>
      <c r="C1302" s="1" t="s">
        <v>273</v>
      </c>
      <c r="D1302" s="1" t="s">
        <v>37</v>
      </c>
      <c r="E1302" s="6" t="n">
        <v>46186</v>
      </c>
      <c r="F1302" s="6" t="n">
        <v>46183</v>
      </c>
      <c r="G1302" s="1" t="s">
        <v>49</v>
      </c>
      <c r="H1302" s="1" t="s">
        <v>997</v>
      </c>
      <c r="I1302" s="1" t="s">
        <v>3719</v>
      </c>
      <c r="J1302" s="1" t="n">
        <v>31058.46</v>
      </c>
      <c r="K1302" s="1" t="n">
        <v>24129.8</v>
      </c>
      <c r="L1302" s="1" t="n">
        <v>24060.2</v>
      </c>
      <c r="M1302" s="1" t="n">
        <v>69.6</v>
      </c>
      <c r="N1302" s="1" t="s">
        <v>41</v>
      </c>
      <c r="P1302" s="1" t="n">
        <v>5</v>
      </c>
      <c r="Q1302" s="1" t="s">
        <v>42</v>
      </c>
      <c r="R1302" s="1" t="s">
        <v>54</v>
      </c>
      <c r="S1302" s="6" t="n">
        <v>46191</v>
      </c>
    </row>
    <row r="1303" customFormat="false" ht="14.25" hidden="false" customHeight="true" outlineLevel="0" collapsed="false">
      <c r="A1303" s="1" t="s">
        <v>3720</v>
      </c>
      <c r="B1303" s="1" t="s">
        <v>872</v>
      </c>
      <c r="C1303" s="1" t="s">
        <v>144</v>
      </c>
      <c r="D1303" s="1" t="s">
        <v>876</v>
      </c>
      <c r="E1303" s="6" t="n">
        <v>46168</v>
      </c>
      <c r="F1303" s="6" t="n">
        <v>46164</v>
      </c>
      <c r="G1303" s="1" t="s">
        <v>38</v>
      </c>
      <c r="H1303" s="1" t="s">
        <v>2090</v>
      </c>
      <c r="I1303" s="1" t="s">
        <v>3721</v>
      </c>
      <c r="J1303" s="1" t="n">
        <v>34457.08</v>
      </c>
      <c r="K1303" s="1" t="n">
        <v>27545.31</v>
      </c>
      <c r="L1303" s="1" t="n">
        <v>24509.47</v>
      </c>
      <c r="M1303" s="1" t="n">
        <v>3035.84</v>
      </c>
      <c r="N1303" s="1" t="s">
        <v>41</v>
      </c>
      <c r="P1303" s="1" t="n">
        <v>5</v>
      </c>
      <c r="Q1303" s="1" t="s">
        <v>63</v>
      </c>
      <c r="R1303" s="1" t="s">
        <v>54</v>
      </c>
      <c r="S1303" s="6" t="n">
        <v>46173</v>
      </c>
    </row>
    <row r="1304" customFormat="false" ht="14.25" hidden="false" customHeight="true" outlineLevel="0" collapsed="false">
      <c r="A1304" s="1" t="s">
        <v>3722</v>
      </c>
      <c r="B1304" s="1" t="s">
        <v>489</v>
      </c>
      <c r="C1304" s="1" t="s">
        <v>623</v>
      </c>
      <c r="D1304" s="1" t="s">
        <v>280</v>
      </c>
      <c r="E1304" s="6" t="n">
        <v>46131</v>
      </c>
      <c r="F1304" s="6" t="n">
        <v>46128</v>
      </c>
      <c r="G1304" s="1" t="s">
        <v>108</v>
      </c>
      <c r="H1304" s="1" t="s">
        <v>1593</v>
      </c>
      <c r="I1304" s="1" t="s">
        <v>3723</v>
      </c>
      <c r="J1304" s="1" t="n">
        <v>42025.34</v>
      </c>
      <c r="K1304" s="1" t="n">
        <v>33859.66</v>
      </c>
      <c r="L1304" s="1" t="n">
        <v>30726.91</v>
      </c>
      <c r="M1304" s="1" t="n">
        <v>3132.75</v>
      </c>
      <c r="N1304" s="1" t="s">
        <v>41</v>
      </c>
      <c r="P1304" s="1" t="n">
        <v>4</v>
      </c>
      <c r="Q1304" s="1" t="s">
        <v>42</v>
      </c>
      <c r="R1304" s="1" t="s">
        <v>64</v>
      </c>
      <c r="S1304" s="6" t="n">
        <v>46135</v>
      </c>
    </row>
    <row r="1305" customFormat="false" ht="14.25" hidden="false" customHeight="true" outlineLevel="0" collapsed="false">
      <c r="A1305" s="1" t="s">
        <v>3724</v>
      </c>
      <c r="B1305" s="1" t="s">
        <v>1479</v>
      </c>
      <c r="C1305" s="1" t="s">
        <v>386</v>
      </c>
      <c r="D1305" s="1" t="s">
        <v>441</v>
      </c>
      <c r="E1305" s="6" t="n">
        <v>46032</v>
      </c>
      <c r="F1305" s="6" t="n">
        <v>46030</v>
      </c>
      <c r="G1305" s="1" t="s">
        <v>108</v>
      </c>
      <c r="H1305" s="1" t="s">
        <v>2455</v>
      </c>
      <c r="I1305" s="1" t="s">
        <v>3725</v>
      </c>
      <c r="J1305" s="1" t="n">
        <v>988.88</v>
      </c>
      <c r="K1305" s="1" t="n">
        <v>822.23</v>
      </c>
      <c r="L1305" s="1" t="n">
        <v>752.93</v>
      </c>
      <c r="M1305" s="1" t="n">
        <v>69.3</v>
      </c>
      <c r="N1305" s="1" t="s">
        <v>41</v>
      </c>
      <c r="P1305" s="1" t="n">
        <v>7</v>
      </c>
      <c r="Q1305" s="1" t="s">
        <v>155</v>
      </c>
      <c r="R1305" s="1" t="s">
        <v>43</v>
      </c>
      <c r="S1305" s="6" t="n">
        <v>46039</v>
      </c>
    </row>
    <row r="1306" customFormat="false" ht="14.25" hidden="false" customHeight="true" outlineLevel="0" collapsed="false">
      <c r="A1306" s="1" t="s">
        <v>3726</v>
      </c>
      <c r="B1306" s="1" t="s">
        <v>774</v>
      </c>
      <c r="C1306" s="1" t="s">
        <v>68</v>
      </c>
      <c r="D1306" s="1" t="s">
        <v>595</v>
      </c>
      <c r="E1306" s="6" t="n">
        <v>46061</v>
      </c>
      <c r="F1306" s="6" t="n">
        <v>46058</v>
      </c>
      <c r="G1306" s="1" t="s">
        <v>70</v>
      </c>
      <c r="H1306" s="1" t="s">
        <v>392</v>
      </c>
      <c r="I1306" s="1" t="s">
        <v>3727</v>
      </c>
      <c r="J1306" s="1" t="n">
        <v>20310.63</v>
      </c>
      <c r="K1306" s="1" t="n">
        <v>16570.69</v>
      </c>
      <c r="L1306" s="1" t="n">
        <v>16163.6</v>
      </c>
      <c r="M1306" s="1" t="n">
        <v>407.09</v>
      </c>
      <c r="N1306" s="1" t="s">
        <v>41</v>
      </c>
      <c r="P1306" s="1" t="n">
        <v>1</v>
      </c>
      <c r="Q1306" s="1" t="s">
        <v>155</v>
      </c>
      <c r="R1306" s="1" t="s">
        <v>125</v>
      </c>
      <c r="S1306" s="6" t="n">
        <v>46062</v>
      </c>
    </row>
    <row r="1307" customFormat="false" ht="14.25" hidden="false" customHeight="true" outlineLevel="0" collapsed="false">
      <c r="A1307" s="1" t="s">
        <v>3728</v>
      </c>
      <c r="B1307" s="1" t="s">
        <v>3574</v>
      </c>
      <c r="C1307" s="1" t="s">
        <v>129</v>
      </c>
      <c r="D1307" s="1" t="s">
        <v>607</v>
      </c>
      <c r="E1307" s="6" t="n">
        <v>46079</v>
      </c>
      <c r="F1307" s="6" t="n">
        <v>46079</v>
      </c>
      <c r="G1307" s="1" t="s">
        <v>38</v>
      </c>
      <c r="H1307" s="1" t="s">
        <v>3729</v>
      </c>
      <c r="I1307" s="1" t="s">
        <v>3730</v>
      </c>
      <c r="J1307" s="1" t="n">
        <v>27211.39</v>
      </c>
      <c r="K1307" s="1" t="n">
        <v>22222.54</v>
      </c>
      <c r="L1307" s="1" t="n">
        <v>21527.72</v>
      </c>
      <c r="M1307" s="1" t="n">
        <v>694.82</v>
      </c>
      <c r="N1307" s="1" t="s">
        <v>41</v>
      </c>
      <c r="P1307" s="1" t="n">
        <v>1</v>
      </c>
      <c r="Q1307" s="1" t="s">
        <v>63</v>
      </c>
      <c r="R1307" s="1" t="s">
        <v>125</v>
      </c>
      <c r="S1307" s="6" t="n">
        <v>46080</v>
      </c>
    </row>
    <row r="1308" customFormat="false" ht="14.25" hidden="false" customHeight="true" outlineLevel="0" collapsed="false">
      <c r="A1308" s="1" t="s">
        <v>3731</v>
      </c>
      <c r="B1308" s="1" t="s">
        <v>467</v>
      </c>
      <c r="C1308" s="1" t="s">
        <v>151</v>
      </c>
      <c r="D1308" s="1" t="s">
        <v>130</v>
      </c>
      <c r="E1308" s="6" t="n">
        <v>46213</v>
      </c>
      <c r="F1308" s="6" t="n">
        <v>46213</v>
      </c>
      <c r="G1308" s="1" t="s">
        <v>108</v>
      </c>
      <c r="H1308" s="1" t="s">
        <v>3732</v>
      </c>
      <c r="I1308" s="1" t="s">
        <v>3733</v>
      </c>
      <c r="J1308" s="1" t="n">
        <v>21091.71</v>
      </c>
      <c r="K1308" s="1" t="n">
        <v>19186.03</v>
      </c>
      <c r="L1308" s="1" t="n">
        <v>14459.4</v>
      </c>
      <c r="M1308" s="1" t="n">
        <v>4726.63</v>
      </c>
      <c r="N1308" s="1" t="s">
        <v>41</v>
      </c>
      <c r="P1308" s="1" t="n">
        <v>8</v>
      </c>
      <c r="Q1308" s="1" t="s">
        <v>42</v>
      </c>
      <c r="R1308" s="1" t="s">
        <v>102</v>
      </c>
      <c r="S1308" s="6" t="n">
        <v>46221</v>
      </c>
    </row>
    <row r="1309" customFormat="false" ht="14.25" hidden="false" customHeight="true" outlineLevel="0" collapsed="false">
      <c r="A1309" s="1" t="s">
        <v>3734</v>
      </c>
      <c r="B1309" s="1" t="s">
        <v>2627</v>
      </c>
      <c r="C1309" s="1" t="s">
        <v>356</v>
      </c>
      <c r="D1309" s="1" t="s">
        <v>107</v>
      </c>
      <c r="E1309" s="6" t="n">
        <v>46210</v>
      </c>
      <c r="F1309" s="6" t="n">
        <v>46207</v>
      </c>
      <c r="G1309" s="1" t="s">
        <v>70</v>
      </c>
      <c r="H1309" s="1" t="s">
        <v>843</v>
      </c>
      <c r="I1309" s="1" t="s">
        <v>3735</v>
      </c>
      <c r="J1309" s="1" t="n">
        <v>20463.2</v>
      </c>
      <c r="K1309" s="1" t="n">
        <v>16936.41</v>
      </c>
      <c r="L1309" s="1" t="n">
        <v>0</v>
      </c>
      <c r="M1309" s="1" t="n">
        <v>16936.41</v>
      </c>
      <c r="N1309" s="1" t="s">
        <v>52</v>
      </c>
      <c r="O1309" s="1" t="s">
        <v>265</v>
      </c>
      <c r="P1309" s="1" t="n">
        <v>6</v>
      </c>
      <c r="Q1309" s="1" t="s">
        <v>42</v>
      </c>
      <c r="R1309" s="1" t="s">
        <v>140</v>
      </c>
    </row>
    <row r="1310" customFormat="false" ht="14.25" hidden="false" customHeight="true" outlineLevel="0" collapsed="false">
      <c r="A1310" s="1" t="s">
        <v>3736</v>
      </c>
      <c r="B1310" s="1" t="s">
        <v>647</v>
      </c>
      <c r="C1310" s="1" t="s">
        <v>182</v>
      </c>
      <c r="D1310" s="1" t="s">
        <v>48</v>
      </c>
      <c r="E1310" s="6" t="n">
        <v>46139</v>
      </c>
      <c r="F1310" s="6" t="n">
        <v>46135</v>
      </c>
      <c r="G1310" s="1" t="s">
        <v>49</v>
      </c>
      <c r="H1310" s="1" t="s">
        <v>1350</v>
      </c>
      <c r="I1310" s="1" t="s">
        <v>3737</v>
      </c>
      <c r="J1310" s="1" t="n">
        <v>44911.53</v>
      </c>
      <c r="K1310" s="1" t="n">
        <v>33156.25</v>
      </c>
      <c r="L1310" s="1" t="n">
        <v>0</v>
      </c>
      <c r="M1310" s="1" t="n">
        <v>33156.25</v>
      </c>
      <c r="N1310" s="1" t="s">
        <v>111</v>
      </c>
      <c r="P1310" s="1" t="n">
        <v>11</v>
      </c>
      <c r="Q1310" s="1" t="s">
        <v>42</v>
      </c>
      <c r="R1310" s="1" t="s">
        <v>54</v>
      </c>
    </row>
    <row r="1311" customFormat="false" ht="14.25" hidden="false" customHeight="true" outlineLevel="0" collapsed="false">
      <c r="A1311" s="1" t="s">
        <v>3738</v>
      </c>
      <c r="B1311" s="1" t="s">
        <v>2086</v>
      </c>
      <c r="C1311" s="1" t="s">
        <v>58</v>
      </c>
      <c r="D1311" s="1" t="s">
        <v>183</v>
      </c>
      <c r="E1311" s="6" t="n">
        <v>46161</v>
      </c>
      <c r="F1311" s="6" t="n">
        <v>46158</v>
      </c>
      <c r="G1311" s="1" t="s">
        <v>108</v>
      </c>
      <c r="H1311" s="1" t="s">
        <v>3739</v>
      </c>
      <c r="I1311" s="1" t="s">
        <v>3740</v>
      </c>
      <c r="J1311" s="1" t="n">
        <v>43970.25</v>
      </c>
      <c r="K1311" s="1" t="n">
        <v>39181.62</v>
      </c>
      <c r="L1311" s="1" t="n">
        <v>29692.13</v>
      </c>
      <c r="M1311" s="1" t="n">
        <v>9489.49</v>
      </c>
      <c r="N1311" s="1" t="s">
        <v>41</v>
      </c>
      <c r="P1311" s="1" t="n">
        <v>4</v>
      </c>
      <c r="Q1311" s="1" t="s">
        <v>63</v>
      </c>
      <c r="R1311" s="1" t="s">
        <v>102</v>
      </c>
      <c r="S1311" s="6" t="n">
        <v>46165</v>
      </c>
    </row>
    <row r="1312" customFormat="false" ht="14.25" hidden="false" customHeight="true" outlineLevel="0" collapsed="false">
      <c r="A1312" s="1" t="s">
        <v>3741</v>
      </c>
      <c r="B1312" s="1" t="s">
        <v>1197</v>
      </c>
      <c r="C1312" s="1" t="s">
        <v>468</v>
      </c>
      <c r="D1312" s="1" t="s">
        <v>250</v>
      </c>
      <c r="E1312" s="6" t="n">
        <v>46102</v>
      </c>
      <c r="F1312" s="6" t="n">
        <v>46100</v>
      </c>
      <c r="G1312" s="1" t="s">
        <v>70</v>
      </c>
      <c r="H1312" s="1" t="s">
        <v>1449</v>
      </c>
      <c r="I1312" s="1" t="s">
        <v>3742</v>
      </c>
      <c r="J1312" s="1" t="n">
        <v>29967.65</v>
      </c>
      <c r="K1312" s="1" t="n">
        <v>19867.95</v>
      </c>
      <c r="L1312" s="1" t="n">
        <v>17304.73</v>
      </c>
      <c r="M1312" s="1" t="n">
        <v>2563.22</v>
      </c>
      <c r="N1312" s="1" t="s">
        <v>41</v>
      </c>
      <c r="P1312" s="1" t="n">
        <v>6</v>
      </c>
      <c r="Q1312" s="1" t="s">
        <v>155</v>
      </c>
      <c r="R1312" s="1" t="s">
        <v>43</v>
      </c>
      <c r="S1312" s="6" t="n">
        <v>46108</v>
      </c>
    </row>
    <row r="1313" customFormat="false" ht="14.25" hidden="false" customHeight="true" outlineLevel="0" collapsed="false">
      <c r="A1313" s="1" t="s">
        <v>3743</v>
      </c>
      <c r="B1313" s="1" t="s">
        <v>1025</v>
      </c>
      <c r="C1313" s="1" t="s">
        <v>386</v>
      </c>
      <c r="D1313" s="1" t="s">
        <v>387</v>
      </c>
      <c r="E1313" s="6" t="n">
        <v>46060</v>
      </c>
      <c r="F1313" s="6" t="n">
        <v>46059</v>
      </c>
      <c r="G1313" s="1" t="s">
        <v>38</v>
      </c>
      <c r="H1313" s="1" t="s">
        <v>728</v>
      </c>
      <c r="I1313" s="1" t="s">
        <v>3744</v>
      </c>
      <c r="J1313" s="1" t="n">
        <v>45552.98</v>
      </c>
      <c r="K1313" s="1" t="n">
        <v>37963.15</v>
      </c>
      <c r="L1313" s="1" t="n">
        <v>32612.13</v>
      </c>
      <c r="M1313" s="1" t="n">
        <v>5351.02</v>
      </c>
      <c r="N1313" s="1" t="s">
        <v>41</v>
      </c>
      <c r="P1313" s="1" t="n">
        <v>8</v>
      </c>
      <c r="Q1313" s="1" t="s">
        <v>155</v>
      </c>
      <c r="R1313" s="1" t="s">
        <v>64</v>
      </c>
      <c r="S1313" s="6" t="n">
        <v>46068</v>
      </c>
    </row>
    <row r="1314" customFormat="false" ht="14.25" hidden="false" customHeight="true" outlineLevel="0" collapsed="false">
      <c r="A1314" s="1" t="s">
        <v>3745</v>
      </c>
      <c r="B1314" s="1" t="s">
        <v>846</v>
      </c>
      <c r="C1314" s="1" t="s">
        <v>900</v>
      </c>
      <c r="D1314" s="1" t="s">
        <v>607</v>
      </c>
      <c r="E1314" s="6" t="n">
        <v>46027</v>
      </c>
      <c r="F1314" s="6" t="n">
        <v>46025</v>
      </c>
      <c r="G1314" s="1" t="s">
        <v>49</v>
      </c>
      <c r="H1314" s="1" t="s">
        <v>3678</v>
      </c>
      <c r="I1314" s="1" t="s">
        <v>3746</v>
      </c>
      <c r="J1314" s="1" t="n">
        <v>46627.57</v>
      </c>
      <c r="K1314" s="1" t="n">
        <v>39365.55</v>
      </c>
      <c r="L1314" s="1" t="n">
        <v>32426.34</v>
      </c>
      <c r="M1314" s="1" t="n">
        <v>6939.21</v>
      </c>
      <c r="N1314" s="1" t="s">
        <v>41</v>
      </c>
      <c r="P1314" s="1" t="n">
        <v>1</v>
      </c>
      <c r="Q1314" s="1" t="s">
        <v>42</v>
      </c>
      <c r="R1314" s="1" t="s">
        <v>102</v>
      </c>
      <c r="S1314" s="6" t="n">
        <v>46028</v>
      </c>
    </row>
    <row r="1315" customFormat="false" ht="14.25" hidden="false" customHeight="true" outlineLevel="0" collapsed="false">
      <c r="A1315" s="1" t="s">
        <v>3747</v>
      </c>
      <c r="B1315" s="1" t="s">
        <v>3113</v>
      </c>
      <c r="C1315" s="1" t="s">
        <v>244</v>
      </c>
      <c r="D1315" s="1" t="s">
        <v>520</v>
      </c>
      <c r="E1315" s="6" t="n">
        <v>46200</v>
      </c>
      <c r="F1315" s="6" t="n">
        <v>46198</v>
      </c>
      <c r="G1315" s="1" t="s">
        <v>108</v>
      </c>
      <c r="H1315" s="1" t="s">
        <v>3748</v>
      </c>
      <c r="I1315" s="1" t="s">
        <v>3749</v>
      </c>
      <c r="J1315" s="1" t="n">
        <v>11530.45</v>
      </c>
      <c r="K1315" s="1" t="n">
        <v>9006.69</v>
      </c>
      <c r="L1315" s="1" t="n">
        <v>7139.43</v>
      </c>
      <c r="M1315" s="1" t="n">
        <v>1867.26</v>
      </c>
      <c r="N1315" s="1" t="s">
        <v>41</v>
      </c>
      <c r="P1315" s="1" t="n">
        <v>4</v>
      </c>
      <c r="Q1315" s="1" t="s">
        <v>155</v>
      </c>
      <c r="R1315" s="1" t="s">
        <v>102</v>
      </c>
      <c r="S1315" s="6" t="n">
        <v>46204</v>
      </c>
    </row>
    <row r="1316" customFormat="false" ht="14.25" hidden="false" customHeight="true" outlineLevel="0" collapsed="false">
      <c r="A1316" s="1" t="s">
        <v>3750</v>
      </c>
      <c r="B1316" s="1" t="s">
        <v>3621</v>
      </c>
      <c r="C1316" s="1" t="s">
        <v>361</v>
      </c>
      <c r="D1316" s="1" t="s">
        <v>1448</v>
      </c>
      <c r="E1316" s="6" t="n">
        <v>46113</v>
      </c>
      <c r="F1316" s="6" t="n">
        <v>46108</v>
      </c>
      <c r="G1316" s="1" t="s">
        <v>49</v>
      </c>
      <c r="H1316" s="1" t="s">
        <v>2030</v>
      </c>
      <c r="I1316" s="1" t="s">
        <v>3751</v>
      </c>
      <c r="J1316" s="1" t="n">
        <v>5530.56</v>
      </c>
      <c r="K1316" s="1" t="n">
        <v>4758.8</v>
      </c>
      <c r="L1316" s="1" t="n">
        <v>4594.45</v>
      </c>
      <c r="M1316" s="1" t="n">
        <v>164.35</v>
      </c>
      <c r="N1316" s="1" t="s">
        <v>41</v>
      </c>
      <c r="P1316" s="1" t="n">
        <v>1</v>
      </c>
      <c r="Q1316" s="1" t="s">
        <v>155</v>
      </c>
      <c r="R1316" s="1" t="s">
        <v>125</v>
      </c>
      <c r="S1316" s="6" t="n">
        <v>46114</v>
      </c>
    </row>
    <row r="1317" customFormat="false" ht="14.25" hidden="false" customHeight="true" outlineLevel="0" collapsed="false">
      <c r="A1317" s="1" t="s">
        <v>3752</v>
      </c>
      <c r="B1317" s="1" t="s">
        <v>1244</v>
      </c>
      <c r="C1317" s="1" t="s">
        <v>176</v>
      </c>
      <c r="D1317" s="1" t="s">
        <v>387</v>
      </c>
      <c r="E1317" s="6" t="n">
        <v>46045</v>
      </c>
      <c r="F1317" s="6" t="n">
        <v>46040</v>
      </c>
      <c r="G1317" s="1" t="s">
        <v>70</v>
      </c>
      <c r="H1317" s="1" t="s">
        <v>2184</v>
      </c>
      <c r="I1317" s="1" t="s">
        <v>3753</v>
      </c>
      <c r="J1317" s="1" t="n">
        <v>12223.01</v>
      </c>
      <c r="K1317" s="1" t="n">
        <v>10800.74</v>
      </c>
      <c r="L1317" s="1" t="n">
        <v>0</v>
      </c>
      <c r="M1317" s="1" t="n">
        <v>10800.74</v>
      </c>
      <c r="N1317" s="1" t="s">
        <v>52</v>
      </c>
      <c r="O1317" s="1" t="s">
        <v>62</v>
      </c>
      <c r="P1317" s="1" t="n">
        <v>3</v>
      </c>
      <c r="Q1317" s="1" t="s">
        <v>42</v>
      </c>
      <c r="R1317" s="1" t="s">
        <v>140</v>
      </c>
    </row>
    <row r="1318" customFormat="false" ht="14.25" hidden="false" customHeight="true" outlineLevel="0" collapsed="false">
      <c r="A1318" s="1" t="s">
        <v>3754</v>
      </c>
      <c r="B1318" s="1" t="s">
        <v>91</v>
      </c>
      <c r="C1318" s="1" t="s">
        <v>188</v>
      </c>
      <c r="D1318" s="1" t="s">
        <v>607</v>
      </c>
      <c r="E1318" s="6" t="n">
        <v>46183</v>
      </c>
      <c r="F1318" s="6" t="n">
        <v>46181</v>
      </c>
      <c r="G1318" s="1" t="s">
        <v>38</v>
      </c>
      <c r="H1318" s="1" t="s">
        <v>1605</v>
      </c>
      <c r="I1318" s="1" t="s">
        <v>3755</v>
      </c>
      <c r="J1318" s="1" t="n">
        <v>35762.09</v>
      </c>
      <c r="K1318" s="1" t="n">
        <v>26691.7</v>
      </c>
      <c r="L1318" s="1" t="n">
        <v>22185.63</v>
      </c>
      <c r="M1318" s="1" t="n">
        <v>4506.07</v>
      </c>
      <c r="N1318" s="1" t="s">
        <v>41</v>
      </c>
      <c r="P1318" s="1" t="n">
        <v>3</v>
      </c>
      <c r="Q1318" s="1" t="s">
        <v>155</v>
      </c>
      <c r="R1318" s="1" t="s">
        <v>74</v>
      </c>
      <c r="S1318" s="6" t="n">
        <v>46186</v>
      </c>
    </row>
    <row r="1319" customFormat="false" ht="14.25" hidden="false" customHeight="true" outlineLevel="0" collapsed="false">
      <c r="A1319" s="1" t="s">
        <v>3756</v>
      </c>
      <c r="B1319" s="1" t="s">
        <v>1318</v>
      </c>
      <c r="C1319" s="1" t="s">
        <v>686</v>
      </c>
      <c r="D1319" s="1" t="s">
        <v>937</v>
      </c>
      <c r="E1319" s="6" t="n">
        <v>46103</v>
      </c>
      <c r="F1319" s="6" t="n">
        <v>46103</v>
      </c>
      <c r="G1319" s="1" t="s">
        <v>70</v>
      </c>
      <c r="H1319" s="1" t="s">
        <v>910</v>
      </c>
      <c r="I1319" s="1" t="s">
        <v>3757</v>
      </c>
      <c r="J1319" s="1" t="n">
        <v>48886.17</v>
      </c>
      <c r="K1319" s="1" t="n">
        <v>36581.89</v>
      </c>
      <c r="L1319" s="1" t="n">
        <v>30804.18</v>
      </c>
      <c r="M1319" s="1" t="n">
        <v>5777.71</v>
      </c>
      <c r="N1319" s="1" t="s">
        <v>41</v>
      </c>
      <c r="P1319" s="1" t="n">
        <v>2</v>
      </c>
      <c r="Q1319" s="1" t="s">
        <v>42</v>
      </c>
      <c r="R1319" s="1" t="s">
        <v>54</v>
      </c>
      <c r="S1319" s="6" t="n">
        <v>46105</v>
      </c>
    </row>
    <row r="1320" customFormat="false" ht="14.25" hidden="false" customHeight="true" outlineLevel="0" collapsed="false">
      <c r="A1320" s="1" t="s">
        <v>3758</v>
      </c>
      <c r="B1320" s="1" t="s">
        <v>787</v>
      </c>
      <c r="C1320" s="1" t="s">
        <v>244</v>
      </c>
      <c r="D1320" s="1" t="s">
        <v>208</v>
      </c>
      <c r="E1320" s="6" t="n">
        <v>46117</v>
      </c>
      <c r="F1320" s="6" t="n">
        <v>46115</v>
      </c>
      <c r="G1320" s="1" t="s">
        <v>70</v>
      </c>
      <c r="H1320" s="1" t="s">
        <v>1497</v>
      </c>
      <c r="I1320" s="1" t="s">
        <v>3759</v>
      </c>
      <c r="J1320" s="1" t="n">
        <v>13287.15</v>
      </c>
      <c r="K1320" s="1" t="n">
        <v>10446.79</v>
      </c>
      <c r="L1320" s="1" t="n">
        <v>0</v>
      </c>
      <c r="M1320" s="1" t="n">
        <v>10446.79</v>
      </c>
      <c r="N1320" s="1" t="s">
        <v>111</v>
      </c>
      <c r="P1320" s="1" t="n">
        <v>8</v>
      </c>
      <c r="Q1320" s="1" t="s">
        <v>63</v>
      </c>
      <c r="R1320" s="1" t="s">
        <v>125</v>
      </c>
    </row>
    <row r="1321" customFormat="false" ht="14.25" hidden="false" customHeight="true" outlineLevel="0" collapsed="false">
      <c r="A1321" s="1" t="s">
        <v>3760</v>
      </c>
      <c r="B1321" s="1" t="s">
        <v>1192</v>
      </c>
      <c r="C1321" s="1" t="s">
        <v>367</v>
      </c>
      <c r="D1321" s="1" t="s">
        <v>291</v>
      </c>
      <c r="E1321" s="6" t="n">
        <v>46061</v>
      </c>
      <c r="F1321" s="6" t="n">
        <v>46059</v>
      </c>
      <c r="G1321" s="1" t="s">
        <v>70</v>
      </c>
      <c r="H1321" s="1" t="s">
        <v>1825</v>
      </c>
      <c r="I1321" s="1" t="s">
        <v>3761</v>
      </c>
      <c r="J1321" s="1" t="n">
        <v>26681.76</v>
      </c>
      <c r="K1321" s="1" t="n">
        <v>23293.31</v>
      </c>
      <c r="L1321" s="1" t="n">
        <v>21734.11</v>
      </c>
      <c r="M1321" s="1" t="n">
        <v>1559.2</v>
      </c>
      <c r="N1321" s="1" t="s">
        <v>41</v>
      </c>
      <c r="P1321" s="1" t="n">
        <v>2</v>
      </c>
      <c r="Q1321" s="1" t="s">
        <v>155</v>
      </c>
      <c r="R1321" s="1" t="s">
        <v>102</v>
      </c>
      <c r="S1321" s="6" t="n">
        <v>46063</v>
      </c>
    </row>
    <row r="1322" customFormat="false" ht="14.25" hidden="false" customHeight="true" outlineLevel="0" collapsed="false">
      <c r="A1322" s="1" t="s">
        <v>3762</v>
      </c>
      <c r="B1322" s="1" t="s">
        <v>1466</v>
      </c>
      <c r="C1322" s="1" t="s">
        <v>367</v>
      </c>
      <c r="D1322" s="1" t="s">
        <v>574</v>
      </c>
      <c r="E1322" s="6" t="n">
        <v>46101</v>
      </c>
      <c r="F1322" s="6" t="n">
        <v>46097</v>
      </c>
      <c r="G1322" s="1" t="s">
        <v>38</v>
      </c>
      <c r="H1322" s="1" t="s">
        <v>1951</v>
      </c>
      <c r="I1322" s="1" t="s">
        <v>3442</v>
      </c>
      <c r="J1322" s="1" t="n">
        <v>17001.82</v>
      </c>
      <c r="K1322" s="1" t="n">
        <v>13541.93</v>
      </c>
      <c r="L1322" s="1" t="n">
        <v>11965.36</v>
      </c>
      <c r="M1322" s="1" t="n">
        <v>1576.57</v>
      </c>
      <c r="N1322" s="1" t="s">
        <v>41</v>
      </c>
      <c r="P1322" s="1" t="n">
        <v>4</v>
      </c>
      <c r="Q1322" s="1" t="s">
        <v>155</v>
      </c>
      <c r="R1322" s="1" t="s">
        <v>74</v>
      </c>
      <c r="S1322" s="6" t="n">
        <v>46105</v>
      </c>
    </row>
    <row r="1323" customFormat="false" ht="14.25" hidden="false" customHeight="true" outlineLevel="0" collapsed="false">
      <c r="A1323" s="1" t="s">
        <v>3763</v>
      </c>
      <c r="B1323" s="1" t="s">
        <v>2164</v>
      </c>
      <c r="C1323" s="1" t="s">
        <v>115</v>
      </c>
      <c r="D1323" s="1" t="s">
        <v>69</v>
      </c>
      <c r="E1323" s="6" t="n">
        <v>46075</v>
      </c>
      <c r="F1323" s="6" t="n">
        <v>46074</v>
      </c>
      <c r="G1323" s="1" t="s">
        <v>38</v>
      </c>
      <c r="H1323" s="1" t="s">
        <v>1218</v>
      </c>
      <c r="I1323" s="1" t="s">
        <v>3764</v>
      </c>
      <c r="J1323" s="1" t="n">
        <v>26297.7</v>
      </c>
      <c r="K1323" s="1" t="n">
        <v>21834</v>
      </c>
      <c r="L1323" s="1" t="n">
        <v>0</v>
      </c>
      <c r="M1323" s="1" t="n">
        <v>21834</v>
      </c>
      <c r="N1323" s="1" t="s">
        <v>52</v>
      </c>
      <c r="O1323" s="1" t="s">
        <v>62</v>
      </c>
      <c r="P1323" s="1" t="n">
        <v>3</v>
      </c>
      <c r="Q1323" s="1" t="s">
        <v>63</v>
      </c>
      <c r="R1323" s="1" t="s">
        <v>125</v>
      </c>
    </row>
    <row r="1324" customFormat="false" ht="14.25" hidden="false" customHeight="true" outlineLevel="0" collapsed="false">
      <c r="A1324" s="1" t="s">
        <v>3765</v>
      </c>
      <c r="B1324" s="1" t="s">
        <v>1699</v>
      </c>
      <c r="C1324" s="1" t="s">
        <v>164</v>
      </c>
      <c r="D1324" s="1" t="s">
        <v>727</v>
      </c>
      <c r="E1324" s="6" t="n">
        <v>46070</v>
      </c>
      <c r="F1324" s="6" t="n">
        <v>46067</v>
      </c>
      <c r="G1324" s="1" t="s">
        <v>70</v>
      </c>
      <c r="H1324" s="1" t="s">
        <v>1125</v>
      </c>
      <c r="I1324" s="1" t="s">
        <v>3766</v>
      </c>
      <c r="J1324" s="1" t="n">
        <v>10216.81</v>
      </c>
      <c r="K1324" s="1" t="n">
        <v>7515.2</v>
      </c>
      <c r="L1324" s="1" t="n">
        <v>6678.86</v>
      </c>
      <c r="M1324" s="1" t="n">
        <v>836.34</v>
      </c>
      <c r="N1324" s="1" t="s">
        <v>41</v>
      </c>
      <c r="P1324" s="1" t="n">
        <v>3</v>
      </c>
      <c r="Q1324" s="1" t="s">
        <v>63</v>
      </c>
      <c r="R1324" s="1" t="s">
        <v>74</v>
      </c>
      <c r="S1324" s="6" t="n">
        <v>46073</v>
      </c>
    </row>
    <row r="1325" customFormat="false" ht="14.25" hidden="false" customHeight="true" outlineLevel="0" collapsed="false">
      <c r="A1325" s="1" t="s">
        <v>3767</v>
      </c>
      <c r="B1325" s="1" t="s">
        <v>497</v>
      </c>
      <c r="C1325" s="1" t="s">
        <v>182</v>
      </c>
      <c r="D1325" s="1" t="s">
        <v>189</v>
      </c>
      <c r="E1325" s="6" t="n">
        <v>46104</v>
      </c>
      <c r="F1325" s="6" t="n">
        <v>46101</v>
      </c>
      <c r="G1325" s="1" t="s">
        <v>108</v>
      </c>
      <c r="H1325" s="1" t="s">
        <v>3495</v>
      </c>
      <c r="I1325" s="1" t="s">
        <v>3768</v>
      </c>
      <c r="J1325" s="1" t="n">
        <v>33214.24</v>
      </c>
      <c r="K1325" s="1" t="n">
        <v>30821.97</v>
      </c>
      <c r="L1325" s="1" t="n">
        <v>28733.31</v>
      </c>
      <c r="M1325" s="1" t="n">
        <v>2088.66</v>
      </c>
      <c r="N1325" s="1" t="s">
        <v>41</v>
      </c>
      <c r="P1325" s="1" t="n">
        <v>8</v>
      </c>
      <c r="Q1325" s="1" t="s">
        <v>42</v>
      </c>
      <c r="R1325" s="1" t="s">
        <v>43</v>
      </c>
      <c r="S1325" s="6" t="n">
        <v>46112</v>
      </c>
    </row>
    <row r="1326" customFormat="false" ht="14.25" hidden="false" customHeight="true" outlineLevel="0" collapsed="false">
      <c r="A1326" s="1" t="s">
        <v>3769</v>
      </c>
      <c r="B1326" s="1" t="s">
        <v>2853</v>
      </c>
      <c r="C1326" s="1" t="s">
        <v>430</v>
      </c>
      <c r="D1326" s="1" t="s">
        <v>362</v>
      </c>
      <c r="E1326" s="6" t="n">
        <v>46073</v>
      </c>
      <c r="F1326" s="6" t="n">
        <v>46071</v>
      </c>
      <c r="G1326" s="1" t="s">
        <v>108</v>
      </c>
      <c r="H1326" s="1" t="s">
        <v>2533</v>
      </c>
      <c r="I1326" s="1" t="s">
        <v>3770</v>
      </c>
      <c r="J1326" s="1" t="n">
        <v>19385.04</v>
      </c>
      <c r="K1326" s="1" t="n">
        <v>13109.84</v>
      </c>
      <c r="L1326" s="1" t="n">
        <v>11402.91</v>
      </c>
      <c r="M1326" s="1" t="n">
        <v>1706.93</v>
      </c>
      <c r="N1326" s="1" t="s">
        <v>41</v>
      </c>
      <c r="P1326" s="1" t="n">
        <v>7</v>
      </c>
      <c r="Q1326" s="1" t="s">
        <v>155</v>
      </c>
      <c r="R1326" s="1" t="s">
        <v>125</v>
      </c>
      <c r="S1326" s="6" t="n">
        <v>46080</v>
      </c>
    </row>
    <row r="1327" customFormat="false" ht="14.25" hidden="false" customHeight="true" outlineLevel="0" collapsed="false">
      <c r="A1327" s="1" t="s">
        <v>3771</v>
      </c>
      <c r="B1327" s="1" t="s">
        <v>450</v>
      </c>
      <c r="C1327" s="1" t="s">
        <v>85</v>
      </c>
      <c r="D1327" s="1" t="s">
        <v>1628</v>
      </c>
      <c r="E1327" s="6" t="n">
        <v>46125</v>
      </c>
      <c r="F1327" s="6" t="n">
        <v>46124</v>
      </c>
      <c r="G1327" s="1" t="s">
        <v>108</v>
      </c>
      <c r="H1327" s="1" t="s">
        <v>3772</v>
      </c>
      <c r="I1327" s="1" t="s">
        <v>3773</v>
      </c>
      <c r="J1327" s="1" t="n">
        <v>28991.79</v>
      </c>
      <c r="K1327" s="1" t="n">
        <v>26573.81</v>
      </c>
      <c r="L1327" s="1" t="n">
        <v>0</v>
      </c>
      <c r="M1327" s="1" t="n">
        <v>26573.81</v>
      </c>
      <c r="N1327" s="1" t="s">
        <v>111</v>
      </c>
      <c r="P1327" s="1" t="n">
        <v>14</v>
      </c>
      <c r="Q1327" s="1" t="s">
        <v>42</v>
      </c>
      <c r="R1327" s="1" t="s">
        <v>54</v>
      </c>
    </row>
    <row r="1328" customFormat="false" ht="14.25" hidden="false" customHeight="true" outlineLevel="0" collapsed="false">
      <c r="A1328" s="1" t="s">
        <v>3774</v>
      </c>
      <c r="B1328" s="1" t="s">
        <v>822</v>
      </c>
      <c r="C1328" s="1" t="s">
        <v>176</v>
      </c>
      <c r="D1328" s="1" t="s">
        <v>189</v>
      </c>
      <c r="E1328" s="6" t="n">
        <v>46051</v>
      </c>
      <c r="F1328" s="6" t="n">
        <v>46051</v>
      </c>
      <c r="G1328" s="1" t="s">
        <v>108</v>
      </c>
      <c r="H1328" s="1" t="s">
        <v>835</v>
      </c>
      <c r="I1328" s="1" t="s">
        <v>3775</v>
      </c>
      <c r="J1328" s="1" t="n">
        <v>27928.13</v>
      </c>
      <c r="K1328" s="1" t="n">
        <v>22172.34</v>
      </c>
      <c r="L1328" s="1" t="n">
        <v>19830.05</v>
      </c>
      <c r="M1328" s="1" t="n">
        <v>2342.29</v>
      </c>
      <c r="N1328" s="1" t="s">
        <v>41</v>
      </c>
      <c r="P1328" s="1" t="n">
        <v>4</v>
      </c>
      <c r="Q1328" s="1" t="s">
        <v>42</v>
      </c>
      <c r="R1328" s="1" t="s">
        <v>64</v>
      </c>
      <c r="S1328" s="6" t="n">
        <v>46055</v>
      </c>
    </row>
    <row r="1329" customFormat="false" ht="14.25" hidden="false" customHeight="true" outlineLevel="0" collapsed="false">
      <c r="A1329" s="1" t="s">
        <v>3776</v>
      </c>
      <c r="B1329" s="1" t="s">
        <v>1251</v>
      </c>
      <c r="C1329" s="1" t="s">
        <v>430</v>
      </c>
      <c r="D1329" s="1" t="s">
        <v>1211</v>
      </c>
      <c r="E1329" s="6" t="n">
        <v>46099</v>
      </c>
      <c r="F1329" s="6" t="n">
        <v>46097</v>
      </c>
      <c r="G1329" s="1" t="s">
        <v>49</v>
      </c>
      <c r="H1329" s="1" t="s">
        <v>3777</v>
      </c>
      <c r="I1329" s="1" t="s">
        <v>3778</v>
      </c>
      <c r="J1329" s="1" t="n">
        <v>15093.05</v>
      </c>
      <c r="K1329" s="1" t="n">
        <v>11064.42</v>
      </c>
      <c r="L1329" s="1" t="n">
        <v>10892.6</v>
      </c>
      <c r="M1329" s="1" t="n">
        <v>171.82</v>
      </c>
      <c r="N1329" s="1" t="s">
        <v>41</v>
      </c>
      <c r="P1329" s="1" t="n">
        <v>5</v>
      </c>
      <c r="Q1329" s="1" t="s">
        <v>63</v>
      </c>
      <c r="R1329" s="1" t="s">
        <v>102</v>
      </c>
      <c r="S1329" s="6" t="n">
        <v>46104</v>
      </c>
    </row>
    <row r="1330" customFormat="false" ht="14.25" hidden="false" customHeight="true" outlineLevel="0" collapsed="false">
      <c r="A1330" s="1" t="s">
        <v>3779</v>
      </c>
      <c r="B1330" s="1" t="s">
        <v>319</v>
      </c>
      <c r="C1330" s="1" t="s">
        <v>68</v>
      </c>
      <c r="D1330" s="1" t="s">
        <v>476</v>
      </c>
      <c r="E1330" s="6" t="n">
        <v>46190</v>
      </c>
      <c r="F1330" s="6" t="n">
        <v>46185</v>
      </c>
      <c r="G1330" s="1" t="s">
        <v>108</v>
      </c>
      <c r="H1330" s="1" t="s">
        <v>3780</v>
      </c>
      <c r="I1330" s="1" t="s">
        <v>3781</v>
      </c>
      <c r="J1330" s="1" t="n">
        <v>37834.57</v>
      </c>
      <c r="K1330" s="1" t="n">
        <v>26027.37</v>
      </c>
      <c r="L1330" s="1" t="n">
        <v>22893.11</v>
      </c>
      <c r="M1330" s="1" t="n">
        <v>3134.26</v>
      </c>
      <c r="N1330" s="1" t="s">
        <v>41</v>
      </c>
      <c r="P1330" s="1" t="n">
        <v>2</v>
      </c>
      <c r="Q1330" s="1" t="s">
        <v>42</v>
      </c>
      <c r="R1330" s="1" t="s">
        <v>64</v>
      </c>
      <c r="S1330" s="6" t="n">
        <v>46192</v>
      </c>
    </row>
    <row r="1331" customFormat="false" ht="14.25" hidden="false" customHeight="true" outlineLevel="0" collapsed="false">
      <c r="A1331" s="1" t="s">
        <v>3782</v>
      </c>
      <c r="B1331" s="1" t="s">
        <v>1121</v>
      </c>
      <c r="C1331" s="1" t="s">
        <v>325</v>
      </c>
      <c r="D1331" s="1" t="s">
        <v>732</v>
      </c>
      <c r="E1331" s="6" t="n">
        <v>46183</v>
      </c>
      <c r="F1331" s="6" t="n">
        <v>46178</v>
      </c>
      <c r="G1331" s="1" t="s">
        <v>49</v>
      </c>
      <c r="H1331" s="1" t="s">
        <v>1369</v>
      </c>
      <c r="I1331" s="1" t="s">
        <v>3783</v>
      </c>
      <c r="J1331" s="1" t="n">
        <v>42363.55</v>
      </c>
      <c r="K1331" s="1" t="n">
        <v>38194.02</v>
      </c>
      <c r="L1331" s="1" t="n">
        <v>0</v>
      </c>
      <c r="M1331" s="1" t="n">
        <v>38194.02</v>
      </c>
      <c r="N1331" s="1" t="s">
        <v>52</v>
      </c>
      <c r="O1331" s="1" t="s">
        <v>230</v>
      </c>
      <c r="P1331" s="1" t="n">
        <v>3</v>
      </c>
      <c r="Q1331" s="1" t="s">
        <v>155</v>
      </c>
      <c r="R1331" s="1" t="s">
        <v>102</v>
      </c>
    </row>
    <row r="1332" customFormat="false" ht="14.25" hidden="false" customHeight="true" outlineLevel="0" collapsed="false">
      <c r="A1332" s="1" t="s">
        <v>3784</v>
      </c>
      <c r="B1332" s="1" t="s">
        <v>643</v>
      </c>
      <c r="C1332" s="1" t="s">
        <v>510</v>
      </c>
      <c r="D1332" s="1" t="s">
        <v>387</v>
      </c>
      <c r="E1332" s="6" t="n">
        <v>46219</v>
      </c>
      <c r="F1332" s="6" t="n">
        <v>46215</v>
      </c>
      <c r="G1332" s="1" t="s">
        <v>49</v>
      </c>
      <c r="H1332" s="1" t="s">
        <v>1590</v>
      </c>
      <c r="I1332" s="1" t="s">
        <v>3785</v>
      </c>
      <c r="J1332" s="1" t="n">
        <v>45837.25</v>
      </c>
      <c r="K1332" s="1" t="n">
        <v>33406.54</v>
      </c>
      <c r="L1332" s="1" t="n">
        <v>27800.35</v>
      </c>
      <c r="M1332" s="1" t="n">
        <v>5606.19</v>
      </c>
      <c r="N1332" s="1" t="s">
        <v>41</v>
      </c>
      <c r="P1332" s="1" t="n">
        <v>2</v>
      </c>
      <c r="Q1332" s="1" t="s">
        <v>42</v>
      </c>
      <c r="R1332" s="1" t="s">
        <v>43</v>
      </c>
      <c r="S1332" s="6" t="n">
        <v>46221</v>
      </c>
    </row>
    <row r="1333" customFormat="false" ht="14.25" hidden="false" customHeight="true" outlineLevel="0" collapsed="false">
      <c r="A1333" s="1" t="s">
        <v>3786</v>
      </c>
      <c r="B1333" s="1" t="s">
        <v>163</v>
      </c>
      <c r="C1333" s="1" t="s">
        <v>325</v>
      </c>
      <c r="D1333" s="1" t="s">
        <v>501</v>
      </c>
      <c r="E1333" s="6" t="n">
        <v>46156</v>
      </c>
      <c r="F1333" s="6" t="n">
        <v>46156</v>
      </c>
      <c r="G1333" s="1" t="s">
        <v>108</v>
      </c>
      <c r="H1333" s="1" t="s">
        <v>1668</v>
      </c>
      <c r="I1333" s="1" t="s">
        <v>3787</v>
      </c>
      <c r="J1333" s="1" t="n">
        <v>36442.91</v>
      </c>
      <c r="K1333" s="1" t="n">
        <v>30665.2</v>
      </c>
      <c r="L1333" s="1" t="n">
        <v>24608.21</v>
      </c>
      <c r="M1333" s="1" t="n">
        <v>6056.99</v>
      </c>
      <c r="N1333" s="1" t="s">
        <v>41</v>
      </c>
      <c r="P1333" s="1" t="n">
        <v>6</v>
      </c>
      <c r="Q1333" s="1" t="s">
        <v>42</v>
      </c>
      <c r="R1333" s="1" t="s">
        <v>43</v>
      </c>
      <c r="S1333" s="6" t="n">
        <v>46162</v>
      </c>
    </row>
    <row r="1334" customFormat="false" ht="14.25" hidden="false" customHeight="true" outlineLevel="0" collapsed="false">
      <c r="A1334" s="1" t="s">
        <v>3788</v>
      </c>
      <c r="B1334" s="1" t="s">
        <v>429</v>
      </c>
      <c r="C1334" s="1" t="s">
        <v>286</v>
      </c>
      <c r="D1334" s="1" t="s">
        <v>441</v>
      </c>
      <c r="E1334" s="6" t="n">
        <v>46160</v>
      </c>
      <c r="F1334" s="6" t="n">
        <v>46160</v>
      </c>
      <c r="G1334" s="1" t="s">
        <v>108</v>
      </c>
      <c r="H1334" s="1" t="s">
        <v>3789</v>
      </c>
      <c r="I1334" s="1" t="s">
        <v>3790</v>
      </c>
      <c r="J1334" s="1" t="n">
        <v>45863.56</v>
      </c>
      <c r="K1334" s="1" t="n">
        <v>37742.56</v>
      </c>
      <c r="L1334" s="1" t="n">
        <v>36681.13</v>
      </c>
      <c r="M1334" s="1" t="n">
        <v>1061.43</v>
      </c>
      <c r="N1334" s="1" t="s">
        <v>41</v>
      </c>
      <c r="P1334" s="1" t="n">
        <v>1</v>
      </c>
      <c r="Q1334" s="1" t="s">
        <v>42</v>
      </c>
      <c r="R1334" s="1" t="s">
        <v>54</v>
      </c>
      <c r="S1334" s="6" t="n">
        <v>46161</v>
      </c>
    </row>
    <row r="1335" customFormat="false" ht="14.25" hidden="false" customHeight="true" outlineLevel="0" collapsed="false">
      <c r="A1335" s="1" t="s">
        <v>3791</v>
      </c>
      <c r="B1335" s="1" t="s">
        <v>1869</v>
      </c>
      <c r="C1335" s="1" t="s">
        <v>436</v>
      </c>
      <c r="D1335" s="1" t="s">
        <v>320</v>
      </c>
      <c r="E1335" s="6" t="n">
        <v>46119</v>
      </c>
      <c r="F1335" s="6" t="n">
        <v>46117</v>
      </c>
      <c r="G1335" s="1" t="s">
        <v>70</v>
      </c>
      <c r="H1335" s="1" t="s">
        <v>2916</v>
      </c>
      <c r="I1335" s="1" t="s">
        <v>3792</v>
      </c>
      <c r="J1335" s="1" t="n">
        <v>43141.43</v>
      </c>
      <c r="K1335" s="1" t="n">
        <v>40008.65</v>
      </c>
      <c r="L1335" s="1" t="n">
        <v>35859.76</v>
      </c>
      <c r="M1335" s="1" t="n">
        <v>4148.89</v>
      </c>
      <c r="N1335" s="1" t="s">
        <v>41</v>
      </c>
      <c r="P1335" s="1" t="n">
        <v>4</v>
      </c>
      <c r="Q1335" s="1" t="s">
        <v>42</v>
      </c>
      <c r="R1335" s="1" t="s">
        <v>125</v>
      </c>
      <c r="S1335" s="6" t="n">
        <v>46123</v>
      </c>
    </row>
    <row r="1336" customFormat="false" ht="14.25" hidden="false" customHeight="true" outlineLevel="0" collapsed="false">
      <c r="A1336" s="1" t="s">
        <v>3793</v>
      </c>
      <c r="B1336" s="1" t="s">
        <v>1583</v>
      </c>
      <c r="C1336" s="1" t="s">
        <v>164</v>
      </c>
      <c r="D1336" s="1" t="s">
        <v>362</v>
      </c>
      <c r="E1336" s="6" t="n">
        <v>46033</v>
      </c>
      <c r="F1336" s="6" t="n">
        <v>46028</v>
      </c>
      <c r="G1336" s="1" t="s">
        <v>108</v>
      </c>
      <c r="H1336" s="1" t="s">
        <v>649</v>
      </c>
      <c r="I1336" s="1" t="s">
        <v>3794</v>
      </c>
      <c r="J1336" s="1" t="n">
        <v>37575.61</v>
      </c>
      <c r="K1336" s="1" t="n">
        <v>33090.61</v>
      </c>
      <c r="L1336" s="1" t="n">
        <v>30351.83</v>
      </c>
      <c r="M1336" s="1" t="n">
        <v>2738.78</v>
      </c>
      <c r="N1336" s="1" t="s">
        <v>41</v>
      </c>
      <c r="P1336" s="1" t="n">
        <v>4</v>
      </c>
      <c r="Q1336" s="1" t="s">
        <v>155</v>
      </c>
      <c r="R1336" s="1" t="s">
        <v>64</v>
      </c>
      <c r="S1336" s="6" t="n">
        <v>46037</v>
      </c>
    </row>
    <row r="1337" customFormat="false" ht="14.25" hidden="false" customHeight="true" outlineLevel="0" collapsed="false">
      <c r="A1337" s="1" t="s">
        <v>3795</v>
      </c>
      <c r="B1337" s="1" t="s">
        <v>1553</v>
      </c>
      <c r="C1337" s="1" t="s">
        <v>158</v>
      </c>
      <c r="D1337" s="1" t="s">
        <v>239</v>
      </c>
      <c r="E1337" s="6" t="n">
        <v>46088</v>
      </c>
      <c r="F1337" s="6" t="n">
        <v>46084</v>
      </c>
      <c r="G1337" s="1" t="s">
        <v>70</v>
      </c>
      <c r="H1337" s="1" t="s">
        <v>3225</v>
      </c>
      <c r="I1337" s="1" t="s">
        <v>3796</v>
      </c>
      <c r="J1337" s="1" t="n">
        <v>12806.68</v>
      </c>
      <c r="K1337" s="1" t="n">
        <v>11619.43</v>
      </c>
      <c r="L1337" s="1" t="n">
        <v>9079.57</v>
      </c>
      <c r="M1337" s="1" t="n">
        <v>2539.86</v>
      </c>
      <c r="N1337" s="1" t="s">
        <v>41</v>
      </c>
      <c r="P1337" s="1" t="n">
        <v>8</v>
      </c>
      <c r="Q1337" s="1" t="s">
        <v>155</v>
      </c>
      <c r="R1337" s="1" t="s">
        <v>74</v>
      </c>
      <c r="S1337" s="6" t="n">
        <v>46096</v>
      </c>
    </row>
    <row r="1338" customFormat="false" ht="14.25" hidden="false" customHeight="true" outlineLevel="0" collapsed="false">
      <c r="A1338" s="1" t="s">
        <v>3797</v>
      </c>
      <c r="B1338" s="1" t="s">
        <v>1617</v>
      </c>
      <c r="C1338" s="1" t="s">
        <v>47</v>
      </c>
      <c r="D1338" s="1" t="s">
        <v>177</v>
      </c>
      <c r="E1338" s="6" t="n">
        <v>46132</v>
      </c>
      <c r="F1338" s="6" t="n">
        <v>46132</v>
      </c>
      <c r="G1338" s="1" t="s">
        <v>108</v>
      </c>
      <c r="H1338" s="1" t="s">
        <v>2955</v>
      </c>
      <c r="I1338" s="1" t="s">
        <v>3798</v>
      </c>
      <c r="J1338" s="1" t="n">
        <v>34659.18</v>
      </c>
      <c r="K1338" s="1" t="n">
        <v>25939.87</v>
      </c>
      <c r="L1338" s="1" t="n">
        <v>22924.43</v>
      </c>
      <c r="M1338" s="1" t="n">
        <v>3015.44</v>
      </c>
      <c r="N1338" s="1" t="s">
        <v>41</v>
      </c>
      <c r="P1338" s="1" t="n">
        <v>2</v>
      </c>
      <c r="Q1338" s="1" t="s">
        <v>155</v>
      </c>
      <c r="R1338" s="1" t="s">
        <v>140</v>
      </c>
      <c r="S1338" s="6" t="n">
        <v>46134</v>
      </c>
    </row>
    <row r="1339" customFormat="false" ht="14.25" hidden="false" customHeight="true" outlineLevel="0" collapsed="false">
      <c r="A1339" s="1" t="s">
        <v>3799</v>
      </c>
      <c r="B1339" s="1" t="s">
        <v>3677</v>
      </c>
      <c r="C1339" s="1" t="s">
        <v>900</v>
      </c>
      <c r="D1339" s="1" t="s">
        <v>145</v>
      </c>
      <c r="E1339" s="6" t="n">
        <v>46100</v>
      </c>
      <c r="F1339" s="6" t="n">
        <v>46099</v>
      </c>
      <c r="G1339" s="1" t="s">
        <v>49</v>
      </c>
      <c r="H1339" s="1" t="s">
        <v>862</v>
      </c>
      <c r="I1339" s="1" t="s">
        <v>3800</v>
      </c>
      <c r="J1339" s="1" t="n">
        <v>10725.91</v>
      </c>
      <c r="K1339" s="1" t="n">
        <v>7196.05</v>
      </c>
      <c r="L1339" s="1" t="n">
        <v>0</v>
      </c>
      <c r="M1339" s="1" t="n">
        <v>7196.05</v>
      </c>
      <c r="N1339" s="1" t="s">
        <v>111</v>
      </c>
      <c r="P1339" s="1" t="n">
        <v>9</v>
      </c>
      <c r="Q1339" s="1" t="s">
        <v>155</v>
      </c>
      <c r="R1339" s="1" t="s">
        <v>43</v>
      </c>
    </row>
    <row r="1340" customFormat="false" ht="14.25" hidden="false" customHeight="true" outlineLevel="0" collapsed="false">
      <c r="A1340" s="1" t="s">
        <v>3801</v>
      </c>
      <c r="B1340" s="1" t="s">
        <v>1421</v>
      </c>
      <c r="C1340" s="1" t="s">
        <v>510</v>
      </c>
      <c r="D1340" s="1" t="s">
        <v>291</v>
      </c>
      <c r="E1340" s="6" t="n">
        <v>46044</v>
      </c>
      <c r="F1340" s="6" t="n">
        <v>46043</v>
      </c>
      <c r="G1340" s="1" t="s">
        <v>38</v>
      </c>
      <c r="H1340" s="1" t="s">
        <v>3802</v>
      </c>
      <c r="I1340" s="1" t="s">
        <v>3803</v>
      </c>
      <c r="J1340" s="1" t="n">
        <v>25728.02</v>
      </c>
      <c r="K1340" s="1" t="n">
        <v>21351.04</v>
      </c>
      <c r="L1340" s="1" t="n">
        <v>0</v>
      </c>
      <c r="M1340" s="1" t="n">
        <v>21351.04</v>
      </c>
      <c r="N1340" s="1" t="s">
        <v>111</v>
      </c>
      <c r="P1340" s="1" t="n">
        <v>13</v>
      </c>
      <c r="Q1340" s="1" t="s">
        <v>42</v>
      </c>
      <c r="R1340" s="1" t="s">
        <v>54</v>
      </c>
    </row>
    <row r="1341" customFormat="false" ht="14.25" hidden="false" customHeight="true" outlineLevel="0" collapsed="false">
      <c r="A1341" s="1" t="s">
        <v>3804</v>
      </c>
      <c r="B1341" s="1" t="s">
        <v>404</v>
      </c>
      <c r="C1341" s="1" t="s">
        <v>58</v>
      </c>
      <c r="D1341" s="1" t="s">
        <v>590</v>
      </c>
      <c r="E1341" s="6" t="n">
        <v>46185</v>
      </c>
      <c r="F1341" s="6" t="n">
        <v>46183</v>
      </c>
      <c r="G1341" s="1" t="s">
        <v>70</v>
      </c>
      <c r="H1341" s="1" t="s">
        <v>3365</v>
      </c>
      <c r="I1341" s="1" t="s">
        <v>3805</v>
      </c>
      <c r="J1341" s="1" t="n">
        <v>48783.67</v>
      </c>
      <c r="K1341" s="1" t="n">
        <v>46001.62</v>
      </c>
      <c r="L1341" s="1" t="n">
        <v>44179.43</v>
      </c>
      <c r="M1341" s="1" t="n">
        <v>1822.19</v>
      </c>
      <c r="N1341" s="1" t="s">
        <v>41</v>
      </c>
      <c r="P1341" s="1" t="n">
        <v>7</v>
      </c>
      <c r="Q1341" s="1" t="s">
        <v>155</v>
      </c>
      <c r="R1341" s="1" t="s">
        <v>74</v>
      </c>
      <c r="S1341" s="6" t="n">
        <v>46192</v>
      </c>
    </row>
    <row r="1342" customFormat="false" ht="14.25" hidden="false" customHeight="true" outlineLevel="0" collapsed="false">
      <c r="A1342" s="1" t="s">
        <v>3806</v>
      </c>
      <c r="B1342" s="1" t="s">
        <v>493</v>
      </c>
      <c r="C1342" s="1" t="s">
        <v>367</v>
      </c>
      <c r="D1342" s="1" t="s">
        <v>189</v>
      </c>
      <c r="E1342" s="6" t="n">
        <v>46111</v>
      </c>
      <c r="F1342" s="6" t="n">
        <v>46108</v>
      </c>
      <c r="G1342" s="1" t="s">
        <v>49</v>
      </c>
      <c r="H1342" s="1" t="s">
        <v>1133</v>
      </c>
      <c r="I1342" s="1" t="s">
        <v>3807</v>
      </c>
      <c r="J1342" s="1" t="n">
        <v>12350.74</v>
      </c>
      <c r="K1342" s="1" t="n">
        <v>9833.7</v>
      </c>
      <c r="L1342" s="1" t="n">
        <v>0</v>
      </c>
      <c r="M1342" s="1" t="n">
        <v>9833.7</v>
      </c>
      <c r="N1342" s="1" t="s">
        <v>52</v>
      </c>
      <c r="O1342" s="1" t="s">
        <v>230</v>
      </c>
      <c r="P1342" s="1" t="n">
        <v>3</v>
      </c>
      <c r="Q1342" s="1" t="s">
        <v>63</v>
      </c>
      <c r="R1342" s="1" t="s">
        <v>74</v>
      </c>
    </row>
    <row r="1343" customFormat="false" ht="14.25" hidden="false" customHeight="true" outlineLevel="0" collapsed="false">
      <c r="A1343" s="1" t="s">
        <v>3808</v>
      </c>
      <c r="B1343" s="1" t="s">
        <v>1201</v>
      </c>
      <c r="C1343" s="1" t="s">
        <v>68</v>
      </c>
      <c r="D1343" s="1" t="s">
        <v>347</v>
      </c>
      <c r="E1343" s="6" t="n">
        <v>46180</v>
      </c>
      <c r="F1343" s="6" t="n">
        <v>46180</v>
      </c>
      <c r="G1343" s="1" t="s">
        <v>108</v>
      </c>
      <c r="H1343" s="1" t="s">
        <v>3809</v>
      </c>
      <c r="I1343" s="1" t="s">
        <v>147</v>
      </c>
      <c r="J1343" s="1" t="n">
        <v>41996.8</v>
      </c>
      <c r="K1343" s="1" t="n">
        <v>38775.82</v>
      </c>
      <c r="L1343" s="1" t="n">
        <v>0</v>
      </c>
      <c r="M1343" s="1" t="n">
        <v>38775.82</v>
      </c>
      <c r="N1343" s="1" t="s">
        <v>111</v>
      </c>
      <c r="P1343" s="1" t="n">
        <v>11</v>
      </c>
      <c r="Q1343" s="1" t="s">
        <v>42</v>
      </c>
      <c r="R1343" s="1" t="s">
        <v>64</v>
      </c>
    </row>
    <row r="1344" customFormat="false" ht="14.25" hidden="false" customHeight="true" outlineLevel="0" collapsed="false">
      <c r="A1344" s="1" t="s">
        <v>3810</v>
      </c>
      <c r="B1344" s="1" t="s">
        <v>417</v>
      </c>
      <c r="C1344" s="1" t="s">
        <v>85</v>
      </c>
      <c r="D1344" s="1" t="s">
        <v>336</v>
      </c>
      <c r="E1344" s="6" t="n">
        <v>46135</v>
      </c>
      <c r="F1344" s="6" t="n">
        <v>46130</v>
      </c>
      <c r="G1344" s="1" t="s">
        <v>108</v>
      </c>
      <c r="H1344" s="1" t="s">
        <v>258</v>
      </c>
      <c r="I1344" s="1" t="s">
        <v>3811</v>
      </c>
      <c r="J1344" s="1" t="n">
        <v>731.96</v>
      </c>
      <c r="K1344" s="1" t="n">
        <v>676.5</v>
      </c>
      <c r="L1344" s="1" t="n">
        <v>557.26</v>
      </c>
      <c r="M1344" s="1" t="n">
        <v>119.24</v>
      </c>
      <c r="N1344" s="1" t="s">
        <v>41</v>
      </c>
      <c r="P1344" s="1" t="n">
        <v>2</v>
      </c>
      <c r="Q1344" s="1" t="s">
        <v>155</v>
      </c>
      <c r="R1344" s="1" t="s">
        <v>54</v>
      </c>
      <c r="S1344" s="6" t="n">
        <v>46137</v>
      </c>
    </row>
    <row r="1345" customFormat="false" ht="14.25" hidden="false" customHeight="true" outlineLevel="0" collapsed="false">
      <c r="A1345" s="1" t="s">
        <v>3812</v>
      </c>
      <c r="B1345" s="1" t="s">
        <v>121</v>
      </c>
      <c r="C1345" s="1" t="s">
        <v>325</v>
      </c>
      <c r="D1345" s="1" t="s">
        <v>590</v>
      </c>
      <c r="E1345" s="6" t="n">
        <v>46053</v>
      </c>
      <c r="F1345" s="6" t="n">
        <v>46049</v>
      </c>
      <c r="G1345" s="1" t="s">
        <v>70</v>
      </c>
      <c r="H1345" s="1" t="s">
        <v>1344</v>
      </c>
      <c r="I1345" s="1" t="s">
        <v>3813</v>
      </c>
      <c r="J1345" s="1" t="n">
        <v>23360.45</v>
      </c>
      <c r="K1345" s="1" t="n">
        <v>21833.54</v>
      </c>
      <c r="L1345" s="1" t="n">
        <v>0</v>
      </c>
      <c r="M1345" s="1" t="n">
        <v>21833.54</v>
      </c>
      <c r="N1345" s="1" t="s">
        <v>260</v>
      </c>
      <c r="P1345" s="1" t="n">
        <v>4</v>
      </c>
      <c r="Q1345" s="1" t="s">
        <v>155</v>
      </c>
      <c r="R1345" s="1" t="s">
        <v>102</v>
      </c>
    </row>
    <row r="1346" customFormat="false" ht="14.25" hidden="false" customHeight="true" outlineLevel="0" collapsed="false">
      <c r="A1346" s="1" t="s">
        <v>3814</v>
      </c>
      <c r="B1346" s="1" t="s">
        <v>1311</v>
      </c>
      <c r="C1346" s="1" t="s">
        <v>85</v>
      </c>
      <c r="D1346" s="1" t="s">
        <v>476</v>
      </c>
      <c r="E1346" s="6" t="n">
        <v>46054</v>
      </c>
      <c r="F1346" s="6" t="n">
        <v>46054</v>
      </c>
      <c r="G1346" s="1" t="s">
        <v>49</v>
      </c>
      <c r="H1346" s="1" t="s">
        <v>2174</v>
      </c>
      <c r="I1346" s="1" t="s">
        <v>3815</v>
      </c>
      <c r="J1346" s="1" t="n">
        <v>28230.72</v>
      </c>
      <c r="K1346" s="1" t="n">
        <v>18360.32</v>
      </c>
      <c r="L1346" s="1" t="n">
        <v>16021.28</v>
      </c>
      <c r="M1346" s="1" t="n">
        <v>2339.04</v>
      </c>
      <c r="N1346" s="1" t="s">
        <v>41</v>
      </c>
      <c r="P1346" s="1" t="n">
        <v>4</v>
      </c>
      <c r="Q1346" s="1" t="s">
        <v>63</v>
      </c>
      <c r="R1346" s="1" t="s">
        <v>140</v>
      </c>
      <c r="S1346" s="6" t="n">
        <v>46058</v>
      </c>
    </row>
    <row r="1347" customFormat="false" ht="14.25" hidden="false" customHeight="true" outlineLevel="0" collapsed="false">
      <c r="A1347" s="1" t="s">
        <v>3816</v>
      </c>
      <c r="B1347" s="1" t="s">
        <v>1177</v>
      </c>
      <c r="C1347" s="1" t="s">
        <v>510</v>
      </c>
      <c r="D1347" s="1" t="s">
        <v>705</v>
      </c>
      <c r="E1347" s="6" t="n">
        <v>46153</v>
      </c>
      <c r="F1347" s="6" t="n">
        <v>46153</v>
      </c>
      <c r="G1347" s="1" t="s">
        <v>49</v>
      </c>
      <c r="H1347" s="1" t="s">
        <v>521</v>
      </c>
      <c r="I1347" s="1" t="s">
        <v>3817</v>
      </c>
      <c r="J1347" s="1" t="n">
        <v>13328.57</v>
      </c>
      <c r="K1347" s="1" t="n">
        <v>9745.54</v>
      </c>
      <c r="L1347" s="1" t="n">
        <v>7591.92</v>
      </c>
      <c r="M1347" s="1" t="n">
        <v>2153.62</v>
      </c>
      <c r="N1347" s="1" t="s">
        <v>41</v>
      </c>
      <c r="P1347" s="1" t="n">
        <v>4</v>
      </c>
      <c r="Q1347" s="1" t="s">
        <v>63</v>
      </c>
      <c r="R1347" s="1" t="s">
        <v>43</v>
      </c>
      <c r="S1347" s="6" t="n">
        <v>46157</v>
      </c>
    </row>
    <row r="1348" customFormat="false" ht="14.25" hidden="false" customHeight="true" outlineLevel="0" collapsed="false">
      <c r="A1348" s="1" t="s">
        <v>3818</v>
      </c>
      <c r="B1348" s="1" t="s">
        <v>3621</v>
      </c>
      <c r="C1348" s="1" t="s">
        <v>459</v>
      </c>
      <c r="D1348" s="1" t="s">
        <v>648</v>
      </c>
      <c r="E1348" s="6" t="n">
        <v>46127</v>
      </c>
      <c r="F1348" s="6" t="n">
        <v>46125</v>
      </c>
      <c r="G1348" s="1" t="s">
        <v>38</v>
      </c>
      <c r="H1348" s="1" t="s">
        <v>240</v>
      </c>
      <c r="I1348" s="1" t="s">
        <v>3819</v>
      </c>
      <c r="J1348" s="1" t="n">
        <v>43097.9</v>
      </c>
      <c r="K1348" s="1" t="n">
        <v>36537.65</v>
      </c>
      <c r="L1348" s="1" t="n">
        <v>0</v>
      </c>
      <c r="M1348" s="1" t="n">
        <v>36537.65</v>
      </c>
      <c r="N1348" s="1" t="s">
        <v>111</v>
      </c>
      <c r="P1348" s="1" t="n">
        <v>13</v>
      </c>
      <c r="Q1348" s="1" t="s">
        <v>63</v>
      </c>
      <c r="R1348" s="1" t="s">
        <v>64</v>
      </c>
    </row>
    <row r="1349" customFormat="false" ht="14.25" hidden="false" customHeight="true" outlineLevel="0" collapsed="false">
      <c r="A1349" s="1" t="s">
        <v>3820</v>
      </c>
      <c r="B1349" s="1" t="s">
        <v>1574</v>
      </c>
      <c r="C1349" s="1" t="s">
        <v>310</v>
      </c>
      <c r="D1349" s="1" t="s">
        <v>799</v>
      </c>
      <c r="E1349" s="6" t="n">
        <v>46156</v>
      </c>
      <c r="F1349" s="6" t="n">
        <v>46153</v>
      </c>
      <c r="G1349" s="1" t="s">
        <v>49</v>
      </c>
      <c r="H1349" s="1" t="s">
        <v>2035</v>
      </c>
      <c r="I1349" s="1" t="s">
        <v>3821</v>
      </c>
      <c r="J1349" s="1" t="n">
        <v>43622.85</v>
      </c>
      <c r="K1349" s="1" t="n">
        <v>38227.56</v>
      </c>
      <c r="L1349" s="1" t="n">
        <v>0</v>
      </c>
      <c r="M1349" s="1" t="n">
        <v>38227.56</v>
      </c>
      <c r="N1349" s="1" t="s">
        <v>52</v>
      </c>
      <c r="O1349" s="1" t="s">
        <v>53</v>
      </c>
      <c r="P1349" s="1" t="n">
        <v>6</v>
      </c>
      <c r="Q1349" s="1" t="s">
        <v>155</v>
      </c>
      <c r="R1349" s="1" t="s">
        <v>43</v>
      </c>
    </row>
    <row r="1350" customFormat="false" ht="14.25" hidden="false" customHeight="true" outlineLevel="0" collapsed="false">
      <c r="A1350" s="1" t="s">
        <v>3822</v>
      </c>
      <c r="B1350" s="1" t="s">
        <v>1805</v>
      </c>
      <c r="C1350" s="1" t="s">
        <v>273</v>
      </c>
      <c r="D1350" s="1" t="s">
        <v>107</v>
      </c>
      <c r="E1350" s="6" t="n">
        <v>46092</v>
      </c>
      <c r="F1350" s="6" t="n">
        <v>46091</v>
      </c>
      <c r="G1350" s="1" t="s">
        <v>70</v>
      </c>
      <c r="H1350" s="1" t="s">
        <v>628</v>
      </c>
      <c r="I1350" s="1" t="s">
        <v>3823</v>
      </c>
      <c r="J1350" s="1" t="n">
        <v>48407.84</v>
      </c>
      <c r="K1350" s="1" t="n">
        <v>43170.75</v>
      </c>
      <c r="L1350" s="1" t="n">
        <v>42737.48</v>
      </c>
      <c r="M1350" s="1" t="n">
        <v>433.27</v>
      </c>
      <c r="N1350" s="1" t="s">
        <v>41</v>
      </c>
      <c r="P1350" s="1" t="n">
        <v>2</v>
      </c>
      <c r="Q1350" s="1" t="s">
        <v>155</v>
      </c>
      <c r="R1350" s="1" t="s">
        <v>102</v>
      </c>
      <c r="S1350" s="6" t="n">
        <v>46094</v>
      </c>
    </row>
    <row r="1351" customFormat="false" ht="14.25" hidden="false" customHeight="true" outlineLevel="0" collapsed="false">
      <c r="A1351" s="1" t="s">
        <v>3824</v>
      </c>
      <c r="B1351" s="1" t="s">
        <v>1108</v>
      </c>
      <c r="C1351" s="1" t="s">
        <v>78</v>
      </c>
      <c r="D1351" s="1" t="s">
        <v>268</v>
      </c>
      <c r="E1351" s="6" t="n">
        <v>46080</v>
      </c>
      <c r="F1351" s="6" t="n">
        <v>46076</v>
      </c>
      <c r="G1351" s="1" t="s">
        <v>70</v>
      </c>
      <c r="H1351" s="1" t="s">
        <v>3825</v>
      </c>
      <c r="I1351" s="1" t="s">
        <v>3826</v>
      </c>
      <c r="J1351" s="1" t="n">
        <v>26374.51</v>
      </c>
      <c r="K1351" s="1" t="n">
        <v>17657.78</v>
      </c>
      <c r="L1351" s="1" t="n">
        <v>15421.5</v>
      </c>
      <c r="M1351" s="1" t="n">
        <v>2236.28</v>
      </c>
      <c r="N1351" s="1" t="s">
        <v>41</v>
      </c>
      <c r="P1351" s="1" t="n">
        <v>8</v>
      </c>
      <c r="Q1351" s="1" t="s">
        <v>42</v>
      </c>
      <c r="R1351" s="1" t="s">
        <v>140</v>
      </c>
      <c r="S1351" s="6" t="n">
        <v>46088</v>
      </c>
    </row>
    <row r="1352" customFormat="false" ht="14.25" hidden="false" customHeight="true" outlineLevel="0" collapsed="false">
      <c r="A1352" s="1" t="s">
        <v>3827</v>
      </c>
      <c r="B1352" s="1" t="s">
        <v>1311</v>
      </c>
      <c r="C1352" s="1" t="s">
        <v>446</v>
      </c>
      <c r="D1352" s="1" t="s">
        <v>305</v>
      </c>
      <c r="E1352" s="6" t="n">
        <v>46080</v>
      </c>
      <c r="F1352" s="6" t="n">
        <v>46077</v>
      </c>
      <c r="G1352" s="1" t="s">
        <v>108</v>
      </c>
      <c r="H1352" s="1" t="s">
        <v>3225</v>
      </c>
      <c r="I1352" s="1" t="s">
        <v>3828</v>
      </c>
      <c r="J1352" s="1" t="n">
        <v>24007.37</v>
      </c>
      <c r="K1352" s="1" t="n">
        <v>15705.08</v>
      </c>
      <c r="L1352" s="1" t="n">
        <v>12764.57</v>
      </c>
      <c r="M1352" s="1" t="n">
        <v>2940.51</v>
      </c>
      <c r="N1352" s="1" t="s">
        <v>41</v>
      </c>
      <c r="P1352" s="1" t="n">
        <v>4</v>
      </c>
      <c r="Q1352" s="1" t="s">
        <v>42</v>
      </c>
      <c r="R1352" s="1" t="s">
        <v>125</v>
      </c>
      <c r="S1352" s="6" t="n">
        <v>46084</v>
      </c>
    </row>
    <row r="1353" customFormat="false" ht="14.25" hidden="false" customHeight="true" outlineLevel="0" collapsed="false">
      <c r="A1353" s="1" t="s">
        <v>3829</v>
      </c>
      <c r="B1353" s="1" t="s">
        <v>850</v>
      </c>
      <c r="C1353" s="1" t="s">
        <v>85</v>
      </c>
      <c r="D1353" s="1" t="s">
        <v>441</v>
      </c>
      <c r="E1353" s="6" t="n">
        <v>46189</v>
      </c>
      <c r="F1353" s="6" t="n">
        <v>46186</v>
      </c>
      <c r="G1353" s="1" t="s">
        <v>108</v>
      </c>
      <c r="H1353" s="1" t="s">
        <v>3830</v>
      </c>
      <c r="I1353" s="1" t="s">
        <v>3831</v>
      </c>
      <c r="J1353" s="1" t="n">
        <v>9721.34</v>
      </c>
      <c r="K1353" s="1" t="n">
        <v>6691.34</v>
      </c>
      <c r="L1353" s="1" t="n">
        <v>0</v>
      </c>
      <c r="M1353" s="1" t="n">
        <v>6691.34</v>
      </c>
      <c r="N1353" s="1" t="s">
        <v>260</v>
      </c>
      <c r="P1353" s="1" t="n">
        <v>3</v>
      </c>
      <c r="Q1353" s="1" t="s">
        <v>42</v>
      </c>
      <c r="R1353" s="1" t="s">
        <v>125</v>
      </c>
    </row>
    <row r="1354" customFormat="false" ht="14.25" hidden="false" customHeight="true" outlineLevel="0" collapsed="false">
      <c r="A1354" s="1" t="s">
        <v>3832</v>
      </c>
      <c r="B1354" s="1" t="s">
        <v>1192</v>
      </c>
      <c r="C1354" s="1" t="s">
        <v>158</v>
      </c>
      <c r="D1354" s="1" t="s">
        <v>93</v>
      </c>
      <c r="E1354" s="6" t="n">
        <v>46067</v>
      </c>
      <c r="F1354" s="6" t="n">
        <v>46066</v>
      </c>
      <c r="G1354" s="1" t="s">
        <v>70</v>
      </c>
      <c r="H1354" s="1" t="s">
        <v>3833</v>
      </c>
      <c r="I1354" s="1" t="s">
        <v>3834</v>
      </c>
      <c r="J1354" s="1" t="n">
        <v>30755.05</v>
      </c>
      <c r="K1354" s="1" t="n">
        <v>26672.27</v>
      </c>
      <c r="L1354" s="1" t="n">
        <v>0</v>
      </c>
      <c r="M1354" s="1" t="n">
        <v>26672.27</v>
      </c>
      <c r="N1354" s="1" t="s">
        <v>52</v>
      </c>
      <c r="O1354" s="1" t="s">
        <v>62</v>
      </c>
      <c r="P1354" s="1" t="n">
        <v>6</v>
      </c>
      <c r="Q1354" s="1" t="s">
        <v>155</v>
      </c>
      <c r="R1354" s="1" t="s">
        <v>54</v>
      </c>
    </row>
    <row r="1355" customFormat="false" ht="14.25" hidden="false" customHeight="true" outlineLevel="0" collapsed="false">
      <c r="A1355" s="1" t="s">
        <v>3835</v>
      </c>
      <c r="B1355" s="1" t="s">
        <v>381</v>
      </c>
      <c r="C1355" s="1" t="s">
        <v>459</v>
      </c>
      <c r="D1355" s="1" t="s">
        <v>287</v>
      </c>
      <c r="E1355" s="6" t="n">
        <v>46042</v>
      </c>
      <c r="F1355" s="6" t="n">
        <v>46037</v>
      </c>
      <c r="G1355" s="1" t="s">
        <v>38</v>
      </c>
      <c r="H1355" s="1" t="s">
        <v>1100</v>
      </c>
      <c r="I1355" s="1" t="s">
        <v>3836</v>
      </c>
      <c r="J1355" s="1" t="n">
        <v>34628.62</v>
      </c>
      <c r="K1355" s="1" t="n">
        <v>31223.23</v>
      </c>
      <c r="L1355" s="1" t="n">
        <v>0</v>
      </c>
      <c r="M1355" s="1" t="n">
        <v>31223.23</v>
      </c>
      <c r="N1355" s="1" t="s">
        <v>111</v>
      </c>
      <c r="P1355" s="1" t="n">
        <v>8</v>
      </c>
      <c r="Q1355" s="1" t="s">
        <v>155</v>
      </c>
      <c r="R1355" s="1" t="s">
        <v>125</v>
      </c>
    </row>
    <row r="1356" customFormat="false" ht="14.25" hidden="false" customHeight="true" outlineLevel="0" collapsed="false">
      <c r="A1356" s="1" t="s">
        <v>3837</v>
      </c>
      <c r="B1356" s="1" t="s">
        <v>2237</v>
      </c>
      <c r="C1356" s="1" t="s">
        <v>273</v>
      </c>
      <c r="D1356" s="1" t="s">
        <v>712</v>
      </c>
      <c r="E1356" s="6" t="n">
        <v>46169</v>
      </c>
      <c r="F1356" s="6" t="n">
        <v>46164</v>
      </c>
      <c r="G1356" s="1" t="s">
        <v>49</v>
      </c>
      <c r="H1356" s="1" t="s">
        <v>2156</v>
      </c>
      <c r="I1356" s="1" t="s">
        <v>3838</v>
      </c>
      <c r="J1356" s="1" t="n">
        <v>31258.52</v>
      </c>
      <c r="K1356" s="1" t="n">
        <v>27019.12</v>
      </c>
      <c r="L1356" s="1" t="n">
        <v>22355.39</v>
      </c>
      <c r="M1356" s="1" t="n">
        <v>4663.73</v>
      </c>
      <c r="N1356" s="1" t="s">
        <v>41</v>
      </c>
      <c r="P1356" s="1" t="n">
        <v>3</v>
      </c>
      <c r="Q1356" s="1" t="s">
        <v>155</v>
      </c>
      <c r="R1356" s="1" t="s">
        <v>74</v>
      </c>
      <c r="S1356" s="6" t="n">
        <v>46172</v>
      </c>
    </row>
    <row r="1357" customFormat="false" ht="14.25" hidden="false" customHeight="true" outlineLevel="0" collapsed="false">
      <c r="A1357" s="1" t="s">
        <v>3839</v>
      </c>
      <c r="B1357" s="1" t="s">
        <v>586</v>
      </c>
      <c r="C1357" s="1" t="s">
        <v>900</v>
      </c>
      <c r="D1357" s="1" t="s">
        <v>116</v>
      </c>
      <c r="E1357" s="6" t="n">
        <v>46124</v>
      </c>
      <c r="F1357" s="6" t="n">
        <v>46122</v>
      </c>
      <c r="G1357" s="1" t="s">
        <v>38</v>
      </c>
      <c r="H1357" s="1" t="s">
        <v>1763</v>
      </c>
      <c r="I1357" s="1" t="s">
        <v>3840</v>
      </c>
      <c r="J1357" s="1" t="n">
        <v>28929.64</v>
      </c>
      <c r="K1357" s="1" t="n">
        <v>20580.71</v>
      </c>
      <c r="L1357" s="1" t="n">
        <v>0</v>
      </c>
      <c r="M1357" s="1" t="n">
        <v>20580.71</v>
      </c>
      <c r="N1357" s="1" t="s">
        <v>52</v>
      </c>
      <c r="O1357" s="1" t="s">
        <v>230</v>
      </c>
      <c r="P1357" s="1" t="n">
        <v>3</v>
      </c>
      <c r="Q1357" s="1" t="s">
        <v>155</v>
      </c>
      <c r="R1357" s="1" t="s">
        <v>102</v>
      </c>
    </row>
    <row r="1358" customFormat="false" ht="14.25" hidden="false" customHeight="true" outlineLevel="0" collapsed="false">
      <c r="A1358" s="1" t="s">
        <v>3841</v>
      </c>
      <c r="B1358" s="1" t="s">
        <v>319</v>
      </c>
      <c r="C1358" s="1" t="s">
        <v>671</v>
      </c>
      <c r="D1358" s="1" t="s">
        <v>732</v>
      </c>
      <c r="E1358" s="6" t="n">
        <v>46205</v>
      </c>
      <c r="F1358" s="6" t="n">
        <v>46200</v>
      </c>
      <c r="G1358" s="1" t="s">
        <v>70</v>
      </c>
      <c r="H1358" s="1" t="s">
        <v>1569</v>
      </c>
      <c r="I1358" s="1" t="s">
        <v>3842</v>
      </c>
      <c r="J1358" s="1" t="n">
        <v>9033.37</v>
      </c>
      <c r="K1358" s="1" t="n">
        <v>6141.82</v>
      </c>
      <c r="L1358" s="1" t="n">
        <v>0</v>
      </c>
      <c r="M1358" s="1" t="n">
        <v>6141.82</v>
      </c>
      <c r="N1358" s="1" t="s">
        <v>111</v>
      </c>
      <c r="P1358" s="1" t="n">
        <v>12</v>
      </c>
      <c r="Q1358" s="1" t="s">
        <v>63</v>
      </c>
      <c r="R1358" s="1" t="s">
        <v>54</v>
      </c>
    </row>
    <row r="1359" customFormat="false" ht="14.25" hidden="false" customHeight="true" outlineLevel="0" collapsed="false">
      <c r="A1359" s="1" t="s">
        <v>3843</v>
      </c>
      <c r="B1359" s="1" t="s">
        <v>1830</v>
      </c>
      <c r="C1359" s="1" t="s">
        <v>296</v>
      </c>
      <c r="D1359" s="1" t="s">
        <v>558</v>
      </c>
      <c r="E1359" s="6" t="n">
        <v>46202</v>
      </c>
      <c r="F1359" s="6" t="n">
        <v>46199</v>
      </c>
      <c r="G1359" s="1" t="s">
        <v>108</v>
      </c>
      <c r="H1359" s="1" t="s">
        <v>3446</v>
      </c>
      <c r="I1359" s="1" t="s">
        <v>3844</v>
      </c>
      <c r="J1359" s="1" t="n">
        <v>24007.11</v>
      </c>
      <c r="K1359" s="1" t="n">
        <v>16679.97</v>
      </c>
      <c r="L1359" s="1" t="n">
        <v>14175.29</v>
      </c>
      <c r="M1359" s="1" t="n">
        <v>2504.68</v>
      </c>
      <c r="N1359" s="1" t="s">
        <v>41</v>
      </c>
      <c r="P1359" s="1" t="n">
        <v>3</v>
      </c>
      <c r="Q1359" s="1" t="s">
        <v>155</v>
      </c>
      <c r="R1359" s="1" t="s">
        <v>43</v>
      </c>
      <c r="S1359" s="6" t="n">
        <v>46205</v>
      </c>
    </row>
    <row r="1360" customFormat="false" ht="14.25" hidden="false" customHeight="true" outlineLevel="0" collapsed="false">
      <c r="A1360" s="1" t="s">
        <v>3845</v>
      </c>
      <c r="B1360" s="1" t="s">
        <v>774</v>
      </c>
      <c r="C1360" s="1" t="s">
        <v>430</v>
      </c>
      <c r="D1360" s="1" t="s">
        <v>1166</v>
      </c>
      <c r="E1360" s="6" t="n">
        <v>46231</v>
      </c>
      <c r="F1360" s="6" t="n">
        <v>46228</v>
      </c>
      <c r="G1360" s="1" t="s">
        <v>108</v>
      </c>
      <c r="H1360" s="1" t="s">
        <v>1362</v>
      </c>
      <c r="I1360" s="1" t="s">
        <v>3846</v>
      </c>
      <c r="J1360" s="1" t="n">
        <v>3968.88</v>
      </c>
      <c r="K1360" s="1" t="n">
        <v>3008.88</v>
      </c>
      <c r="L1360" s="1" t="n">
        <v>0</v>
      </c>
      <c r="M1360" s="1" t="n">
        <v>3008.88</v>
      </c>
      <c r="N1360" s="1" t="s">
        <v>111</v>
      </c>
      <c r="P1360" s="1" t="n">
        <v>10</v>
      </c>
      <c r="Q1360" s="1" t="s">
        <v>63</v>
      </c>
      <c r="R1360" s="1" t="s">
        <v>64</v>
      </c>
    </row>
    <row r="1361" customFormat="false" ht="14.25" hidden="false" customHeight="true" outlineLevel="0" collapsed="false">
      <c r="A1361" s="1" t="s">
        <v>3847</v>
      </c>
      <c r="B1361" s="1" t="s">
        <v>1276</v>
      </c>
      <c r="C1361" s="1" t="s">
        <v>413</v>
      </c>
      <c r="D1361" s="1" t="s">
        <v>287</v>
      </c>
      <c r="E1361" s="6" t="n">
        <v>46103</v>
      </c>
      <c r="F1361" s="6" t="n">
        <v>46103</v>
      </c>
      <c r="G1361" s="1" t="s">
        <v>49</v>
      </c>
      <c r="H1361" s="1" t="s">
        <v>3071</v>
      </c>
      <c r="I1361" s="1" t="s">
        <v>958</v>
      </c>
      <c r="J1361" s="1" t="n">
        <v>24999.17</v>
      </c>
      <c r="K1361" s="1" t="n">
        <v>17273.64</v>
      </c>
      <c r="L1361" s="1" t="n">
        <v>17080.67</v>
      </c>
      <c r="M1361" s="1" t="n">
        <v>192.97</v>
      </c>
      <c r="N1361" s="1" t="s">
        <v>41</v>
      </c>
      <c r="P1361" s="1" t="n">
        <v>1</v>
      </c>
      <c r="Q1361" s="1" t="s">
        <v>155</v>
      </c>
      <c r="R1361" s="1" t="s">
        <v>74</v>
      </c>
      <c r="S1361" s="6" t="n">
        <v>46104</v>
      </c>
    </row>
    <row r="1362" customFormat="false" ht="14.25" hidden="false" customHeight="true" outlineLevel="0" collapsed="false">
      <c r="A1362" s="1" t="s">
        <v>3848</v>
      </c>
      <c r="B1362" s="1" t="s">
        <v>1273</v>
      </c>
      <c r="C1362" s="1" t="s">
        <v>129</v>
      </c>
      <c r="D1362" s="1" t="s">
        <v>876</v>
      </c>
      <c r="E1362" s="6" t="n">
        <v>46139</v>
      </c>
      <c r="F1362" s="6" t="n">
        <v>46138</v>
      </c>
      <c r="G1362" s="1" t="s">
        <v>49</v>
      </c>
      <c r="H1362" s="1" t="s">
        <v>1018</v>
      </c>
      <c r="I1362" s="1" t="s">
        <v>3849</v>
      </c>
      <c r="J1362" s="1" t="n">
        <v>5903.28</v>
      </c>
      <c r="K1362" s="1" t="n">
        <v>4794.41</v>
      </c>
      <c r="L1362" s="1" t="n">
        <v>4052.09</v>
      </c>
      <c r="M1362" s="1" t="n">
        <v>742.32</v>
      </c>
      <c r="N1362" s="1" t="s">
        <v>41</v>
      </c>
      <c r="P1362" s="1" t="n">
        <v>1</v>
      </c>
      <c r="Q1362" s="1" t="s">
        <v>155</v>
      </c>
      <c r="R1362" s="1" t="s">
        <v>54</v>
      </c>
      <c r="S1362" s="6" t="n">
        <v>46140</v>
      </c>
    </row>
    <row r="1363" customFormat="false" ht="14.25" hidden="false" customHeight="true" outlineLevel="0" collapsed="false">
      <c r="A1363" s="1" t="s">
        <v>3850</v>
      </c>
      <c r="B1363" s="1" t="s">
        <v>1244</v>
      </c>
      <c r="C1363" s="1" t="s">
        <v>367</v>
      </c>
      <c r="D1363" s="1" t="s">
        <v>137</v>
      </c>
      <c r="E1363" s="6" t="n">
        <v>46031</v>
      </c>
      <c r="F1363" s="6" t="n">
        <v>46029</v>
      </c>
      <c r="G1363" s="1" t="s">
        <v>38</v>
      </c>
      <c r="H1363" s="1" t="s">
        <v>3851</v>
      </c>
      <c r="I1363" s="1" t="s">
        <v>3852</v>
      </c>
      <c r="J1363" s="1" t="n">
        <v>46141.44</v>
      </c>
      <c r="K1363" s="1" t="n">
        <v>40698.7</v>
      </c>
      <c r="L1363" s="1" t="n">
        <v>38088.71</v>
      </c>
      <c r="M1363" s="1" t="n">
        <v>2609.99</v>
      </c>
      <c r="N1363" s="1" t="s">
        <v>41</v>
      </c>
      <c r="P1363" s="1" t="n">
        <v>2</v>
      </c>
      <c r="Q1363" s="1" t="s">
        <v>63</v>
      </c>
      <c r="R1363" s="1" t="s">
        <v>125</v>
      </c>
      <c r="S1363" s="6" t="n">
        <v>46033</v>
      </c>
    </row>
    <row r="1364" customFormat="false" ht="14.25" hidden="false" customHeight="true" outlineLevel="0" collapsed="false">
      <c r="A1364" s="1" t="s">
        <v>3853</v>
      </c>
      <c r="B1364" s="1" t="s">
        <v>1221</v>
      </c>
      <c r="C1364" s="1" t="s">
        <v>376</v>
      </c>
      <c r="D1364" s="1" t="s">
        <v>984</v>
      </c>
      <c r="E1364" s="6" t="n">
        <v>46027</v>
      </c>
      <c r="F1364" s="6" t="n">
        <v>46024</v>
      </c>
      <c r="G1364" s="1" t="s">
        <v>38</v>
      </c>
      <c r="H1364" s="1" t="s">
        <v>3854</v>
      </c>
      <c r="I1364" s="1" t="s">
        <v>3855</v>
      </c>
      <c r="J1364" s="1" t="n">
        <v>12621.48</v>
      </c>
      <c r="K1364" s="1" t="n">
        <v>8407.65</v>
      </c>
      <c r="L1364" s="1" t="n">
        <v>8362.19</v>
      </c>
      <c r="M1364" s="1" t="n">
        <v>45.46</v>
      </c>
      <c r="N1364" s="1" t="s">
        <v>41</v>
      </c>
      <c r="P1364" s="1" t="n">
        <v>4</v>
      </c>
      <c r="Q1364" s="1" t="s">
        <v>155</v>
      </c>
      <c r="R1364" s="1" t="s">
        <v>74</v>
      </c>
      <c r="S1364" s="6" t="n">
        <v>46031</v>
      </c>
    </row>
    <row r="1365" customFormat="false" ht="14.25" hidden="false" customHeight="true" outlineLevel="0" collapsed="false">
      <c r="A1365" s="1" t="s">
        <v>3856</v>
      </c>
      <c r="B1365" s="1" t="s">
        <v>366</v>
      </c>
      <c r="C1365" s="1" t="s">
        <v>623</v>
      </c>
      <c r="D1365" s="1" t="s">
        <v>377</v>
      </c>
      <c r="E1365" s="6" t="n">
        <v>46124</v>
      </c>
      <c r="F1365" s="6" t="n">
        <v>46124</v>
      </c>
      <c r="G1365" s="1" t="s">
        <v>108</v>
      </c>
      <c r="H1365" s="1" t="s">
        <v>109</v>
      </c>
      <c r="I1365" s="1" t="s">
        <v>3857</v>
      </c>
      <c r="J1365" s="1" t="n">
        <v>9463.64</v>
      </c>
      <c r="K1365" s="1" t="n">
        <v>8738.83</v>
      </c>
      <c r="L1365" s="1" t="n">
        <v>7143.73</v>
      </c>
      <c r="M1365" s="1" t="n">
        <v>1595.1</v>
      </c>
      <c r="N1365" s="1" t="s">
        <v>41</v>
      </c>
      <c r="P1365" s="1" t="n">
        <v>2</v>
      </c>
      <c r="Q1365" s="1" t="s">
        <v>63</v>
      </c>
      <c r="R1365" s="1" t="s">
        <v>74</v>
      </c>
      <c r="S1365" s="6" t="n">
        <v>46126</v>
      </c>
    </row>
    <row r="1366" customFormat="false" ht="14.25" hidden="false" customHeight="true" outlineLevel="0" collapsed="false">
      <c r="A1366" s="1" t="s">
        <v>3858</v>
      </c>
      <c r="B1366" s="1" t="s">
        <v>1239</v>
      </c>
      <c r="C1366" s="1" t="s">
        <v>136</v>
      </c>
      <c r="D1366" s="1" t="s">
        <v>239</v>
      </c>
      <c r="E1366" s="6" t="n">
        <v>46236</v>
      </c>
      <c r="F1366" s="6" t="n">
        <v>46233</v>
      </c>
      <c r="G1366" s="1" t="s">
        <v>70</v>
      </c>
      <c r="H1366" s="1" t="s">
        <v>352</v>
      </c>
      <c r="I1366" s="1" t="s">
        <v>3859</v>
      </c>
      <c r="J1366" s="1" t="n">
        <v>23985.79</v>
      </c>
      <c r="K1366" s="1" t="n">
        <v>16888.12</v>
      </c>
      <c r="L1366" s="1" t="n">
        <v>0</v>
      </c>
      <c r="M1366" s="1" t="n">
        <v>16888.12</v>
      </c>
      <c r="N1366" s="1" t="s">
        <v>52</v>
      </c>
      <c r="O1366" s="1" t="s">
        <v>265</v>
      </c>
      <c r="P1366" s="1" t="n">
        <v>1</v>
      </c>
      <c r="Q1366" s="1" t="s">
        <v>155</v>
      </c>
      <c r="R1366" s="1" t="s">
        <v>140</v>
      </c>
    </row>
    <row r="1367" customFormat="false" ht="14.25" hidden="false" customHeight="true" outlineLevel="0" collapsed="false">
      <c r="A1367" s="1" t="s">
        <v>3860</v>
      </c>
      <c r="B1367" s="1" t="s">
        <v>875</v>
      </c>
      <c r="C1367" s="1" t="s">
        <v>144</v>
      </c>
      <c r="D1367" s="1" t="s">
        <v>1170</v>
      </c>
      <c r="E1367" s="6" t="n">
        <v>46146</v>
      </c>
      <c r="F1367" s="6" t="n">
        <v>46143</v>
      </c>
      <c r="G1367" s="1" t="s">
        <v>70</v>
      </c>
      <c r="H1367" s="1" t="s">
        <v>3861</v>
      </c>
      <c r="I1367" s="1" t="s">
        <v>3862</v>
      </c>
      <c r="J1367" s="1" t="n">
        <v>23548.13</v>
      </c>
      <c r="K1367" s="1" t="n">
        <v>21087.41</v>
      </c>
      <c r="L1367" s="1" t="n">
        <v>19612.35</v>
      </c>
      <c r="M1367" s="1" t="n">
        <v>1475.06</v>
      </c>
      <c r="N1367" s="1" t="s">
        <v>41</v>
      </c>
      <c r="P1367" s="1" t="n">
        <v>1</v>
      </c>
      <c r="Q1367" s="1" t="s">
        <v>63</v>
      </c>
      <c r="R1367" s="1" t="s">
        <v>54</v>
      </c>
      <c r="S1367" s="6" t="n">
        <v>46147</v>
      </c>
    </row>
    <row r="1368" customFormat="false" ht="14.25" hidden="false" customHeight="true" outlineLevel="0" collapsed="false">
      <c r="A1368" s="1" t="s">
        <v>3863</v>
      </c>
      <c r="B1368" s="1" t="s">
        <v>834</v>
      </c>
      <c r="C1368" s="1" t="s">
        <v>279</v>
      </c>
      <c r="D1368" s="1" t="s">
        <v>400</v>
      </c>
      <c r="E1368" s="6" t="n">
        <v>46120</v>
      </c>
      <c r="F1368" s="6" t="n">
        <v>46120</v>
      </c>
      <c r="G1368" s="1" t="s">
        <v>49</v>
      </c>
      <c r="H1368" s="1" t="s">
        <v>862</v>
      </c>
      <c r="I1368" s="1" t="s">
        <v>3864</v>
      </c>
      <c r="J1368" s="1" t="n">
        <v>5761.88</v>
      </c>
      <c r="K1368" s="1" t="n">
        <v>4898.89</v>
      </c>
      <c r="L1368" s="1" t="n">
        <v>4065.67</v>
      </c>
      <c r="M1368" s="1" t="n">
        <v>833.22</v>
      </c>
      <c r="N1368" s="1" t="s">
        <v>41</v>
      </c>
      <c r="P1368" s="1" t="n">
        <v>2</v>
      </c>
      <c r="Q1368" s="1" t="s">
        <v>42</v>
      </c>
      <c r="R1368" s="1" t="s">
        <v>64</v>
      </c>
      <c r="S1368" s="6" t="n">
        <v>46122</v>
      </c>
    </row>
    <row r="1369" customFormat="false" ht="14.25" hidden="false" customHeight="true" outlineLevel="0" collapsed="false">
      <c r="A1369" s="1" t="s">
        <v>3865</v>
      </c>
      <c r="B1369" s="1" t="s">
        <v>3168</v>
      </c>
      <c r="C1369" s="1" t="s">
        <v>413</v>
      </c>
      <c r="D1369" s="1" t="s">
        <v>717</v>
      </c>
      <c r="E1369" s="6" t="n">
        <v>46232</v>
      </c>
      <c r="F1369" s="6" t="n">
        <v>46228</v>
      </c>
      <c r="G1369" s="1" t="s">
        <v>108</v>
      </c>
      <c r="H1369" s="1" t="s">
        <v>209</v>
      </c>
      <c r="I1369" s="1" t="s">
        <v>3866</v>
      </c>
      <c r="J1369" s="1" t="n">
        <v>13137.31</v>
      </c>
      <c r="K1369" s="1" t="n">
        <v>10730.57</v>
      </c>
      <c r="L1369" s="1" t="n">
        <v>0</v>
      </c>
      <c r="M1369" s="1" t="n">
        <v>10730.57</v>
      </c>
      <c r="N1369" s="1" t="s">
        <v>52</v>
      </c>
      <c r="O1369" s="1" t="s">
        <v>265</v>
      </c>
      <c r="P1369" s="1" t="n">
        <v>7</v>
      </c>
      <c r="Q1369" s="1" t="s">
        <v>42</v>
      </c>
      <c r="R1369" s="1" t="s">
        <v>102</v>
      </c>
    </row>
    <row r="1370" customFormat="false" ht="14.25" hidden="false" customHeight="true" outlineLevel="0" collapsed="false">
      <c r="A1370" s="1" t="s">
        <v>3867</v>
      </c>
      <c r="B1370" s="1" t="s">
        <v>2325</v>
      </c>
      <c r="C1370" s="1" t="s">
        <v>367</v>
      </c>
      <c r="D1370" s="1" t="s">
        <v>511</v>
      </c>
      <c r="E1370" s="6" t="n">
        <v>46105</v>
      </c>
      <c r="F1370" s="6" t="n">
        <v>46102</v>
      </c>
      <c r="G1370" s="1" t="s">
        <v>108</v>
      </c>
      <c r="H1370" s="1" t="s">
        <v>321</v>
      </c>
      <c r="I1370" s="1" t="s">
        <v>3868</v>
      </c>
      <c r="J1370" s="1" t="n">
        <v>25803.01</v>
      </c>
      <c r="K1370" s="1" t="n">
        <v>18557.95</v>
      </c>
      <c r="L1370" s="1" t="n">
        <v>17726.85</v>
      </c>
      <c r="M1370" s="1" t="n">
        <v>831.1</v>
      </c>
      <c r="N1370" s="1" t="s">
        <v>41</v>
      </c>
      <c r="P1370" s="1" t="n">
        <v>2</v>
      </c>
      <c r="Q1370" s="1" t="s">
        <v>42</v>
      </c>
      <c r="R1370" s="1" t="s">
        <v>125</v>
      </c>
      <c r="S1370" s="6" t="n">
        <v>46107</v>
      </c>
    </row>
    <row r="1371" customFormat="false" ht="14.25" hidden="false" customHeight="true" outlineLevel="0" collapsed="false">
      <c r="A1371" s="1" t="s">
        <v>3869</v>
      </c>
      <c r="B1371" s="1" t="s">
        <v>2202</v>
      </c>
      <c r="C1371" s="1" t="s">
        <v>446</v>
      </c>
      <c r="D1371" s="1" t="s">
        <v>227</v>
      </c>
      <c r="E1371" s="6" t="n">
        <v>46169</v>
      </c>
      <c r="F1371" s="6" t="n">
        <v>46168</v>
      </c>
      <c r="G1371" s="1" t="s">
        <v>38</v>
      </c>
      <c r="H1371" s="1" t="s">
        <v>2984</v>
      </c>
      <c r="I1371" s="1" t="s">
        <v>3870</v>
      </c>
      <c r="J1371" s="1" t="n">
        <v>15388.39</v>
      </c>
      <c r="K1371" s="1" t="n">
        <v>10234.9</v>
      </c>
      <c r="L1371" s="1" t="n">
        <v>9137.92</v>
      </c>
      <c r="M1371" s="1" t="n">
        <v>1096.98</v>
      </c>
      <c r="N1371" s="1" t="s">
        <v>41</v>
      </c>
      <c r="P1371" s="1" t="n">
        <v>4</v>
      </c>
      <c r="Q1371" s="1" t="s">
        <v>63</v>
      </c>
      <c r="R1371" s="1" t="s">
        <v>140</v>
      </c>
      <c r="S1371" s="6" t="n">
        <v>46173</v>
      </c>
    </row>
    <row r="1372" customFormat="false" ht="14.25" hidden="false" customHeight="true" outlineLevel="0" collapsed="false">
      <c r="A1372" s="1" t="s">
        <v>3871</v>
      </c>
      <c r="B1372" s="1" t="s">
        <v>128</v>
      </c>
      <c r="C1372" s="1" t="s">
        <v>244</v>
      </c>
      <c r="D1372" s="1" t="s">
        <v>511</v>
      </c>
      <c r="E1372" s="6" t="n">
        <v>46098</v>
      </c>
      <c r="F1372" s="6" t="n">
        <v>46094</v>
      </c>
      <c r="G1372" s="1" t="s">
        <v>49</v>
      </c>
      <c r="H1372" s="1" t="s">
        <v>675</v>
      </c>
      <c r="I1372" s="1" t="s">
        <v>1439</v>
      </c>
      <c r="J1372" s="1" t="n">
        <v>22133.79</v>
      </c>
      <c r="K1372" s="1" t="n">
        <v>17368.7</v>
      </c>
      <c r="L1372" s="1" t="n">
        <v>17154.13</v>
      </c>
      <c r="M1372" s="1" t="n">
        <v>214.57</v>
      </c>
      <c r="N1372" s="1" t="s">
        <v>41</v>
      </c>
      <c r="P1372" s="1" t="n">
        <v>3</v>
      </c>
      <c r="Q1372" s="1" t="s">
        <v>63</v>
      </c>
      <c r="R1372" s="1" t="s">
        <v>140</v>
      </c>
      <c r="S1372" s="6" t="n">
        <v>46101</v>
      </c>
    </row>
    <row r="1373" customFormat="false" ht="14.25" hidden="false" customHeight="true" outlineLevel="0" collapsed="false">
      <c r="A1373" s="1" t="s">
        <v>3872</v>
      </c>
      <c r="B1373" s="1" t="s">
        <v>1368</v>
      </c>
      <c r="C1373" s="1" t="s">
        <v>151</v>
      </c>
      <c r="D1373" s="1" t="s">
        <v>291</v>
      </c>
      <c r="E1373" s="6" t="n">
        <v>46065</v>
      </c>
      <c r="F1373" s="6" t="n">
        <v>46060</v>
      </c>
      <c r="G1373" s="1" t="s">
        <v>70</v>
      </c>
      <c r="H1373" s="1" t="s">
        <v>3088</v>
      </c>
      <c r="I1373" s="1" t="s">
        <v>3873</v>
      </c>
      <c r="J1373" s="1" t="n">
        <v>8824.54</v>
      </c>
      <c r="K1373" s="1" t="n">
        <v>8377.68</v>
      </c>
      <c r="L1373" s="1" t="n">
        <v>0</v>
      </c>
      <c r="M1373" s="1" t="n">
        <v>8377.68</v>
      </c>
      <c r="N1373" s="1" t="s">
        <v>52</v>
      </c>
      <c r="O1373" s="1" t="s">
        <v>62</v>
      </c>
      <c r="P1373" s="1" t="n">
        <v>4</v>
      </c>
      <c r="Q1373" s="1" t="s">
        <v>155</v>
      </c>
      <c r="R1373" s="1" t="s">
        <v>54</v>
      </c>
    </row>
    <row r="1374" customFormat="false" ht="14.25" hidden="false" customHeight="true" outlineLevel="0" collapsed="false">
      <c r="A1374" s="1" t="s">
        <v>3874</v>
      </c>
      <c r="B1374" s="1" t="s">
        <v>1462</v>
      </c>
      <c r="C1374" s="1" t="s">
        <v>198</v>
      </c>
      <c r="D1374" s="1" t="s">
        <v>418</v>
      </c>
      <c r="E1374" s="6" t="n">
        <v>46038</v>
      </c>
      <c r="F1374" s="6" t="n">
        <v>46038</v>
      </c>
      <c r="G1374" s="1" t="s">
        <v>108</v>
      </c>
      <c r="H1374" s="1" t="s">
        <v>3875</v>
      </c>
      <c r="I1374" s="1" t="s">
        <v>3876</v>
      </c>
      <c r="J1374" s="1" t="n">
        <v>26190.36</v>
      </c>
      <c r="K1374" s="1" t="n">
        <v>18977.54</v>
      </c>
      <c r="L1374" s="1" t="n">
        <v>15617.05</v>
      </c>
      <c r="M1374" s="1" t="n">
        <v>3360.49</v>
      </c>
      <c r="N1374" s="1" t="s">
        <v>41</v>
      </c>
      <c r="P1374" s="1" t="n">
        <v>7</v>
      </c>
      <c r="Q1374" s="1" t="s">
        <v>155</v>
      </c>
      <c r="R1374" s="1" t="s">
        <v>64</v>
      </c>
      <c r="S1374" s="6" t="n">
        <v>46045</v>
      </c>
    </row>
    <row r="1375" customFormat="false" ht="14.25" hidden="false" customHeight="true" outlineLevel="0" collapsed="false">
      <c r="A1375" s="1" t="s">
        <v>3877</v>
      </c>
      <c r="B1375" s="1" t="s">
        <v>872</v>
      </c>
      <c r="C1375" s="1" t="s">
        <v>151</v>
      </c>
      <c r="D1375" s="1" t="s">
        <v>705</v>
      </c>
      <c r="E1375" s="6" t="n">
        <v>46160</v>
      </c>
      <c r="F1375" s="6" t="n">
        <v>46156</v>
      </c>
      <c r="G1375" s="1" t="s">
        <v>108</v>
      </c>
      <c r="H1375" s="1" t="s">
        <v>2102</v>
      </c>
      <c r="I1375" s="1" t="s">
        <v>3878</v>
      </c>
      <c r="J1375" s="1" t="n">
        <v>28622.34</v>
      </c>
      <c r="K1375" s="1" t="n">
        <v>19377.16</v>
      </c>
      <c r="L1375" s="1" t="n">
        <v>0</v>
      </c>
      <c r="M1375" s="1" t="n">
        <v>19377.16</v>
      </c>
      <c r="N1375" s="1" t="s">
        <v>52</v>
      </c>
      <c r="O1375" s="1" t="s">
        <v>53</v>
      </c>
      <c r="P1375" s="1" t="n">
        <v>5</v>
      </c>
      <c r="Q1375" s="1" t="s">
        <v>155</v>
      </c>
      <c r="R1375" s="1" t="s">
        <v>140</v>
      </c>
    </row>
    <row r="1376" customFormat="false" ht="14.25" hidden="false" customHeight="true" outlineLevel="0" collapsed="false">
      <c r="A1376" s="1" t="s">
        <v>3879</v>
      </c>
      <c r="B1376" s="1" t="s">
        <v>1770</v>
      </c>
      <c r="C1376" s="1" t="s">
        <v>335</v>
      </c>
      <c r="D1376" s="1" t="s">
        <v>305</v>
      </c>
      <c r="E1376" s="6" t="n">
        <v>46201</v>
      </c>
      <c r="F1376" s="6" t="n">
        <v>46198</v>
      </c>
      <c r="G1376" s="1" t="s">
        <v>70</v>
      </c>
      <c r="H1376" s="1" t="s">
        <v>1689</v>
      </c>
      <c r="I1376" s="1" t="s">
        <v>3880</v>
      </c>
      <c r="J1376" s="1" t="n">
        <v>23108.94</v>
      </c>
      <c r="K1376" s="1" t="n">
        <v>20786.51</v>
      </c>
      <c r="L1376" s="1" t="n">
        <v>19088.53</v>
      </c>
      <c r="M1376" s="1" t="n">
        <v>1697.98</v>
      </c>
      <c r="N1376" s="1" t="s">
        <v>41</v>
      </c>
      <c r="P1376" s="1" t="n">
        <v>8</v>
      </c>
      <c r="Q1376" s="1" t="s">
        <v>155</v>
      </c>
      <c r="R1376" s="1" t="s">
        <v>125</v>
      </c>
      <c r="S1376" s="6" t="n">
        <v>46209</v>
      </c>
    </row>
    <row r="1377" customFormat="false" ht="14.25" hidden="false" customHeight="true" outlineLevel="0" collapsed="false">
      <c r="A1377" s="1" t="s">
        <v>3881</v>
      </c>
      <c r="B1377" s="1" t="s">
        <v>1789</v>
      </c>
      <c r="C1377" s="1" t="s">
        <v>198</v>
      </c>
      <c r="D1377" s="1" t="s">
        <v>538</v>
      </c>
      <c r="E1377" s="6" t="n">
        <v>46166</v>
      </c>
      <c r="F1377" s="6" t="n">
        <v>46163</v>
      </c>
      <c r="G1377" s="1" t="s">
        <v>108</v>
      </c>
      <c r="H1377" s="1" t="s">
        <v>843</v>
      </c>
      <c r="I1377" s="1" t="s">
        <v>3882</v>
      </c>
      <c r="J1377" s="1" t="n">
        <v>13271.65</v>
      </c>
      <c r="K1377" s="1" t="n">
        <v>9601.82</v>
      </c>
      <c r="L1377" s="1" t="n">
        <v>7322.98</v>
      </c>
      <c r="M1377" s="1" t="n">
        <v>2278.84</v>
      </c>
      <c r="N1377" s="1" t="s">
        <v>41</v>
      </c>
      <c r="P1377" s="1" t="n">
        <v>5</v>
      </c>
      <c r="Q1377" s="1" t="s">
        <v>63</v>
      </c>
      <c r="R1377" s="1" t="s">
        <v>54</v>
      </c>
      <c r="S1377" s="6" t="n">
        <v>46171</v>
      </c>
    </row>
    <row r="1378" customFormat="false" ht="14.25" hidden="false" customHeight="true" outlineLevel="0" collapsed="false">
      <c r="A1378" s="1" t="s">
        <v>3883</v>
      </c>
      <c r="B1378" s="1" t="s">
        <v>3574</v>
      </c>
      <c r="C1378" s="1" t="s">
        <v>115</v>
      </c>
      <c r="D1378" s="1" t="s">
        <v>476</v>
      </c>
      <c r="E1378" s="6" t="n">
        <v>46051</v>
      </c>
      <c r="F1378" s="6" t="n">
        <v>46047</v>
      </c>
      <c r="G1378" s="1" t="s">
        <v>70</v>
      </c>
      <c r="H1378" s="1" t="s">
        <v>2625</v>
      </c>
      <c r="I1378" s="1" t="s">
        <v>3884</v>
      </c>
      <c r="J1378" s="1" t="n">
        <v>16257.87</v>
      </c>
      <c r="K1378" s="1" t="n">
        <v>13797.17</v>
      </c>
      <c r="L1378" s="1" t="n">
        <v>0</v>
      </c>
      <c r="M1378" s="1" t="n">
        <v>13797.17</v>
      </c>
      <c r="N1378" s="1" t="s">
        <v>52</v>
      </c>
      <c r="O1378" s="1" t="s">
        <v>230</v>
      </c>
      <c r="P1378" s="1" t="n">
        <v>6</v>
      </c>
      <c r="Q1378" s="1" t="s">
        <v>155</v>
      </c>
      <c r="R1378" s="1" t="s">
        <v>74</v>
      </c>
    </row>
    <row r="1379" customFormat="false" ht="14.25" hidden="false" customHeight="true" outlineLevel="0" collapsed="false">
      <c r="A1379" s="1" t="s">
        <v>3885</v>
      </c>
      <c r="B1379" s="1" t="s">
        <v>885</v>
      </c>
      <c r="C1379" s="1" t="s">
        <v>346</v>
      </c>
      <c r="D1379" s="1" t="s">
        <v>757</v>
      </c>
      <c r="E1379" s="6" t="n">
        <v>46094</v>
      </c>
      <c r="F1379" s="6" t="n">
        <v>46089</v>
      </c>
      <c r="G1379" s="1" t="s">
        <v>70</v>
      </c>
      <c r="H1379" s="1" t="s">
        <v>3886</v>
      </c>
      <c r="I1379" s="1" t="s">
        <v>3887</v>
      </c>
      <c r="J1379" s="1" t="n">
        <v>18469.43</v>
      </c>
      <c r="K1379" s="1" t="n">
        <v>13800.04</v>
      </c>
      <c r="L1379" s="1" t="n">
        <v>11175.18</v>
      </c>
      <c r="M1379" s="1" t="n">
        <v>2624.86</v>
      </c>
      <c r="N1379" s="1" t="s">
        <v>41</v>
      </c>
      <c r="P1379" s="1" t="n">
        <v>7</v>
      </c>
      <c r="Q1379" s="1" t="s">
        <v>63</v>
      </c>
      <c r="R1379" s="1" t="s">
        <v>64</v>
      </c>
      <c r="S1379" s="6" t="n">
        <v>46101</v>
      </c>
    </row>
    <row r="1380" customFormat="false" ht="14.25" hidden="false" customHeight="true" outlineLevel="0" collapsed="false">
      <c r="A1380" s="1" t="s">
        <v>3888</v>
      </c>
      <c r="B1380" s="1" t="s">
        <v>3889</v>
      </c>
      <c r="C1380" s="1" t="s">
        <v>468</v>
      </c>
      <c r="D1380" s="1" t="s">
        <v>165</v>
      </c>
      <c r="E1380" s="6" t="n">
        <v>46205</v>
      </c>
      <c r="F1380" s="6" t="n">
        <v>46203</v>
      </c>
      <c r="G1380" s="1" t="s">
        <v>70</v>
      </c>
      <c r="H1380" s="1" t="s">
        <v>2606</v>
      </c>
      <c r="I1380" s="1" t="s">
        <v>3890</v>
      </c>
      <c r="J1380" s="1" t="n">
        <v>21881.15</v>
      </c>
      <c r="K1380" s="1" t="n">
        <v>15196.04</v>
      </c>
      <c r="L1380" s="1" t="n">
        <v>0</v>
      </c>
      <c r="M1380" s="1" t="n">
        <v>15196.04</v>
      </c>
      <c r="N1380" s="1" t="s">
        <v>52</v>
      </c>
      <c r="O1380" s="1" t="s">
        <v>53</v>
      </c>
      <c r="P1380" s="1" t="n">
        <v>1</v>
      </c>
      <c r="Q1380" s="1" t="s">
        <v>155</v>
      </c>
      <c r="R1380" s="1" t="s">
        <v>74</v>
      </c>
    </row>
    <row r="1381" customFormat="false" ht="14.25" hidden="false" customHeight="true" outlineLevel="0" collapsed="false">
      <c r="A1381" s="1" t="s">
        <v>3891</v>
      </c>
      <c r="B1381" s="1" t="s">
        <v>497</v>
      </c>
      <c r="C1381" s="1" t="s">
        <v>300</v>
      </c>
      <c r="D1381" s="1" t="s">
        <v>678</v>
      </c>
      <c r="E1381" s="6" t="n">
        <v>46224</v>
      </c>
      <c r="F1381" s="6" t="n">
        <v>46220</v>
      </c>
      <c r="G1381" s="1" t="s">
        <v>70</v>
      </c>
      <c r="H1381" s="1" t="s">
        <v>3088</v>
      </c>
      <c r="I1381" s="1" t="s">
        <v>3892</v>
      </c>
      <c r="J1381" s="1" t="n">
        <v>34591.56</v>
      </c>
      <c r="K1381" s="1" t="n">
        <v>24064.04</v>
      </c>
      <c r="L1381" s="1" t="n">
        <v>0</v>
      </c>
      <c r="M1381" s="1" t="n">
        <v>24064.04</v>
      </c>
      <c r="N1381" s="1" t="s">
        <v>52</v>
      </c>
      <c r="O1381" s="1" t="s">
        <v>265</v>
      </c>
      <c r="P1381" s="1" t="n">
        <v>3</v>
      </c>
      <c r="Q1381" s="1" t="s">
        <v>63</v>
      </c>
      <c r="R1381" s="1" t="s">
        <v>140</v>
      </c>
    </row>
    <row r="1382" customFormat="false" ht="14.25" hidden="false" customHeight="true" outlineLevel="0" collapsed="false">
      <c r="A1382" s="1" t="s">
        <v>3893</v>
      </c>
      <c r="B1382" s="1" t="s">
        <v>1260</v>
      </c>
      <c r="C1382" s="1" t="s">
        <v>244</v>
      </c>
      <c r="D1382" s="1" t="s">
        <v>291</v>
      </c>
      <c r="E1382" s="6" t="n">
        <v>46035</v>
      </c>
      <c r="F1382" s="6" t="n">
        <v>46031</v>
      </c>
      <c r="G1382" s="1" t="s">
        <v>38</v>
      </c>
      <c r="H1382" s="1" t="s">
        <v>1010</v>
      </c>
      <c r="I1382" s="1" t="s">
        <v>3894</v>
      </c>
      <c r="J1382" s="1" t="n">
        <v>44418.51</v>
      </c>
      <c r="K1382" s="1" t="n">
        <v>35493.24</v>
      </c>
      <c r="L1382" s="1" t="n">
        <v>32732.11</v>
      </c>
      <c r="M1382" s="1" t="n">
        <v>2761.13</v>
      </c>
      <c r="N1382" s="1" t="s">
        <v>41</v>
      </c>
      <c r="P1382" s="1" t="n">
        <v>3</v>
      </c>
      <c r="Q1382" s="1" t="s">
        <v>155</v>
      </c>
      <c r="R1382" s="1" t="s">
        <v>140</v>
      </c>
      <c r="S1382" s="6" t="n">
        <v>46038</v>
      </c>
    </row>
    <row r="1383" customFormat="false" ht="14.25" hidden="false" customHeight="true" outlineLevel="0" collapsed="false">
      <c r="A1383" s="1" t="s">
        <v>3895</v>
      </c>
      <c r="B1383" s="1" t="s">
        <v>304</v>
      </c>
      <c r="C1383" s="1" t="s">
        <v>221</v>
      </c>
      <c r="D1383" s="1" t="s">
        <v>799</v>
      </c>
      <c r="E1383" s="6" t="n">
        <v>46114</v>
      </c>
      <c r="F1383" s="6" t="n">
        <v>46111</v>
      </c>
      <c r="G1383" s="1" t="s">
        <v>108</v>
      </c>
      <c r="H1383" s="1" t="s">
        <v>3896</v>
      </c>
      <c r="I1383" s="1" t="s">
        <v>3897</v>
      </c>
      <c r="J1383" s="1" t="n">
        <v>15085.63</v>
      </c>
      <c r="K1383" s="1" t="n">
        <v>10527.37</v>
      </c>
      <c r="L1383" s="1" t="n">
        <v>8144.77</v>
      </c>
      <c r="M1383" s="1" t="n">
        <v>2382.6</v>
      </c>
      <c r="N1383" s="1" t="s">
        <v>41</v>
      </c>
      <c r="P1383" s="1" t="n">
        <v>3</v>
      </c>
      <c r="Q1383" s="1" t="s">
        <v>42</v>
      </c>
      <c r="R1383" s="1" t="s">
        <v>43</v>
      </c>
      <c r="S1383" s="6" t="n">
        <v>46117</v>
      </c>
    </row>
    <row r="1384" customFormat="false" ht="14.25" hidden="false" customHeight="true" outlineLevel="0" collapsed="false">
      <c r="A1384" s="1" t="s">
        <v>3898</v>
      </c>
      <c r="B1384" s="1" t="s">
        <v>1073</v>
      </c>
      <c r="C1384" s="1" t="s">
        <v>367</v>
      </c>
      <c r="D1384" s="1" t="s">
        <v>152</v>
      </c>
      <c r="E1384" s="6" t="n">
        <v>46045</v>
      </c>
      <c r="F1384" s="6" t="n">
        <v>46040</v>
      </c>
      <c r="G1384" s="1" t="s">
        <v>108</v>
      </c>
      <c r="H1384" s="1" t="s">
        <v>2861</v>
      </c>
      <c r="I1384" s="1" t="s">
        <v>3899</v>
      </c>
      <c r="J1384" s="1" t="n">
        <v>31761.56</v>
      </c>
      <c r="K1384" s="1" t="n">
        <v>23764.29</v>
      </c>
      <c r="L1384" s="1" t="n">
        <v>21176.72</v>
      </c>
      <c r="M1384" s="1" t="n">
        <v>2587.57</v>
      </c>
      <c r="N1384" s="1" t="s">
        <v>41</v>
      </c>
      <c r="P1384" s="1" t="n">
        <v>5</v>
      </c>
      <c r="Q1384" s="1" t="s">
        <v>155</v>
      </c>
      <c r="R1384" s="1" t="s">
        <v>54</v>
      </c>
      <c r="S1384" s="6" t="n">
        <v>46050</v>
      </c>
    </row>
    <row r="1385" customFormat="false" ht="14.25" hidden="false" customHeight="true" outlineLevel="0" collapsed="false">
      <c r="A1385" s="1" t="s">
        <v>3900</v>
      </c>
      <c r="B1385" s="1" t="s">
        <v>1251</v>
      </c>
      <c r="C1385" s="1" t="s">
        <v>436</v>
      </c>
      <c r="D1385" s="1" t="s">
        <v>1166</v>
      </c>
      <c r="E1385" s="6" t="n">
        <v>46093</v>
      </c>
      <c r="F1385" s="6" t="n">
        <v>46090</v>
      </c>
      <c r="G1385" s="1" t="s">
        <v>108</v>
      </c>
      <c r="H1385" s="1" t="s">
        <v>3901</v>
      </c>
      <c r="I1385" s="1" t="s">
        <v>3902</v>
      </c>
      <c r="J1385" s="1" t="n">
        <v>3162.21</v>
      </c>
      <c r="K1385" s="1" t="n">
        <v>2176.66</v>
      </c>
      <c r="L1385" s="1" t="n">
        <v>1764.35</v>
      </c>
      <c r="M1385" s="1" t="n">
        <v>412.31</v>
      </c>
      <c r="N1385" s="1" t="s">
        <v>41</v>
      </c>
      <c r="P1385" s="1" t="n">
        <v>3</v>
      </c>
      <c r="Q1385" s="1" t="s">
        <v>155</v>
      </c>
      <c r="R1385" s="1" t="s">
        <v>140</v>
      </c>
      <c r="S1385" s="6" t="n">
        <v>46096</v>
      </c>
    </row>
    <row r="1386" customFormat="false" ht="14.25" hidden="false" customHeight="true" outlineLevel="0" collapsed="false">
      <c r="A1386" s="1" t="s">
        <v>3903</v>
      </c>
      <c r="B1386" s="1" t="s">
        <v>1583</v>
      </c>
      <c r="C1386" s="1" t="s">
        <v>346</v>
      </c>
      <c r="D1386" s="1" t="s">
        <v>331</v>
      </c>
      <c r="E1386" s="6" t="n">
        <v>46173</v>
      </c>
      <c r="F1386" s="6" t="n">
        <v>46168</v>
      </c>
      <c r="G1386" s="1" t="s">
        <v>70</v>
      </c>
      <c r="H1386" s="1" t="s">
        <v>1445</v>
      </c>
      <c r="I1386" s="1" t="s">
        <v>820</v>
      </c>
      <c r="J1386" s="1" t="n">
        <v>31543.76</v>
      </c>
      <c r="K1386" s="1" t="n">
        <v>21153.03</v>
      </c>
      <c r="L1386" s="1" t="n">
        <v>0</v>
      </c>
      <c r="M1386" s="1" t="n">
        <v>21153.03</v>
      </c>
      <c r="N1386" s="1" t="s">
        <v>260</v>
      </c>
      <c r="P1386" s="1" t="n">
        <v>2</v>
      </c>
      <c r="Q1386" s="1" t="s">
        <v>155</v>
      </c>
      <c r="R1386" s="1" t="s">
        <v>43</v>
      </c>
    </row>
    <row r="1387" customFormat="false" ht="14.25" hidden="false" customHeight="true" outlineLevel="0" collapsed="false">
      <c r="A1387" s="1" t="s">
        <v>3904</v>
      </c>
      <c r="B1387" s="1" t="s">
        <v>46</v>
      </c>
      <c r="C1387" s="1" t="s">
        <v>335</v>
      </c>
      <c r="D1387" s="1" t="s">
        <v>222</v>
      </c>
      <c r="E1387" s="6" t="n">
        <v>46214</v>
      </c>
      <c r="F1387" s="6" t="n">
        <v>46211</v>
      </c>
      <c r="G1387" s="1" t="s">
        <v>108</v>
      </c>
      <c r="H1387" s="1" t="s">
        <v>3905</v>
      </c>
      <c r="I1387" s="1" t="s">
        <v>393</v>
      </c>
      <c r="J1387" s="1" t="n">
        <v>16592.56</v>
      </c>
      <c r="K1387" s="1" t="n">
        <v>15542.52</v>
      </c>
      <c r="L1387" s="1" t="n">
        <v>14656.22</v>
      </c>
      <c r="M1387" s="1" t="n">
        <v>886.3</v>
      </c>
      <c r="N1387" s="1" t="s">
        <v>41</v>
      </c>
      <c r="P1387" s="1" t="n">
        <v>5</v>
      </c>
      <c r="Q1387" s="1" t="s">
        <v>42</v>
      </c>
      <c r="R1387" s="1" t="s">
        <v>140</v>
      </c>
      <c r="S1387" s="6" t="n">
        <v>46219</v>
      </c>
    </row>
    <row r="1388" customFormat="false" ht="14.25" hidden="false" customHeight="true" outlineLevel="0" collapsed="false">
      <c r="A1388" s="1" t="s">
        <v>3906</v>
      </c>
      <c r="B1388" s="1" t="s">
        <v>1805</v>
      </c>
      <c r="C1388" s="1" t="s">
        <v>516</v>
      </c>
      <c r="D1388" s="1" t="s">
        <v>122</v>
      </c>
      <c r="E1388" s="6" t="n">
        <v>46062</v>
      </c>
      <c r="F1388" s="6" t="n">
        <v>46059</v>
      </c>
      <c r="G1388" s="1" t="s">
        <v>70</v>
      </c>
      <c r="H1388" s="1" t="s">
        <v>3907</v>
      </c>
      <c r="I1388" s="1" t="s">
        <v>3908</v>
      </c>
      <c r="J1388" s="1" t="n">
        <v>11328.77</v>
      </c>
      <c r="K1388" s="1" t="n">
        <v>9518.48</v>
      </c>
      <c r="L1388" s="1" t="n">
        <v>8049.82</v>
      </c>
      <c r="M1388" s="1" t="n">
        <v>1468.66</v>
      </c>
      <c r="N1388" s="1" t="s">
        <v>41</v>
      </c>
      <c r="P1388" s="1" t="n">
        <v>1</v>
      </c>
      <c r="Q1388" s="1" t="s">
        <v>63</v>
      </c>
      <c r="R1388" s="1" t="s">
        <v>43</v>
      </c>
      <c r="S1388" s="6" t="n">
        <v>46063</v>
      </c>
    </row>
    <row r="1389" customFormat="false" ht="14.25" hidden="false" customHeight="true" outlineLevel="0" collapsed="false">
      <c r="A1389" s="1" t="s">
        <v>3909</v>
      </c>
      <c r="B1389" s="1" t="s">
        <v>445</v>
      </c>
      <c r="C1389" s="1" t="s">
        <v>85</v>
      </c>
      <c r="D1389" s="1" t="s">
        <v>855</v>
      </c>
      <c r="E1389" s="6" t="n">
        <v>46212</v>
      </c>
      <c r="F1389" s="6" t="n">
        <v>46207</v>
      </c>
      <c r="G1389" s="1" t="s">
        <v>70</v>
      </c>
      <c r="H1389" s="1" t="s">
        <v>3910</v>
      </c>
      <c r="I1389" s="1" t="s">
        <v>3911</v>
      </c>
      <c r="J1389" s="1" t="n">
        <v>49160.26</v>
      </c>
      <c r="K1389" s="1" t="n">
        <v>46171.89</v>
      </c>
      <c r="L1389" s="1" t="n">
        <v>0</v>
      </c>
      <c r="M1389" s="1" t="n">
        <v>46171.89</v>
      </c>
      <c r="N1389" s="1" t="s">
        <v>52</v>
      </c>
      <c r="O1389" s="1" t="s">
        <v>62</v>
      </c>
      <c r="P1389" s="1" t="n">
        <v>5</v>
      </c>
      <c r="Q1389" s="1" t="s">
        <v>155</v>
      </c>
      <c r="R1389" s="1" t="s">
        <v>43</v>
      </c>
    </row>
    <row r="1390" customFormat="false" ht="14.25" hidden="false" customHeight="true" outlineLevel="0" collapsed="false">
      <c r="A1390" s="1" t="s">
        <v>3912</v>
      </c>
      <c r="B1390" s="1" t="s">
        <v>1251</v>
      </c>
      <c r="C1390" s="1" t="s">
        <v>188</v>
      </c>
      <c r="D1390" s="1" t="s">
        <v>216</v>
      </c>
      <c r="E1390" s="6" t="n">
        <v>46131</v>
      </c>
      <c r="F1390" s="6" t="n">
        <v>46127</v>
      </c>
      <c r="G1390" s="1" t="s">
        <v>49</v>
      </c>
      <c r="H1390" s="1" t="s">
        <v>2203</v>
      </c>
      <c r="I1390" s="1" t="s">
        <v>3913</v>
      </c>
      <c r="J1390" s="1" t="n">
        <v>47039.96</v>
      </c>
      <c r="K1390" s="1" t="n">
        <v>41256.81</v>
      </c>
      <c r="L1390" s="1" t="n">
        <v>38672.62</v>
      </c>
      <c r="M1390" s="1" t="n">
        <v>2584.19</v>
      </c>
      <c r="N1390" s="1" t="s">
        <v>41</v>
      </c>
      <c r="P1390" s="1" t="n">
        <v>3</v>
      </c>
      <c r="Q1390" s="1" t="s">
        <v>42</v>
      </c>
      <c r="R1390" s="1" t="s">
        <v>43</v>
      </c>
      <c r="S1390" s="6" t="n">
        <v>46134</v>
      </c>
    </row>
    <row r="1391" customFormat="false" ht="14.25" hidden="false" customHeight="true" outlineLevel="0" collapsed="false">
      <c r="A1391" s="1" t="s">
        <v>3914</v>
      </c>
      <c r="B1391" s="1" t="s">
        <v>1528</v>
      </c>
      <c r="C1391" s="1" t="s">
        <v>144</v>
      </c>
      <c r="D1391" s="1" t="s">
        <v>876</v>
      </c>
      <c r="E1391" s="6" t="n">
        <v>46135</v>
      </c>
      <c r="F1391" s="6" t="n">
        <v>46130</v>
      </c>
      <c r="G1391" s="1" t="s">
        <v>49</v>
      </c>
      <c r="H1391" s="1" t="s">
        <v>1599</v>
      </c>
      <c r="I1391" s="1" t="s">
        <v>3915</v>
      </c>
      <c r="J1391" s="1" t="n">
        <v>46779.9</v>
      </c>
      <c r="K1391" s="1" t="n">
        <v>43484.94</v>
      </c>
      <c r="L1391" s="1" t="n">
        <v>0</v>
      </c>
      <c r="M1391" s="1" t="n">
        <v>43484.94</v>
      </c>
      <c r="N1391" s="1" t="s">
        <v>52</v>
      </c>
      <c r="O1391" s="1" t="s">
        <v>265</v>
      </c>
      <c r="P1391" s="1" t="n">
        <v>7</v>
      </c>
      <c r="Q1391" s="1" t="s">
        <v>63</v>
      </c>
      <c r="R1391" s="1" t="s">
        <v>64</v>
      </c>
    </row>
    <row r="1392" customFormat="false" ht="14.25" hidden="false" customHeight="true" outlineLevel="0" collapsed="false">
      <c r="A1392" s="1" t="s">
        <v>3916</v>
      </c>
      <c r="B1392" s="1" t="s">
        <v>2697</v>
      </c>
      <c r="C1392" s="1" t="s">
        <v>58</v>
      </c>
      <c r="D1392" s="1" t="s">
        <v>305</v>
      </c>
      <c r="E1392" s="6" t="n">
        <v>46096</v>
      </c>
      <c r="F1392" s="6" t="n">
        <v>46092</v>
      </c>
      <c r="G1392" s="1" t="s">
        <v>108</v>
      </c>
      <c r="H1392" s="1" t="s">
        <v>3917</v>
      </c>
      <c r="I1392" s="1" t="s">
        <v>3918</v>
      </c>
      <c r="J1392" s="1" t="n">
        <v>23620.54</v>
      </c>
      <c r="K1392" s="1" t="n">
        <v>15923.93</v>
      </c>
      <c r="L1392" s="1" t="n">
        <v>12578.49</v>
      </c>
      <c r="M1392" s="1" t="n">
        <v>3345.44</v>
      </c>
      <c r="N1392" s="1" t="s">
        <v>41</v>
      </c>
      <c r="P1392" s="1" t="n">
        <v>1</v>
      </c>
      <c r="Q1392" s="1" t="s">
        <v>42</v>
      </c>
      <c r="R1392" s="1" t="s">
        <v>102</v>
      </c>
      <c r="S1392" s="6" t="n">
        <v>46097</v>
      </c>
    </row>
    <row r="1393" customFormat="false" ht="14.25" hidden="false" customHeight="true" outlineLevel="0" collapsed="false">
      <c r="A1393" s="1" t="s">
        <v>3919</v>
      </c>
      <c r="B1393" s="1" t="s">
        <v>533</v>
      </c>
      <c r="C1393" s="1" t="s">
        <v>543</v>
      </c>
      <c r="D1393" s="1" t="s">
        <v>130</v>
      </c>
      <c r="E1393" s="6" t="n">
        <v>46155</v>
      </c>
      <c r="F1393" s="6" t="n">
        <v>46151</v>
      </c>
      <c r="G1393" s="1" t="s">
        <v>70</v>
      </c>
      <c r="H1393" s="1" t="s">
        <v>2479</v>
      </c>
      <c r="I1393" s="1" t="s">
        <v>3920</v>
      </c>
      <c r="J1393" s="1" t="n">
        <v>15416.19</v>
      </c>
      <c r="K1393" s="1" t="n">
        <v>10693.78</v>
      </c>
      <c r="L1393" s="1" t="n">
        <v>8649.38</v>
      </c>
      <c r="M1393" s="1" t="n">
        <v>2044.4</v>
      </c>
      <c r="N1393" s="1" t="s">
        <v>41</v>
      </c>
      <c r="P1393" s="1" t="n">
        <v>5</v>
      </c>
      <c r="Q1393" s="1" t="s">
        <v>42</v>
      </c>
      <c r="R1393" s="1" t="s">
        <v>125</v>
      </c>
      <c r="S1393" s="6" t="n">
        <v>46160</v>
      </c>
    </row>
    <row r="1394" customFormat="false" ht="14.25" hidden="false" customHeight="true" outlineLevel="0" collapsed="false">
      <c r="A1394" s="1" t="s">
        <v>3921</v>
      </c>
      <c r="B1394" s="1" t="s">
        <v>463</v>
      </c>
      <c r="C1394" s="1" t="s">
        <v>446</v>
      </c>
      <c r="D1394" s="1" t="s">
        <v>964</v>
      </c>
      <c r="E1394" s="6" t="n">
        <v>46123</v>
      </c>
      <c r="F1394" s="6" t="n">
        <v>46119</v>
      </c>
      <c r="G1394" s="1" t="s">
        <v>70</v>
      </c>
      <c r="H1394" s="1" t="s">
        <v>2295</v>
      </c>
      <c r="I1394" s="1" t="s">
        <v>2967</v>
      </c>
      <c r="J1394" s="1" t="n">
        <v>5967.91</v>
      </c>
      <c r="K1394" s="1" t="n">
        <v>4034.69</v>
      </c>
      <c r="L1394" s="1" t="n">
        <v>3823.5</v>
      </c>
      <c r="M1394" s="1" t="n">
        <v>211.19</v>
      </c>
      <c r="N1394" s="1" t="s">
        <v>41</v>
      </c>
      <c r="P1394" s="1" t="n">
        <v>7</v>
      </c>
      <c r="Q1394" s="1" t="s">
        <v>63</v>
      </c>
      <c r="R1394" s="1" t="s">
        <v>64</v>
      </c>
      <c r="S1394" s="6" t="n">
        <v>46130</v>
      </c>
    </row>
    <row r="1395" customFormat="false" ht="14.25" hidden="false" customHeight="true" outlineLevel="0" collapsed="false">
      <c r="A1395" s="1" t="s">
        <v>3922</v>
      </c>
      <c r="B1395" s="1" t="s">
        <v>764</v>
      </c>
      <c r="C1395" s="1" t="s">
        <v>92</v>
      </c>
      <c r="D1395" s="1" t="s">
        <v>377</v>
      </c>
      <c r="E1395" s="6" t="n">
        <v>46225</v>
      </c>
      <c r="F1395" s="6" t="n">
        <v>46224</v>
      </c>
      <c r="G1395" s="1" t="s">
        <v>49</v>
      </c>
      <c r="H1395" s="1" t="s">
        <v>482</v>
      </c>
      <c r="I1395" s="1" t="s">
        <v>3923</v>
      </c>
      <c r="J1395" s="1" t="n">
        <v>20283.64</v>
      </c>
      <c r="K1395" s="1" t="n">
        <v>17388.9</v>
      </c>
      <c r="L1395" s="1" t="n">
        <v>16523.93</v>
      </c>
      <c r="M1395" s="1" t="n">
        <v>864.97</v>
      </c>
      <c r="N1395" s="1" t="s">
        <v>41</v>
      </c>
      <c r="P1395" s="1" t="n">
        <v>2</v>
      </c>
      <c r="Q1395" s="1" t="s">
        <v>42</v>
      </c>
      <c r="R1395" s="1" t="s">
        <v>64</v>
      </c>
      <c r="S1395" s="6" t="n">
        <v>46227</v>
      </c>
    </row>
    <row r="1396" customFormat="false" ht="14.25" hidden="false" customHeight="true" outlineLevel="0" collapsed="false">
      <c r="A1396" s="1" t="s">
        <v>3924</v>
      </c>
      <c r="B1396" s="1" t="s">
        <v>739</v>
      </c>
      <c r="C1396" s="1" t="s">
        <v>215</v>
      </c>
      <c r="D1396" s="1" t="s">
        <v>865</v>
      </c>
      <c r="E1396" s="6" t="n">
        <v>46047</v>
      </c>
      <c r="F1396" s="6" t="n">
        <v>46043</v>
      </c>
      <c r="G1396" s="1" t="s">
        <v>70</v>
      </c>
      <c r="H1396" s="1" t="s">
        <v>2067</v>
      </c>
      <c r="I1396" s="1" t="s">
        <v>3925</v>
      </c>
      <c r="J1396" s="1" t="n">
        <v>12829.34</v>
      </c>
      <c r="K1396" s="1" t="n">
        <v>11638.17</v>
      </c>
      <c r="L1396" s="1" t="n">
        <v>9976.92</v>
      </c>
      <c r="M1396" s="1" t="n">
        <v>1661.25</v>
      </c>
      <c r="N1396" s="1" t="s">
        <v>41</v>
      </c>
      <c r="P1396" s="1" t="n">
        <v>5</v>
      </c>
      <c r="Q1396" s="1" t="s">
        <v>155</v>
      </c>
      <c r="R1396" s="1" t="s">
        <v>74</v>
      </c>
      <c r="S1396" s="6" t="n">
        <v>46052</v>
      </c>
    </row>
    <row r="1397" customFormat="false" ht="14.25" hidden="false" customHeight="true" outlineLevel="0" collapsed="false">
      <c r="A1397" s="1" t="s">
        <v>3926</v>
      </c>
      <c r="B1397" s="1" t="s">
        <v>872</v>
      </c>
      <c r="C1397" s="1" t="s">
        <v>85</v>
      </c>
      <c r="D1397" s="1" t="s">
        <v>558</v>
      </c>
      <c r="E1397" s="6" t="n">
        <v>46043</v>
      </c>
      <c r="F1397" s="6" t="n">
        <v>46039</v>
      </c>
      <c r="G1397" s="1" t="s">
        <v>108</v>
      </c>
      <c r="H1397" s="1" t="s">
        <v>575</v>
      </c>
      <c r="I1397" s="1" t="s">
        <v>3927</v>
      </c>
      <c r="J1397" s="1" t="n">
        <v>29540.98</v>
      </c>
      <c r="K1397" s="1" t="n">
        <v>22921.81</v>
      </c>
      <c r="L1397" s="1" t="n">
        <v>17324.3</v>
      </c>
      <c r="M1397" s="1" t="n">
        <v>5597.51</v>
      </c>
      <c r="N1397" s="1" t="s">
        <v>41</v>
      </c>
      <c r="P1397" s="1" t="n">
        <v>7</v>
      </c>
      <c r="Q1397" s="1" t="s">
        <v>155</v>
      </c>
      <c r="R1397" s="1" t="s">
        <v>54</v>
      </c>
      <c r="S1397" s="6" t="n">
        <v>46050</v>
      </c>
    </row>
    <row r="1398" customFormat="false" ht="14.25" hidden="false" customHeight="true" outlineLevel="0" collapsed="false">
      <c r="A1398" s="1" t="s">
        <v>3928</v>
      </c>
      <c r="B1398" s="1" t="s">
        <v>1786</v>
      </c>
      <c r="C1398" s="1" t="s">
        <v>623</v>
      </c>
      <c r="D1398" s="1" t="s">
        <v>216</v>
      </c>
      <c r="E1398" s="6" t="n">
        <v>46069</v>
      </c>
      <c r="F1398" s="6" t="n">
        <v>46069</v>
      </c>
      <c r="G1398" s="1" t="s">
        <v>38</v>
      </c>
      <c r="H1398" s="1" t="s">
        <v>723</v>
      </c>
      <c r="I1398" s="1" t="s">
        <v>3929</v>
      </c>
      <c r="J1398" s="1" t="n">
        <v>43969.05</v>
      </c>
      <c r="K1398" s="1" t="n">
        <v>32682.22</v>
      </c>
      <c r="L1398" s="1" t="n">
        <v>29875.73</v>
      </c>
      <c r="M1398" s="1" t="n">
        <v>2806.49</v>
      </c>
      <c r="N1398" s="1" t="s">
        <v>41</v>
      </c>
      <c r="P1398" s="1" t="n">
        <v>5</v>
      </c>
      <c r="Q1398" s="1" t="s">
        <v>155</v>
      </c>
      <c r="R1398" s="1" t="s">
        <v>74</v>
      </c>
      <c r="S1398" s="6" t="n">
        <v>46074</v>
      </c>
    </row>
    <row r="1399" customFormat="false" ht="14.25" hidden="false" customHeight="true" outlineLevel="0" collapsed="false">
      <c r="A1399" s="1" t="s">
        <v>3930</v>
      </c>
      <c r="B1399" s="1" t="s">
        <v>193</v>
      </c>
      <c r="C1399" s="1" t="s">
        <v>296</v>
      </c>
      <c r="D1399" s="1" t="s">
        <v>189</v>
      </c>
      <c r="E1399" s="6" t="n">
        <v>46125</v>
      </c>
      <c r="F1399" s="6" t="n">
        <v>46125</v>
      </c>
      <c r="G1399" s="1" t="s">
        <v>49</v>
      </c>
      <c r="H1399" s="1" t="s">
        <v>3931</v>
      </c>
      <c r="I1399" s="1" t="s">
        <v>3932</v>
      </c>
      <c r="J1399" s="1" t="n">
        <v>37326.72</v>
      </c>
      <c r="K1399" s="1" t="n">
        <v>30173.72</v>
      </c>
      <c r="L1399" s="1" t="n">
        <v>22661.91</v>
      </c>
      <c r="M1399" s="1" t="n">
        <v>7511.81</v>
      </c>
      <c r="N1399" s="1" t="s">
        <v>41</v>
      </c>
      <c r="P1399" s="1" t="n">
        <v>4</v>
      </c>
      <c r="Q1399" s="1" t="s">
        <v>155</v>
      </c>
      <c r="R1399" s="1" t="s">
        <v>140</v>
      </c>
      <c r="S1399" s="6" t="n">
        <v>46129</v>
      </c>
    </row>
    <row r="1400" customFormat="false" ht="14.25" hidden="false" customHeight="true" outlineLevel="0" collapsed="false">
      <c r="A1400" s="1" t="s">
        <v>3933</v>
      </c>
      <c r="B1400" s="1" t="s">
        <v>1225</v>
      </c>
      <c r="C1400" s="1" t="s">
        <v>436</v>
      </c>
      <c r="D1400" s="1" t="s">
        <v>712</v>
      </c>
      <c r="E1400" s="6" t="n">
        <v>46043</v>
      </c>
      <c r="F1400" s="6" t="n">
        <v>46038</v>
      </c>
      <c r="G1400" s="1" t="s">
        <v>108</v>
      </c>
      <c r="H1400" s="1" t="s">
        <v>3934</v>
      </c>
      <c r="I1400" s="1" t="s">
        <v>830</v>
      </c>
      <c r="J1400" s="1" t="n">
        <v>29936.39</v>
      </c>
      <c r="K1400" s="1" t="n">
        <v>24404.97</v>
      </c>
      <c r="L1400" s="1" t="n">
        <v>21917.05</v>
      </c>
      <c r="M1400" s="1" t="n">
        <v>2487.92</v>
      </c>
      <c r="N1400" s="1" t="s">
        <v>41</v>
      </c>
      <c r="P1400" s="1" t="n">
        <v>1</v>
      </c>
      <c r="Q1400" s="1" t="s">
        <v>63</v>
      </c>
      <c r="R1400" s="1" t="s">
        <v>43</v>
      </c>
      <c r="S1400" s="6" t="n">
        <v>46044</v>
      </c>
    </row>
    <row r="1401" customFormat="false" ht="14.25" hidden="false" customHeight="true" outlineLevel="0" collapsed="false">
      <c r="A1401" s="1" t="s">
        <v>3935</v>
      </c>
      <c r="B1401" s="1" t="s">
        <v>1408</v>
      </c>
      <c r="C1401" s="1" t="s">
        <v>136</v>
      </c>
      <c r="D1401" s="1" t="s">
        <v>368</v>
      </c>
      <c r="E1401" s="6" t="n">
        <v>46231</v>
      </c>
      <c r="F1401" s="6" t="n">
        <v>46231</v>
      </c>
      <c r="G1401" s="1" t="s">
        <v>108</v>
      </c>
      <c r="H1401" s="1" t="s">
        <v>2498</v>
      </c>
      <c r="I1401" s="1" t="s">
        <v>3936</v>
      </c>
      <c r="J1401" s="1" t="n">
        <v>37635.52</v>
      </c>
      <c r="K1401" s="1" t="n">
        <v>30067.57</v>
      </c>
      <c r="L1401" s="1" t="n">
        <v>23294.11</v>
      </c>
      <c r="M1401" s="1" t="n">
        <v>6773.46</v>
      </c>
      <c r="N1401" s="1" t="s">
        <v>41</v>
      </c>
      <c r="P1401" s="1" t="n">
        <v>8</v>
      </c>
      <c r="Q1401" s="1" t="s">
        <v>155</v>
      </c>
      <c r="R1401" s="1" t="s">
        <v>125</v>
      </c>
      <c r="S1401" s="6" t="n">
        <v>46239</v>
      </c>
    </row>
    <row r="1402" customFormat="false" ht="14.25" hidden="false" customHeight="true" outlineLevel="0" collapsed="false">
      <c r="A1402" s="1" t="s">
        <v>3937</v>
      </c>
      <c r="B1402" s="1" t="s">
        <v>243</v>
      </c>
      <c r="C1402" s="1" t="s">
        <v>85</v>
      </c>
      <c r="D1402" s="1" t="s">
        <v>189</v>
      </c>
      <c r="E1402" s="6" t="n">
        <v>46118</v>
      </c>
      <c r="F1402" s="6" t="n">
        <v>46113</v>
      </c>
      <c r="G1402" s="1" t="s">
        <v>70</v>
      </c>
      <c r="H1402" s="1" t="s">
        <v>1094</v>
      </c>
      <c r="I1402" s="1" t="s">
        <v>3938</v>
      </c>
      <c r="J1402" s="1" t="n">
        <v>48899.58</v>
      </c>
      <c r="K1402" s="1" t="n">
        <v>46317.06</v>
      </c>
      <c r="L1402" s="1" t="n">
        <v>0</v>
      </c>
      <c r="M1402" s="1" t="n">
        <v>46317.06</v>
      </c>
      <c r="N1402" s="1" t="s">
        <v>111</v>
      </c>
      <c r="P1402" s="1" t="n">
        <v>15</v>
      </c>
      <c r="Q1402" s="1" t="s">
        <v>42</v>
      </c>
      <c r="R1402" s="1" t="s">
        <v>102</v>
      </c>
    </row>
    <row r="1403" customFormat="false" ht="14.25" hidden="false" customHeight="true" outlineLevel="0" collapsed="false">
      <c r="A1403" s="1" t="s">
        <v>3939</v>
      </c>
      <c r="B1403" s="1" t="s">
        <v>84</v>
      </c>
      <c r="C1403" s="1" t="s">
        <v>215</v>
      </c>
      <c r="D1403" s="1" t="s">
        <v>574</v>
      </c>
      <c r="E1403" s="6" t="n">
        <v>46116</v>
      </c>
      <c r="F1403" s="6" t="n">
        <v>46116</v>
      </c>
      <c r="G1403" s="1" t="s">
        <v>38</v>
      </c>
      <c r="H1403" s="1" t="s">
        <v>1331</v>
      </c>
      <c r="I1403" s="1" t="s">
        <v>3940</v>
      </c>
      <c r="J1403" s="1" t="n">
        <v>4313.55</v>
      </c>
      <c r="K1403" s="1" t="n">
        <v>4043.79</v>
      </c>
      <c r="L1403" s="1" t="n">
        <v>0</v>
      </c>
      <c r="M1403" s="1" t="n">
        <v>4043.79</v>
      </c>
      <c r="N1403" s="1" t="s">
        <v>111</v>
      </c>
      <c r="P1403" s="1" t="n">
        <v>9</v>
      </c>
      <c r="Q1403" s="1" t="s">
        <v>155</v>
      </c>
      <c r="R1403" s="1" t="s">
        <v>43</v>
      </c>
    </row>
    <row r="1404" customFormat="false" ht="14.25" hidden="false" customHeight="true" outlineLevel="0" collapsed="false">
      <c r="A1404" s="1" t="s">
        <v>3941</v>
      </c>
      <c r="B1404" s="1" t="s">
        <v>1025</v>
      </c>
      <c r="C1404" s="1" t="s">
        <v>310</v>
      </c>
      <c r="D1404" s="1" t="s">
        <v>391</v>
      </c>
      <c r="E1404" s="6" t="n">
        <v>46069</v>
      </c>
      <c r="F1404" s="6" t="n">
        <v>46065</v>
      </c>
      <c r="G1404" s="1" t="s">
        <v>108</v>
      </c>
      <c r="H1404" s="1" t="s">
        <v>596</v>
      </c>
      <c r="I1404" s="1" t="s">
        <v>3942</v>
      </c>
      <c r="J1404" s="1" t="n">
        <v>43427.8</v>
      </c>
      <c r="K1404" s="1" t="n">
        <v>34007.97</v>
      </c>
      <c r="L1404" s="1" t="n">
        <v>31837.22</v>
      </c>
      <c r="M1404" s="1" t="n">
        <v>2170.75</v>
      </c>
      <c r="N1404" s="1" t="s">
        <v>41</v>
      </c>
      <c r="P1404" s="1" t="n">
        <v>8</v>
      </c>
      <c r="Q1404" s="1" t="s">
        <v>63</v>
      </c>
      <c r="R1404" s="1" t="s">
        <v>54</v>
      </c>
      <c r="S1404" s="6" t="n">
        <v>46077</v>
      </c>
    </row>
    <row r="1405" customFormat="false" ht="14.25" hidden="false" customHeight="true" outlineLevel="0" collapsed="false">
      <c r="A1405" s="1" t="s">
        <v>3943</v>
      </c>
      <c r="B1405" s="1" t="s">
        <v>565</v>
      </c>
      <c r="C1405" s="1" t="s">
        <v>158</v>
      </c>
      <c r="D1405" s="1" t="s">
        <v>953</v>
      </c>
      <c r="E1405" s="6" t="n">
        <v>46129</v>
      </c>
      <c r="F1405" s="6" t="n">
        <v>46129</v>
      </c>
      <c r="G1405" s="1" t="s">
        <v>49</v>
      </c>
      <c r="H1405" s="1" t="s">
        <v>3085</v>
      </c>
      <c r="I1405" s="1" t="s">
        <v>3944</v>
      </c>
      <c r="J1405" s="1" t="n">
        <v>27849.98</v>
      </c>
      <c r="K1405" s="1" t="n">
        <v>22380.12</v>
      </c>
      <c r="L1405" s="1" t="n">
        <v>21144.72</v>
      </c>
      <c r="M1405" s="1" t="n">
        <v>1235.4</v>
      </c>
      <c r="N1405" s="1" t="s">
        <v>41</v>
      </c>
      <c r="P1405" s="1" t="n">
        <v>8</v>
      </c>
      <c r="Q1405" s="1" t="s">
        <v>63</v>
      </c>
      <c r="R1405" s="1" t="s">
        <v>125</v>
      </c>
      <c r="S1405" s="6" t="n">
        <v>46137</v>
      </c>
    </row>
    <row r="1406" customFormat="false" ht="14.25" hidden="false" customHeight="true" outlineLevel="0" collapsed="false">
      <c r="A1406" s="1" t="s">
        <v>3945</v>
      </c>
      <c r="B1406" s="1" t="s">
        <v>1441</v>
      </c>
      <c r="C1406" s="1" t="s">
        <v>92</v>
      </c>
      <c r="D1406" s="1" t="s">
        <v>93</v>
      </c>
      <c r="E1406" s="6" t="n">
        <v>46057</v>
      </c>
      <c r="F1406" s="6" t="n">
        <v>46053</v>
      </c>
      <c r="G1406" s="1" t="s">
        <v>38</v>
      </c>
      <c r="H1406" s="1" t="s">
        <v>3802</v>
      </c>
      <c r="I1406" s="1" t="s">
        <v>3946</v>
      </c>
      <c r="J1406" s="1" t="n">
        <v>17272.98</v>
      </c>
      <c r="K1406" s="1" t="n">
        <v>12402.09</v>
      </c>
      <c r="L1406" s="1" t="n">
        <v>10688.77</v>
      </c>
      <c r="M1406" s="1" t="n">
        <v>1713.32</v>
      </c>
      <c r="N1406" s="1" t="s">
        <v>41</v>
      </c>
      <c r="P1406" s="1" t="n">
        <v>7</v>
      </c>
      <c r="Q1406" s="1" t="s">
        <v>42</v>
      </c>
      <c r="R1406" s="1" t="s">
        <v>54</v>
      </c>
      <c r="S1406" s="6" t="n">
        <v>46064</v>
      </c>
    </row>
    <row r="1407" customFormat="false" ht="14.25" hidden="false" customHeight="true" outlineLevel="0" collapsed="false">
      <c r="A1407" s="1" t="s">
        <v>3947</v>
      </c>
      <c r="B1407" s="1" t="s">
        <v>1155</v>
      </c>
      <c r="C1407" s="1" t="s">
        <v>151</v>
      </c>
      <c r="D1407" s="1" t="s">
        <v>441</v>
      </c>
      <c r="E1407" s="6" t="n">
        <v>46200</v>
      </c>
      <c r="F1407" s="6" t="n">
        <v>46195</v>
      </c>
      <c r="G1407" s="1" t="s">
        <v>70</v>
      </c>
      <c r="H1407" s="1" t="s">
        <v>2788</v>
      </c>
      <c r="I1407" s="1" t="s">
        <v>3948</v>
      </c>
      <c r="J1407" s="1" t="n">
        <v>18633.65</v>
      </c>
      <c r="K1407" s="1" t="n">
        <v>14079.02</v>
      </c>
      <c r="L1407" s="1" t="n">
        <v>0</v>
      </c>
      <c r="M1407" s="1" t="n">
        <v>14079.02</v>
      </c>
      <c r="N1407" s="1" t="s">
        <v>111</v>
      </c>
      <c r="P1407" s="1" t="n">
        <v>12</v>
      </c>
      <c r="Q1407" s="1" t="s">
        <v>155</v>
      </c>
      <c r="R1407" s="1" t="s">
        <v>125</v>
      </c>
    </row>
    <row r="1408" customFormat="false" ht="14.25" hidden="false" customHeight="true" outlineLevel="0" collapsed="false">
      <c r="A1408" s="1" t="s">
        <v>3949</v>
      </c>
      <c r="B1408" s="1" t="s">
        <v>838</v>
      </c>
      <c r="C1408" s="1" t="s">
        <v>430</v>
      </c>
      <c r="D1408" s="1" t="s">
        <v>152</v>
      </c>
      <c r="E1408" s="6" t="n">
        <v>46220</v>
      </c>
      <c r="F1408" s="6" t="n">
        <v>46219</v>
      </c>
      <c r="G1408" s="1" t="s">
        <v>49</v>
      </c>
      <c r="H1408" s="1" t="s">
        <v>3402</v>
      </c>
      <c r="I1408" s="1" t="s">
        <v>3950</v>
      </c>
      <c r="J1408" s="1" t="n">
        <v>20065.44</v>
      </c>
      <c r="K1408" s="1" t="n">
        <v>14163.53</v>
      </c>
      <c r="L1408" s="1" t="n">
        <v>14058.29</v>
      </c>
      <c r="M1408" s="1" t="n">
        <v>105.24</v>
      </c>
      <c r="N1408" s="1" t="s">
        <v>41</v>
      </c>
      <c r="P1408" s="1" t="n">
        <v>2</v>
      </c>
      <c r="Q1408" s="1" t="s">
        <v>42</v>
      </c>
      <c r="R1408" s="1" t="s">
        <v>102</v>
      </c>
      <c r="S1408" s="6" t="n">
        <v>46222</v>
      </c>
    </row>
    <row r="1409" customFormat="false" ht="14.25" hidden="false" customHeight="true" outlineLevel="0" collapsed="false">
      <c r="A1409" s="1" t="s">
        <v>3951</v>
      </c>
      <c r="B1409" s="1" t="s">
        <v>1140</v>
      </c>
      <c r="C1409" s="1" t="s">
        <v>279</v>
      </c>
      <c r="D1409" s="1" t="s">
        <v>382</v>
      </c>
      <c r="E1409" s="6" t="n">
        <v>46141</v>
      </c>
      <c r="F1409" s="6" t="n">
        <v>46139</v>
      </c>
      <c r="G1409" s="1" t="s">
        <v>108</v>
      </c>
      <c r="H1409" s="1" t="s">
        <v>891</v>
      </c>
      <c r="I1409" s="1" t="s">
        <v>3952</v>
      </c>
      <c r="J1409" s="1" t="n">
        <v>23871.91</v>
      </c>
      <c r="K1409" s="1" t="n">
        <v>18302.12</v>
      </c>
      <c r="L1409" s="1" t="n">
        <v>15751.19</v>
      </c>
      <c r="M1409" s="1" t="n">
        <v>2550.93</v>
      </c>
      <c r="N1409" s="1" t="s">
        <v>41</v>
      </c>
      <c r="P1409" s="1" t="n">
        <v>6</v>
      </c>
      <c r="Q1409" s="1" t="s">
        <v>42</v>
      </c>
      <c r="R1409" s="1" t="s">
        <v>74</v>
      </c>
      <c r="S1409" s="6" t="n">
        <v>46147</v>
      </c>
    </row>
    <row r="1410" customFormat="false" ht="14.25" hidden="false" customHeight="true" outlineLevel="0" collapsed="false">
      <c r="A1410" s="1" t="s">
        <v>3953</v>
      </c>
      <c r="B1410" s="1" t="s">
        <v>825</v>
      </c>
      <c r="C1410" s="1" t="s">
        <v>686</v>
      </c>
      <c r="D1410" s="1" t="s">
        <v>93</v>
      </c>
      <c r="E1410" s="6" t="n">
        <v>46059</v>
      </c>
      <c r="F1410" s="6" t="n">
        <v>46059</v>
      </c>
      <c r="G1410" s="1" t="s">
        <v>49</v>
      </c>
      <c r="H1410" s="1" t="s">
        <v>209</v>
      </c>
      <c r="I1410" s="1" t="s">
        <v>3954</v>
      </c>
      <c r="J1410" s="1" t="n">
        <v>36922.09</v>
      </c>
      <c r="K1410" s="1" t="n">
        <v>33289.65</v>
      </c>
      <c r="L1410" s="1" t="n">
        <v>32412.88</v>
      </c>
      <c r="M1410" s="1" t="n">
        <v>876.77</v>
      </c>
      <c r="N1410" s="1" t="s">
        <v>41</v>
      </c>
      <c r="P1410" s="1" t="n">
        <v>3</v>
      </c>
      <c r="Q1410" s="1" t="s">
        <v>155</v>
      </c>
      <c r="R1410" s="1" t="s">
        <v>102</v>
      </c>
      <c r="S1410" s="6" t="n">
        <v>46062</v>
      </c>
    </row>
    <row r="1411" customFormat="false" ht="14.25" hidden="false" customHeight="true" outlineLevel="0" collapsed="false">
      <c r="A1411" s="1" t="s">
        <v>3955</v>
      </c>
      <c r="B1411" s="1" t="s">
        <v>611</v>
      </c>
      <c r="C1411" s="1" t="s">
        <v>516</v>
      </c>
      <c r="D1411" s="1" t="s">
        <v>326</v>
      </c>
      <c r="E1411" s="6" t="n">
        <v>46039</v>
      </c>
      <c r="F1411" s="6" t="n">
        <v>46034</v>
      </c>
      <c r="G1411" s="1" t="s">
        <v>38</v>
      </c>
      <c r="H1411" s="1" t="s">
        <v>1668</v>
      </c>
      <c r="I1411" s="1" t="s">
        <v>3956</v>
      </c>
      <c r="J1411" s="1" t="n">
        <v>13272.37</v>
      </c>
      <c r="K1411" s="1" t="n">
        <v>11739.82</v>
      </c>
      <c r="L1411" s="1" t="n">
        <v>9632.73</v>
      </c>
      <c r="M1411" s="1" t="n">
        <v>2107.09</v>
      </c>
      <c r="N1411" s="1" t="s">
        <v>41</v>
      </c>
      <c r="P1411" s="1" t="n">
        <v>4</v>
      </c>
      <c r="Q1411" s="1" t="s">
        <v>63</v>
      </c>
      <c r="R1411" s="1" t="s">
        <v>64</v>
      </c>
      <c r="S1411" s="6" t="n">
        <v>46043</v>
      </c>
    </row>
    <row r="1412" customFormat="false" ht="14.25" hidden="false" customHeight="true" outlineLevel="0" collapsed="false">
      <c r="A1412" s="1" t="s">
        <v>3957</v>
      </c>
      <c r="B1412" s="1" t="s">
        <v>2510</v>
      </c>
      <c r="C1412" s="1" t="s">
        <v>151</v>
      </c>
      <c r="D1412" s="1" t="s">
        <v>520</v>
      </c>
      <c r="E1412" s="6" t="n">
        <v>46101</v>
      </c>
      <c r="F1412" s="6" t="n">
        <v>46097</v>
      </c>
      <c r="G1412" s="1" t="s">
        <v>38</v>
      </c>
      <c r="H1412" s="1" t="s">
        <v>3958</v>
      </c>
      <c r="I1412" s="1" t="s">
        <v>1606</v>
      </c>
      <c r="J1412" s="1" t="n">
        <v>1667.46</v>
      </c>
      <c r="K1412" s="1" t="n">
        <v>1234.63</v>
      </c>
      <c r="L1412" s="1" t="n">
        <v>959.04</v>
      </c>
      <c r="M1412" s="1" t="n">
        <v>275.59</v>
      </c>
      <c r="N1412" s="1" t="s">
        <v>41</v>
      </c>
      <c r="P1412" s="1" t="n">
        <v>7</v>
      </c>
      <c r="Q1412" s="1" t="s">
        <v>155</v>
      </c>
      <c r="R1412" s="1" t="s">
        <v>102</v>
      </c>
      <c r="S1412" s="6" t="n">
        <v>46108</v>
      </c>
    </row>
    <row r="1413" customFormat="false" ht="14.25" hidden="false" customHeight="true" outlineLevel="0" collapsed="false">
      <c r="A1413" s="1" t="s">
        <v>3959</v>
      </c>
      <c r="B1413" s="1" t="s">
        <v>589</v>
      </c>
      <c r="C1413" s="1" t="s">
        <v>106</v>
      </c>
      <c r="D1413" s="1" t="s">
        <v>481</v>
      </c>
      <c r="E1413" s="6" t="n">
        <v>46044</v>
      </c>
      <c r="F1413" s="6" t="n">
        <v>46041</v>
      </c>
      <c r="G1413" s="1" t="s">
        <v>38</v>
      </c>
      <c r="H1413" s="1" t="s">
        <v>3960</v>
      </c>
      <c r="I1413" s="1" t="s">
        <v>3961</v>
      </c>
      <c r="J1413" s="1" t="n">
        <v>18554.06</v>
      </c>
      <c r="K1413" s="1" t="n">
        <v>16555.1</v>
      </c>
      <c r="L1413" s="1" t="n">
        <v>14692.86</v>
      </c>
      <c r="M1413" s="1" t="n">
        <v>1862.24</v>
      </c>
      <c r="N1413" s="1" t="s">
        <v>41</v>
      </c>
      <c r="P1413" s="1" t="n">
        <v>7</v>
      </c>
      <c r="Q1413" s="1" t="s">
        <v>155</v>
      </c>
      <c r="R1413" s="1" t="s">
        <v>102</v>
      </c>
      <c r="S1413" s="6" t="n">
        <v>46051</v>
      </c>
    </row>
    <row r="1414" customFormat="false" ht="14.25" hidden="false" customHeight="true" outlineLevel="0" collapsed="false">
      <c r="A1414" s="1" t="s">
        <v>3962</v>
      </c>
      <c r="B1414" s="1" t="s">
        <v>2058</v>
      </c>
      <c r="C1414" s="1" t="s">
        <v>136</v>
      </c>
      <c r="D1414" s="1" t="s">
        <v>396</v>
      </c>
      <c r="E1414" s="6" t="n">
        <v>46163</v>
      </c>
      <c r="F1414" s="6" t="n">
        <v>46163</v>
      </c>
      <c r="G1414" s="1" t="s">
        <v>38</v>
      </c>
      <c r="H1414" s="1" t="s">
        <v>321</v>
      </c>
      <c r="I1414" s="1" t="s">
        <v>3963</v>
      </c>
      <c r="J1414" s="1" t="n">
        <v>16629.66</v>
      </c>
      <c r="K1414" s="1" t="n">
        <v>14901.1</v>
      </c>
      <c r="L1414" s="1" t="n">
        <v>14455.8</v>
      </c>
      <c r="M1414" s="1" t="n">
        <v>445.3</v>
      </c>
      <c r="N1414" s="1" t="s">
        <v>41</v>
      </c>
      <c r="P1414" s="1" t="n">
        <v>5</v>
      </c>
      <c r="Q1414" s="1" t="s">
        <v>42</v>
      </c>
      <c r="R1414" s="1" t="s">
        <v>125</v>
      </c>
      <c r="S1414" s="6" t="n">
        <v>46168</v>
      </c>
    </row>
    <row r="1415" customFormat="false" ht="14.25" hidden="false" customHeight="true" outlineLevel="0" collapsed="false">
      <c r="A1415" s="1" t="s">
        <v>3964</v>
      </c>
      <c r="B1415" s="1" t="s">
        <v>1025</v>
      </c>
      <c r="C1415" s="1" t="s">
        <v>325</v>
      </c>
      <c r="D1415" s="1" t="s">
        <v>341</v>
      </c>
      <c r="E1415" s="6" t="n">
        <v>46131</v>
      </c>
      <c r="F1415" s="6" t="n">
        <v>46131</v>
      </c>
      <c r="G1415" s="1" t="s">
        <v>108</v>
      </c>
      <c r="H1415" s="1" t="s">
        <v>2134</v>
      </c>
      <c r="I1415" s="1" t="s">
        <v>3965</v>
      </c>
      <c r="J1415" s="1" t="n">
        <v>12715.7</v>
      </c>
      <c r="K1415" s="1" t="n">
        <v>9550.61</v>
      </c>
      <c r="L1415" s="1" t="n">
        <v>8940.47</v>
      </c>
      <c r="M1415" s="1" t="n">
        <v>610.14</v>
      </c>
      <c r="N1415" s="1" t="s">
        <v>41</v>
      </c>
      <c r="P1415" s="1" t="n">
        <v>2</v>
      </c>
      <c r="Q1415" s="1" t="s">
        <v>63</v>
      </c>
      <c r="R1415" s="1" t="s">
        <v>125</v>
      </c>
      <c r="S1415" s="6" t="n">
        <v>46133</v>
      </c>
    </row>
    <row r="1416" customFormat="false" ht="14.25" hidden="false" customHeight="true" outlineLevel="0" collapsed="false">
      <c r="A1416" s="1" t="s">
        <v>3966</v>
      </c>
      <c r="B1416" s="1" t="s">
        <v>1671</v>
      </c>
      <c r="C1416" s="1" t="s">
        <v>85</v>
      </c>
      <c r="D1416" s="1" t="s">
        <v>99</v>
      </c>
      <c r="E1416" s="6" t="n">
        <v>46049</v>
      </c>
      <c r="F1416" s="6" t="n">
        <v>46048</v>
      </c>
      <c r="G1416" s="1" t="s">
        <v>49</v>
      </c>
      <c r="H1416" s="1" t="s">
        <v>3967</v>
      </c>
      <c r="I1416" s="1" t="s">
        <v>3968</v>
      </c>
      <c r="J1416" s="1" t="n">
        <v>18919.74</v>
      </c>
      <c r="K1416" s="1" t="n">
        <v>15492.17</v>
      </c>
      <c r="L1416" s="1" t="n">
        <v>13581.56</v>
      </c>
      <c r="M1416" s="1" t="n">
        <v>1910.61</v>
      </c>
      <c r="N1416" s="1" t="s">
        <v>41</v>
      </c>
      <c r="P1416" s="1" t="n">
        <v>6</v>
      </c>
      <c r="Q1416" s="1" t="s">
        <v>42</v>
      </c>
      <c r="R1416" s="1" t="s">
        <v>125</v>
      </c>
      <c r="S1416" s="6" t="n">
        <v>46055</v>
      </c>
    </row>
    <row r="1417" customFormat="false" ht="14.25" hidden="false" customHeight="true" outlineLevel="0" collapsed="false">
      <c r="A1417" s="1" t="s">
        <v>3969</v>
      </c>
      <c r="B1417" s="1" t="s">
        <v>163</v>
      </c>
      <c r="C1417" s="1" t="s">
        <v>273</v>
      </c>
      <c r="D1417" s="1" t="s">
        <v>964</v>
      </c>
      <c r="E1417" s="6" t="n">
        <v>46179</v>
      </c>
      <c r="F1417" s="6" t="n">
        <v>46176</v>
      </c>
      <c r="G1417" s="1" t="s">
        <v>70</v>
      </c>
      <c r="H1417" s="1" t="s">
        <v>3970</v>
      </c>
      <c r="I1417" s="1" t="s">
        <v>3971</v>
      </c>
      <c r="J1417" s="1" t="n">
        <v>36850.42</v>
      </c>
      <c r="K1417" s="1" t="n">
        <v>24161.28</v>
      </c>
      <c r="L1417" s="1" t="n">
        <v>19906.69</v>
      </c>
      <c r="M1417" s="1" t="n">
        <v>4254.59</v>
      </c>
      <c r="N1417" s="1" t="s">
        <v>41</v>
      </c>
      <c r="P1417" s="1" t="n">
        <v>5</v>
      </c>
      <c r="Q1417" s="1" t="s">
        <v>63</v>
      </c>
      <c r="R1417" s="1" t="s">
        <v>125</v>
      </c>
      <c r="S1417" s="6" t="n">
        <v>46184</v>
      </c>
    </row>
    <row r="1418" customFormat="false" ht="14.25" hidden="false" customHeight="true" outlineLevel="0" collapsed="false">
      <c r="A1418" s="1" t="s">
        <v>3972</v>
      </c>
      <c r="B1418" s="1" t="s">
        <v>869</v>
      </c>
      <c r="C1418" s="1" t="s">
        <v>115</v>
      </c>
      <c r="D1418" s="1" t="s">
        <v>391</v>
      </c>
      <c r="E1418" s="6" t="n">
        <v>46144</v>
      </c>
      <c r="F1418" s="6" t="n">
        <v>46141</v>
      </c>
      <c r="G1418" s="1" t="s">
        <v>108</v>
      </c>
      <c r="H1418" s="1" t="s">
        <v>3503</v>
      </c>
      <c r="I1418" s="1" t="s">
        <v>3973</v>
      </c>
      <c r="J1418" s="1" t="n">
        <v>18226.1</v>
      </c>
      <c r="K1418" s="1" t="n">
        <v>14261.25</v>
      </c>
      <c r="L1418" s="1" t="n">
        <v>10793.33</v>
      </c>
      <c r="M1418" s="1" t="n">
        <v>3467.92</v>
      </c>
      <c r="N1418" s="1" t="s">
        <v>41</v>
      </c>
      <c r="P1418" s="1" t="n">
        <v>4</v>
      </c>
      <c r="Q1418" s="1" t="s">
        <v>63</v>
      </c>
      <c r="R1418" s="1" t="s">
        <v>125</v>
      </c>
      <c r="S1418" s="6" t="n">
        <v>46148</v>
      </c>
    </row>
    <row r="1419" customFormat="false" ht="14.25" hidden="false" customHeight="true" outlineLevel="0" collapsed="false">
      <c r="A1419" s="1" t="s">
        <v>3974</v>
      </c>
      <c r="B1419" s="1" t="s">
        <v>818</v>
      </c>
      <c r="C1419" s="1" t="s">
        <v>92</v>
      </c>
      <c r="D1419" s="1" t="s">
        <v>635</v>
      </c>
      <c r="E1419" s="6" t="n">
        <v>46192</v>
      </c>
      <c r="F1419" s="6" t="n">
        <v>46189</v>
      </c>
      <c r="G1419" s="1" t="s">
        <v>70</v>
      </c>
      <c r="H1419" s="1" t="s">
        <v>969</v>
      </c>
      <c r="I1419" s="1" t="s">
        <v>3975</v>
      </c>
      <c r="J1419" s="1" t="n">
        <v>32240.26</v>
      </c>
      <c r="K1419" s="1" t="n">
        <v>23179.59</v>
      </c>
      <c r="L1419" s="1" t="n">
        <v>21235.86</v>
      </c>
      <c r="M1419" s="1" t="n">
        <v>1943.73</v>
      </c>
      <c r="N1419" s="1" t="s">
        <v>41</v>
      </c>
      <c r="P1419" s="1" t="n">
        <v>1</v>
      </c>
      <c r="Q1419" s="1" t="s">
        <v>42</v>
      </c>
      <c r="R1419" s="1" t="s">
        <v>54</v>
      </c>
      <c r="S1419" s="6" t="n">
        <v>46193</v>
      </c>
    </row>
    <row r="1420" customFormat="false" ht="14.25" hidden="false" customHeight="true" outlineLevel="0" collapsed="false">
      <c r="A1420" s="1" t="s">
        <v>3976</v>
      </c>
      <c r="B1420" s="1" t="s">
        <v>528</v>
      </c>
      <c r="C1420" s="1" t="s">
        <v>47</v>
      </c>
      <c r="D1420" s="1" t="s">
        <v>347</v>
      </c>
      <c r="E1420" s="6" t="n">
        <v>46222</v>
      </c>
      <c r="F1420" s="6" t="n">
        <v>46221</v>
      </c>
      <c r="G1420" s="1" t="s">
        <v>38</v>
      </c>
      <c r="H1420" s="1" t="s">
        <v>1822</v>
      </c>
      <c r="I1420" s="1" t="s">
        <v>3977</v>
      </c>
      <c r="J1420" s="1" t="n">
        <v>15177.09</v>
      </c>
      <c r="K1420" s="1" t="n">
        <v>10197.01</v>
      </c>
      <c r="L1420" s="1" t="n">
        <v>0</v>
      </c>
      <c r="M1420" s="1" t="n">
        <v>10197.01</v>
      </c>
      <c r="N1420" s="1" t="s">
        <v>52</v>
      </c>
      <c r="O1420" s="1" t="s">
        <v>73</v>
      </c>
      <c r="P1420" s="1" t="n">
        <v>5</v>
      </c>
      <c r="Q1420" s="1" t="s">
        <v>155</v>
      </c>
      <c r="R1420" s="1" t="s">
        <v>64</v>
      </c>
    </row>
    <row r="1421" customFormat="false" ht="14.25" hidden="false" customHeight="true" outlineLevel="0" collapsed="false">
      <c r="A1421" s="1" t="s">
        <v>3978</v>
      </c>
      <c r="B1421" s="1" t="s">
        <v>351</v>
      </c>
      <c r="C1421" s="1" t="s">
        <v>68</v>
      </c>
      <c r="D1421" s="1" t="s">
        <v>315</v>
      </c>
      <c r="E1421" s="6" t="n">
        <v>46069</v>
      </c>
      <c r="F1421" s="6" t="n">
        <v>46067</v>
      </c>
      <c r="G1421" s="1" t="s">
        <v>70</v>
      </c>
      <c r="H1421" s="1" t="s">
        <v>3979</v>
      </c>
      <c r="I1421" s="1" t="s">
        <v>3980</v>
      </c>
      <c r="J1421" s="1" t="n">
        <v>37711.17</v>
      </c>
      <c r="K1421" s="1" t="n">
        <v>32264.75</v>
      </c>
      <c r="L1421" s="1" t="n">
        <v>27447.84</v>
      </c>
      <c r="M1421" s="1" t="n">
        <v>4816.91</v>
      </c>
      <c r="N1421" s="1" t="s">
        <v>41</v>
      </c>
      <c r="P1421" s="1" t="n">
        <v>3</v>
      </c>
      <c r="Q1421" s="1" t="s">
        <v>63</v>
      </c>
      <c r="R1421" s="1" t="s">
        <v>43</v>
      </c>
      <c r="S1421" s="6" t="n">
        <v>46072</v>
      </c>
    </row>
    <row r="1422" customFormat="false" ht="14.25" hidden="false" customHeight="true" outlineLevel="0" collapsed="false">
      <c r="A1422" s="1" t="s">
        <v>3981</v>
      </c>
      <c r="B1422" s="1" t="s">
        <v>1090</v>
      </c>
      <c r="C1422" s="1" t="s">
        <v>47</v>
      </c>
      <c r="D1422" s="1" t="s">
        <v>145</v>
      </c>
      <c r="E1422" s="6" t="n">
        <v>46088</v>
      </c>
      <c r="F1422" s="6" t="n">
        <v>46087</v>
      </c>
      <c r="G1422" s="1" t="s">
        <v>70</v>
      </c>
      <c r="H1422" s="1" t="s">
        <v>2397</v>
      </c>
      <c r="I1422" s="1" t="s">
        <v>3982</v>
      </c>
      <c r="J1422" s="1" t="n">
        <v>32808.78</v>
      </c>
      <c r="K1422" s="1" t="n">
        <v>25038.81</v>
      </c>
      <c r="L1422" s="1" t="n">
        <v>20074.08</v>
      </c>
      <c r="M1422" s="1" t="n">
        <v>4964.73</v>
      </c>
      <c r="N1422" s="1" t="s">
        <v>41</v>
      </c>
      <c r="P1422" s="1" t="n">
        <v>8</v>
      </c>
      <c r="Q1422" s="1" t="s">
        <v>63</v>
      </c>
      <c r="R1422" s="1" t="s">
        <v>43</v>
      </c>
      <c r="S1422" s="6" t="n">
        <v>46096</v>
      </c>
    </row>
    <row r="1423" customFormat="false" ht="14.25" hidden="false" customHeight="true" outlineLevel="0" collapsed="false">
      <c r="A1423" s="1" t="s">
        <v>3983</v>
      </c>
      <c r="B1423" s="1" t="s">
        <v>319</v>
      </c>
      <c r="C1423" s="1" t="s">
        <v>136</v>
      </c>
      <c r="D1423" s="1" t="s">
        <v>377</v>
      </c>
      <c r="E1423" s="6" t="n">
        <v>46134</v>
      </c>
      <c r="F1423" s="6" t="n">
        <v>46129</v>
      </c>
      <c r="G1423" s="1" t="s">
        <v>108</v>
      </c>
      <c r="H1423" s="1" t="s">
        <v>3471</v>
      </c>
      <c r="I1423" s="1" t="s">
        <v>3984</v>
      </c>
      <c r="J1423" s="1" t="n">
        <v>30385.23</v>
      </c>
      <c r="K1423" s="1" t="n">
        <v>21736.57</v>
      </c>
      <c r="L1423" s="1" t="n">
        <v>19177.16</v>
      </c>
      <c r="M1423" s="1" t="n">
        <v>2559.41</v>
      </c>
      <c r="N1423" s="1" t="s">
        <v>41</v>
      </c>
      <c r="P1423" s="1" t="n">
        <v>8</v>
      </c>
      <c r="Q1423" s="1" t="s">
        <v>42</v>
      </c>
      <c r="R1423" s="1" t="s">
        <v>64</v>
      </c>
      <c r="S1423" s="6" t="n">
        <v>46142</v>
      </c>
    </row>
    <row r="1424" customFormat="false" ht="14.25" hidden="false" customHeight="true" outlineLevel="0" collapsed="false">
      <c r="A1424" s="1" t="s">
        <v>3985</v>
      </c>
      <c r="B1424" s="1" t="s">
        <v>537</v>
      </c>
      <c r="C1424" s="1" t="s">
        <v>85</v>
      </c>
      <c r="D1424" s="1" t="s">
        <v>93</v>
      </c>
      <c r="E1424" s="6" t="n">
        <v>46127</v>
      </c>
      <c r="F1424" s="6" t="n">
        <v>46123</v>
      </c>
      <c r="G1424" s="1" t="s">
        <v>70</v>
      </c>
      <c r="H1424" s="1" t="s">
        <v>3986</v>
      </c>
      <c r="I1424" s="1" t="s">
        <v>3987</v>
      </c>
      <c r="J1424" s="1" t="n">
        <v>9230.06</v>
      </c>
      <c r="K1424" s="1" t="n">
        <v>7921.02</v>
      </c>
      <c r="L1424" s="1" t="n">
        <v>0</v>
      </c>
      <c r="M1424" s="1" t="n">
        <v>7921.02</v>
      </c>
      <c r="N1424" s="1" t="s">
        <v>111</v>
      </c>
      <c r="P1424" s="1" t="n">
        <v>9</v>
      </c>
      <c r="Q1424" s="1" t="s">
        <v>42</v>
      </c>
      <c r="R1424" s="1" t="s">
        <v>64</v>
      </c>
    </row>
    <row r="1425" customFormat="false" ht="14.25" hidden="false" customHeight="true" outlineLevel="0" collapsed="false">
      <c r="A1425" s="1" t="s">
        <v>3988</v>
      </c>
      <c r="B1425" s="1" t="s">
        <v>351</v>
      </c>
      <c r="C1425" s="1" t="s">
        <v>279</v>
      </c>
      <c r="D1425" s="1" t="s">
        <v>336</v>
      </c>
      <c r="E1425" s="6" t="n">
        <v>46178</v>
      </c>
      <c r="F1425" s="6" t="n">
        <v>46177</v>
      </c>
      <c r="G1425" s="1" t="s">
        <v>108</v>
      </c>
      <c r="H1425" s="1" t="s">
        <v>1202</v>
      </c>
      <c r="I1425" s="1" t="s">
        <v>3989</v>
      </c>
      <c r="J1425" s="1" t="n">
        <v>29096.67</v>
      </c>
      <c r="K1425" s="1" t="n">
        <v>25391.53</v>
      </c>
      <c r="L1425" s="1" t="n">
        <v>25118.53</v>
      </c>
      <c r="M1425" s="1" t="n">
        <v>273</v>
      </c>
      <c r="N1425" s="1" t="s">
        <v>41</v>
      </c>
      <c r="P1425" s="1" t="n">
        <v>6</v>
      </c>
      <c r="Q1425" s="1" t="s">
        <v>42</v>
      </c>
      <c r="R1425" s="1" t="s">
        <v>74</v>
      </c>
      <c r="S1425" s="6" t="n">
        <v>46184</v>
      </c>
    </row>
    <row r="1426" customFormat="false" ht="14.25" hidden="false" customHeight="true" outlineLevel="0" collapsed="false">
      <c r="A1426" s="1" t="s">
        <v>3990</v>
      </c>
      <c r="B1426" s="1" t="s">
        <v>2058</v>
      </c>
      <c r="C1426" s="1" t="s">
        <v>47</v>
      </c>
      <c r="D1426" s="1" t="s">
        <v>1628</v>
      </c>
      <c r="E1426" s="6" t="n">
        <v>46213</v>
      </c>
      <c r="F1426" s="6" t="n">
        <v>46211</v>
      </c>
      <c r="G1426" s="1" t="s">
        <v>70</v>
      </c>
      <c r="H1426" s="1" t="s">
        <v>455</v>
      </c>
      <c r="I1426" s="1" t="s">
        <v>3991</v>
      </c>
      <c r="J1426" s="1" t="n">
        <v>3359.76</v>
      </c>
      <c r="K1426" s="1" t="n">
        <v>2661.29</v>
      </c>
      <c r="L1426" s="1" t="n">
        <v>2392.09</v>
      </c>
      <c r="M1426" s="1" t="n">
        <v>269.2</v>
      </c>
      <c r="N1426" s="1" t="s">
        <v>41</v>
      </c>
      <c r="P1426" s="1" t="n">
        <v>8</v>
      </c>
      <c r="Q1426" s="1" t="s">
        <v>63</v>
      </c>
      <c r="R1426" s="1" t="s">
        <v>125</v>
      </c>
      <c r="S1426" s="6" t="n">
        <v>46221</v>
      </c>
    </row>
    <row r="1427" customFormat="false" ht="14.25" hidden="false" customHeight="true" outlineLevel="0" collapsed="false">
      <c r="A1427" s="1" t="s">
        <v>3992</v>
      </c>
      <c r="B1427" s="1" t="s">
        <v>846</v>
      </c>
      <c r="C1427" s="1" t="s">
        <v>296</v>
      </c>
      <c r="D1427" s="1" t="s">
        <v>216</v>
      </c>
      <c r="E1427" s="6" t="n">
        <v>46046</v>
      </c>
      <c r="F1427" s="6" t="n">
        <v>46042</v>
      </c>
      <c r="G1427" s="1" t="s">
        <v>49</v>
      </c>
      <c r="H1427" s="1" t="s">
        <v>1422</v>
      </c>
      <c r="I1427" s="1" t="s">
        <v>3993</v>
      </c>
      <c r="J1427" s="1" t="n">
        <v>1867.25</v>
      </c>
      <c r="K1427" s="1" t="n">
        <v>1679.32</v>
      </c>
      <c r="L1427" s="1" t="n">
        <v>0</v>
      </c>
      <c r="M1427" s="1" t="n">
        <v>1679.32</v>
      </c>
      <c r="N1427" s="1" t="s">
        <v>111</v>
      </c>
      <c r="P1427" s="1" t="n">
        <v>12</v>
      </c>
      <c r="Q1427" s="1" t="s">
        <v>42</v>
      </c>
      <c r="R1427" s="1" t="s">
        <v>125</v>
      </c>
    </row>
    <row r="1428" customFormat="false" ht="14.25" hidden="false" customHeight="true" outlineLevel="0" collapsed="false">
      <c r="A1428" s="1" t="s">
        <v>3994</v>
      </c>
      <c r="B1428" s="1" t="s">
        <v>1368</v>
      </c>
      <c r="C1428" s="1" t="s">
        <v>129</v>
      </c>
      <c r="D1428" s="1" t="s">
        <v>159</v>
      </c>
      <c r="E1428" s="6" t="n">
        <v>46059</v>
      </c>
      <c r="F1428" s="6" t="n">
        <v>46056</v>
      </c>
      <c r="G1428" s="1" t="s">
        <v>108</v>
      </c>
      <c r="H1428" s="1" t="s">
        <v>409</v>
      </c>
      <c r="I1428" s="1" t="s">
        <v>3995</v>
      </c>
      <c r="J1428" s="1" t="n">
        <v>9422.99</v>
      </c>
      <c r="K1428" s="1" t="n">
        <v>8121.2</v>
      </c>
      <c r="L1428" s="1" t="n">
        <v>0</v>
      </c>
      <c r="M1428" s="1" t="n">
        <v>8121.2</v>
      </c>
      <c r="N1428" s="1" t="s">
        <v>111</v>
      </c>
      <c r="P1428" s="1" t="n">
        <v>6</v>
      </c>
      <c r="Q1428" s="1" t="s">
        <v>63</v>
      </c>
      <c r="R1428" s="1" t="s">
        <v>125</v>
      </c>
    </row>
    <row r="1429" customFormat="false" ht="14.25" hidden="false" customHeight="true" outlineLevel="0" collapsed="false">
      <c r="A1429" s="1" t="s">
        <v>3996</v>
      </c>
      <c r="B1429" s="1" t="s">
        <v>1197</v>
      </c>
      <c r="C1429" s="1" t="s">
        <v>176</v>
      </c>
      <c r="D1429" s="1" t="s">
        <v>937</v>
      </c>
      <c r="E1429" s="6" t="n">
        <v>46122</v>
      </c>
      <c r="F1429" s="6" t="n">
        <v>46117</v>
      </c>
      <c r="G1429" s="1" t="s">
        <v>70</v>
      </c>
      <c r="H1429" s="1" t="s">
        <v>2443</v>
      </c>
      <c r="I1429" s="1" t="s">
        <v>3997</v>
      </c>
      <c r="J1429" s="1" t="n">
        <v>21583.36</v>
      </c>
      <c r="K1429" s="1" t="n">
        <v>14810.67</v>
      </c>
      <c r="L1429" s="1" t="n">
        <v>0</v>
      </c>
      <c r="M1429" s="1" t="n">
        <v>14810.67</v>
      </c>
      <c r="N1429" s="1" t="s">
        <v>52</v>
      </c>
      <c r="O1429" s="1" t="s">
        <v>53</v>
      </c>
      <c r="P1429" s="1" t="n">
        <v>8</v>
      </c>
      <c r="Q1429" s="1" t="s">
        <v>63</v>
      </c>
      <c r="R1429" s="1" t="s">
        <v>54</v>
      </c>
    </row>
    <row r="1430" customFormat="false" ht="14.25" hidden="false" customHeight="true" outlineLevel="0" collapsed="false">
      <c r="A1430" s="1" t="s">
        <v>3998</v>
      </c>
      <c r="B1430" s="1" t="s">
        <v>1327</v>
      </c>
      <c r="C1430" s="1" t="s">
        <v>92</v>
      </c>
      <c r="D1430" s="1" t="s">
        <v>387</v>
      </c>
      <c r="E1430" s="6" t="n">
        <v>46098</v>
      </c>
      <c r="F1430" s="6" t="n">
        <v>46096</v>
      </c>
      <c r="G1430" s="1" t="s">
        <v>108</v>
      </c>
      <c r="H1430" s="1" t="s">
        <v>2206</v>
      </c>
      <c r="I1430" s="1" t="s">
        <v>3999</v>
      </c>
      <c r="J1430" s="1" t="n">
        <v>20505.34</v>
      </c>
      <c r="K1430" s="1" t="n">
        <v>16733.13</v>
      </c>
      <c r="L1430" s="1" t="n">
        <v>0</v>
      </c>
      <c r="M1430" s="1" t="n">
        <v>16733.13</v>
      </c>
      <c r="N1430" s="1" t="s">
        <v>52</v>
      </c>
      <c r="O1430" s="1" t="s">
        <v>230</v>
      </c>
      <c r="P1430" s="1" t="n">
        <v>1</v>
      </c>
      <c r="Q1430" s="1" t="s">
        <v>155</v>
      </c>
      <c r="R1430" s="1" t="s">
        <v>54</v>
      </c>
    </row>
    <row r="1431" customFormat="false" ht="14.25" hidden="false" customHeight="true" outlineLevel="0" collapsed="false">
      <c r="A1431" s="1" t="s">
        <v>4000</v>
      </c>
      <c r="B1431" s="1" t="s">
        <v>643</v>
      </c>
      <c r="C1431" s="1" t="s">
        <v>68</v>
      </c>
      <c r="D1431" s="1" t="s">
        <v>865</v>
      </c>
      <c r="E1431" s="6" t="n">
        <v>46074</v>
      </c>
      <c r="F1431" s="6" t="n">
        <v>46069</v>
      </c>
      <c r="G1431" s="1" t="s">
        <v>49</v>
      </c>
      <c r="H1431" s="1" t="s">
        <v>80</v>
      </c>
      <c r="I1431" s="1" t="s">
        <v>4001</v>
      </c>
      <c r="J1431" s="1" t="n">
        <v>48073.51</v>
      </c>
      <c r="K1431" s="1" t="n">
        <v>39448.72</v>
      </c>
      <c r="L1431" s="1" t="n">
        <v>35006.73</v>
      </c>
      <c r="M1431" s="1" t="n">
        <v>4441.99</v>
      </c>
      <c r="N1431" s="1" t="s">
        <v>41</v>
      </c>
      <c r="P1431" s="1" t="n">
        <v>2</v>
      </c>
      <c r="Q1431" s="1" t="s">
        <v>155</v>
      </c>
      <c r="R1431" s="1" t="s">
        <v>54</v>
      </c>
      <c r="S1431" s="6" t="n">
        <v>46076</v>
      </c>
    </row>
    <row r="1432" customFormat="false" ht="14.25" hidden="false" customHeight="true" outlineLevel="0" collapsed="false">
      <c r="A1432" s="1" t="s">
        <v>4002</v>
      </c>
      <c r="B1432" s="1" t="s">
        <v>818</v>
      </c>
      <c r="C1432" s="1" t="s">
        <v>436</v>
      </c>
      <c r="D1432" s="1" t="s">
        <v>250</v>
      </c>
      <c r="E1432" s="6" t="n">
        <v>46135</v>
      </c>
      <c r="F1432" s="6" t="n">
        <v>46131</v>
      </c>
      <c r="G1432" s="1" t="s">
        <v>38</v>
      </c>
      <c r="H1432" s="1" t="s">
        <v>2501</v>
      </c>
      <c r="I1432" s="1" t="s">
        <v>955</v>
      </c>
      <c r="J1432" s="1" t="n">
        <v>4036.92</v>
      </c>
      <c r="K1432" s="1" t="n">
        <v>3186.61</v>
      </c>
      <c r="L1432" s="1" t="n">
        <v>3096.64</v>
      </c>
      <c r="M1432" s="1" t="n">
        <v>89.97</v>
      </c>
      <c r="N1432" s="1" t="s">
        <v>41</v>
      </c>
      <c r="P1432" s="1" t="n">
        <v>1</v>
      </c>
      <c r="Q1432" s="1" t="s">
        <v>63</v>
      </c>
      <c r="R1432" s="1" t="s">
        <v>74</v>
      </c>
      <c r="S1432" s="6" t="n">
        <v>46136</v>
      </c>
    </row>
    <row r="1433" customFormat="false" ht="14.25" hidden="false" customHeight="true" outlineLevel="0" collapsed="false">
      <c r="A1433" s="1" t="s">
        <v>4003</v>
      </c>
      <c r="B1433" s="1" t="s">
        <v>463</v>
      </c>
      <c r="C1433" s="1" t="s">
        <v>144</v>
      </c>
      <c r="D1433" s="1" t="s">
        <v>717</v>
      </c>
      <c r="E1433" s="6" t="n">
        <v>46025</v>
      </c>
      <c r="F1433" s="6" t="n">
        <v>46025</v>
      </c>
      <c r="G1433" s="1" t="s">
        <v>38</v>
      </c>
      <c r="H1433" s="1" t="s">
        <v>1806</v>
      </c>
      <c r="I1433" s="1" t="s">
        <v>4004</v>
      </c>
      <c r="J1433" s="1" t="n">
        <v>10315.08</v>
      </c>
      <c r="K1433" s="1" t="n">
        <v>7276.51</v>
      </c>
      <c r="L1433" s="1" t="n">
        <v>6976.59</v>
      </c>
      <c r="M1433" s="1" t="n">
        <v>299.92</v>
      </c>
      <c r="N1433" s="1" t="s">
        <v>41</v>
      </c>
      <c r="P1433" s="1" t="n">
        <v>3</v>
      </c>
      <c r="Q1433" s="1" t="s">
        <v>63</v>
      </c>
      <c r="R1433" s="1" t="s">
        <v>140</v>
      </c>
      <c r="S1433" s="6" t="n">
        <v>46028</v>
      </c>
    </row>
    <row r="1434" customFormat="false" ht="14.25" hidden="false" customHeight="true" outlineLevel="0" collapsed="false">
      <c r="A1434" s="1" t="s">
        <v>4005</v>
      </c>
      <c r="B1434" s="1" t="s">
        <v>77</v>
      </c>
      <c r="C1434" s="1" t="s">
        <v>459</v>
      </c>
      <c r="D1434" s="1" t="s">
        <v>152</v>
      </c>
      <c r="E1434" s="6" t="n">
        <v>46169</v>
      </c>
      <c r="F1434" s="6" t="n">
        <v>46167</v>
      </c>
      <c r="G1434" s="1" t="s">
        <v>49</v>
      </c>
      <c r="H1434" s="1" t="s">
        <v>4006</v>
      </c>
      <c r="I1434" s="1" t="s">
        <v>4007</v>
      </c>
      <c r="J1434" s="1" t="n">
        <v>21944.95</v>
      </c>
      <c r="K1434" s="1" t="n">
        <v>15855.22</v>
      </c>
      <c r="L1434" s="1" t="n">
        <v>0</v>
      </c>
      <c r="M1434" s="1" t="n">
        <v>15855.22</v>
      </c>
      <c r="N1434" s="1" t="s">
        <v>52</v>
      </c>
      <c r="O1434" s="1" t="s">
        <v>73</v>
      </c>
      <c r="P1434" s="1" t="n">
        <v>1</v>
      </c>
      <c r="Q1434" s="1" t="s">
        <v>63</v>
      </c>
      <c r="R1434" s="1" t="s">
        <v>54</v>
      </c>
    </row>
    <row r="1435" customFormat="false" ht="14.25" hidden="false" customHeight="true" outlineLevel="0" collapsed="false">
      <c r="A1435" s="1" t="s">
        <v>4008</v>
      </c>
      <c r="B1435" s="1" t="s">
        <v>272</v>
      </c>
      <c r="C1435" s="1" t="s">
        <v>221</v>
      </c>
      <c r="D1435" s="1" t="s">
        <v>86</v>
      </c>
      <c r="E1435" s="6" t="n">
        <v>46065</v>
      </c>
      <c r="F1435" s="6" t="n">
        <v>46063</v>
      </c>
      <c r="G1435" s="1" t="s">
        <v>38</v>
      </c>
      <c r="H1435" s="1" t="s">
        <v>1037</v>
      </c>
      <c r="I1435" s="1" t="s">
        <v>4009</v>
      </c>
      <c r="J1435" s="1" t="n">
        <v>30831.03</v>
      </c>
      <c r="K1435" s="1" t="n">
        <v>29165.91</v>
      </c>
      <c r="L1435" s="1" t="n">
        <v>0</v>
      </c>
      <c r="M1435" s="1" t="n">
        <v>29165.91</v>
      </c>
      <c r="N1435" s="1" t="s">
        <v>111</v>
      </c>
      <c r="P1435" s="1" t="n">
        <v>9</v>
      </c>
      <c r="Q1435" s="1" t="s">
        <v>155</v>
      </c>
      <c r="R1435" s="1" t="s">
        <v>43</v>
      </c>
    </row>
    <row r="1436" customFormat="false" ht="14.25" hidden="false" customHeight="true" outlineLevel="0" collapsed="false">
      <c r="A1436" s="1" t="s">
        <v>4010</v>
      </c>
      <c r="B1436" s="1" t="s">
        <v>993</v>
      </c>
      <c r="C1436" s="1" t="s">
        <v>459</v>
      </c>
      <c r="D1436" s="1" t="s">
        <v>177</v>
      </c>
      <c r="E1436" s="6" t="n">
        <v>46203</v>
      </c>
      <c r="F1436" s="6" t="n">
        <v>46202</v>
      </c>
      <c r="G1436" s="1" t="s">
        <v>49</v>
      </c>
      <c r="H1436" s="1" t="s">
        <v>679</v>
      </c>
      <c r="I1436" s="1" t="s">
        <v>4011</v>
      </c>
      <c r="J1436" s="1" t="n">
        <v>24916.19</v>
      </c>
      <c r="K1436" s="1" t="n">
        <v>20238.81</v>
      </c>
      <c r="L1436" s="1" t="n">
        <v>0</v>
      </c>
      <c r="M1436" s="1" t="n">
        <v>20238.81</v>
      </c>
      <c r="N1436" s="1" t="s">
        <v>260</v>
      </c>
      <c r="P1436" s="1" t="n">
        <v>2</v>
      </c>
      <c r="Q1436" s="1" t="s">
        <v>42</v>
      </c>
      <c r="R1436" s="1" t="s">
        <v>54</v>
      </c>
    </row>
    <row r="1437" customFormat="false" ht="14.25" hidden="false" customHeight="true" outlineLevel="0" collapsed="false">
      <c r="A1437" s="1" t="s">
        <v>4012</v>
      </c>
      <c r="B1437" s="1" t="s">
        <v>1136</v>
      </c>
      <c r="C1437" s="1" t="s">
        <v>78</v>
      </c>
      <c r="D1437" s="1" t="s">
        <v>799</v>
      </c>
      <c r="E1437" s="6" t="n">
        <v>46103</v>
      </c>
      <c r="F1437" s="6" t="n">
        <v>46099</v>
      </c>
      <c r="G1437" s="1" t="s">
        <v>38</v>
      </c>
      <c r="H1437" s="1" t="s">
        <v>442</v>
      </c>
      <c r="I1437" s="1" t="s">
        <v>4013</v>
      </c>
      <c r="J1437" s="1" t="n">
        <v>3445.23</v>
      </c>
      <c r="K1437" s="1" t="n">
        <v>3097.72</v>
      </c>
      <c r="L1437" s="1" t="n">
        <v>0</v>
      </c>
      <c r="M1437" s="1" t="n">
        <v>3097.72</v>
      </c>
      <c r="N1437" s="1" t="s">
        <v>52</v>
      </c>
      <c r="O1437" s="1" t="s">
        <v>62</v>
      </c>
      <c r="P1437" s="1" t="n">
        <v>7</v>
      </c>
      <c r="Q1437" s="1" t="s">
        <v>42</v>
      </c>
      <c r="R1437" s="1" t="s">
        <v>74</v>
      </c>
    </row>
    <row r="1438" customFormat="false" ht="14.25" hidden="false" customHeight="true" outlineLevel="0" collapsed="false">
      <c r="A1438" s="1" t="s">
        <v>4014</v>
      </c>
      <c r="B1438" s="1" t="s">
        <v>828</v>
      </c>
      <c r="C1438" s="1" t="s">
        <v>300</v>
      </c>
      <c r="D1438" s="1" t="s">
        <v>222</v>
      </c>
      <c r="E1438" s="6" t="n">
        <v>46102</v>
      </c>
      <c r="F1438" s="6" t="n">
        <v>46100</v>
      </c>
      <c r="G1438" s="1" t="s">
        <v>108</v>
      </c>
      <c r="H1438" s="1" t="s">
        <v>240</v>
      </c>
      <c r="I1438" s="1" t="s">
        <v>4015</v>
      </c>
      <c r="J1438" s="1" t="n">
        <v>29611.55</v>
      </c>
      <c r="K1438" s="1" t="n">
        <v>21599.63</v>
      </c>
      <c r="L1438" s="1" t="n">
        <v>0</v>
      </c>
      <c r="M1438" s="1" t="n">
        <v>21599.63</v>
      </c>
      <c r="N1438" s="1" t="s">
        <v>260</v>
      </c>
      <c r="P1438" s="1" t="n">
        <v>6</v>
      </c>
      <c r="Q1438" s="1" t="s">
        <v>63</v>
      </c>
      <c r="R1438" s="1" t="s">
        <v>102</v>
      </c>
    </row>
    <row r="1439" customFormat="false" ht="14.25" hidden="false" customHeight="true" outlineLevel="0" collapsed="false">
      <c r="A1439" s="1" t="s">
        <v>4016</v>
      </c>
      <c r="B1439" s="1" t="s">
        <v>690</v>
      </c>
      <c r="C1439" s="1" t="s">
        <v>671</v>
      </c>
      <c r="D1439" s="1" t="s">
        <v>400</v>
      </c>
      <c r="E1439" s="6" t="n">
        <v>46231</v>
      </c>
      <c r="F1439" s="6" t="n">
        <v>46231</v>
      </c>
      <c r="G1439" s="1" t="s">
        <v>108</v>
      </c>
      <c r="H1439" s="1" t="s">
        <v>1625</v>
      </c>
      <c r="I1439" s="1" t="s">
        <v>4017</v>
      </c>
      <c r="J1439" s="1" t="n">
        <v>25010.5</v>
      </c>
      <c r="K1439" s="1" t="n">
        <v>18983.38</v>
      </c>
      <c r="L1439" s="1" t="n">
        <v>16196.54</v>
      </c>
      <c r="M1439" s="1" t="n">
        <v>2786.84</v>
      </c>
      <c r="N1439" s="1" t="s">
        <v>41</v>
      </c>
      <c r="P1439" s="1" t="n">
        <v>1</v>
      </c>
      <c r="Q1439" s="1" t="s">
        <v>42</v>
      </c>
      <c r="R1439" s="1" t="s">
        <v>125</v>
      </c>
      <c r="S1439" s="6" t="n">
        <v>46232</v>
      </c>
    </row>
    <row r="1440" customFormat="false" ht="14.25" hidden="false" customHeight="true" outlineLevel="0" collapsed="false">
      <c r="A1440" s="1" t="s">
        <v>4018</v>
      </c>
      <c r="B1440" s="1" t="s">
        <v>1574</v>
      </c>
      <c r="C1440" s="1" t="s">
        <v>516</v>
      </c>
      <c r="D1440" s="1" t="s">
        <v>152</v>
      </c>
      <c r="E1440" s="6" t="n">
        <v>46070</v>
      </c>
      <c r="F1440" s="6" t="n">
        <v>46066</v>
      </c>
      <c r="G1440" s="1" t="s">
        <v>70</v>
      </c>
      <c r="H1440" s="1" t="s">
        <v>4019</v>
      </c>
      <c r="I1440" s="1" t="s">
        <v>4020</v>
      </c>
      <c r="J1440" s="1" t="n">
        <v>9715.45</v>
      </c>
      <c r="K1440" s="1" t="n">
        <v>6541.67</v>
      </c>
      <c r="L1440" s="1" t="n">
        <v>5513.65</v>
      </c>
      <c r="M1440" s="1" t="n">
        <v>1028.02</v>
      </c>
      <c r="N1440" s="1" t="s">
        <v>41</v>
      </c>
      <c r="P1440" s="1" t="n">
        <v>5</v>
      </c>
      <c r="Q1440" s="1" t="s">
        <v>42</v>
      </c>
      <c r="R1440" s="1" t="s">
        <v>54</v>
      </c>
      <c r="S1440" s="6" t="n">
        <v>46075</v>
      </c>
    </row>
    <row r="1441" customFormat="false" ht="14.25" hidden="false" customHeight="true" outlineLevel="0" collapsed="false">
      <c r="A1441" s="1" t="s">
        <v>4021</v>
      </c>
      <c r="B1441" s="1" t="s">
        <v>458</v>
      </c>
      <c r="C1441" s="1" t="s">
        <v>176</v>
      </c>
      <c r="D1441" s="1" t="s">
        <v>1448</v>
      </c>
      <c r="E1441" s="6" t="n">
        <v>46173</v>
      </c>
      <c r="F1441" s="6" t="n">
        <v>46172</v>
      </c>
      <c r="G1441" s="1" t="s">
        <v>70</v>
      </c>
      <c r="H1441" s="1" t="s">
        <v>3102</v>
      </c>
      <c r="I1441" s="1" t="s">
        <v>4022</v>
      </c>
      <c r="J1441" s="1" t="n">
        <v>8265.43</v>
      </c>
      <c r="K1441" s="1" t="n">
        <v>7745.83</v>
      </c>
      <c r="L1441" s="1" t="n">
        <v>6288.19</v>
      </c>
      <c r="M1441" s="1" t="n">
        <v>1457.64</v>
      </c>
      <c r="N1441" s="1" t="s">
        <v>41</v>
      </c>
      <c r="P1441" s="1" t="n">
        <v>3</v>
      </c>
      <c r="Q1441" s="1" t="s">
        <v>155</v>
      </c>
      <c r="R1441" s="1" t="s">
        <v>125</v>
      </c>
      <c r="S1441" s="6" t="n">
        <v>46176</v>
      </c>
    </row>
    <row r="1442" customFormat="false" ht="14.25" hidden="false" customHeight="true" outlineLevel="0" collapsed="false">
      <c r="A1442" s="1" t="s">
        <v>4023</v>
      </c>
      <c r="B1442" s="1" t="s">
        <v>739</v>
      </c>
      <c r="C1442" s="1" t="s">
        <v>215</v>
      </c>
      <c r="D1442" s="1" t="s">
        <v>1077</v>
      </c>
      <c r="E1442" s="6" t="n">
        <v>46123</v>
      </c>
      <c r="F1442" s="6" t="n">
        <v>46118</v>
      </c>
      <c r="G1442" s="1" t="s">
        <v>70</v>
      </c>
      <c r="H1442" s="1" t="s">
        <v>3535</v>
      </c>
      <c r="I1442" s="1" t="s">
        <v>4024</v>
      </c>
      <c r="J1442" s="1" t="n">
        <v>17530.6</v>
      </c>
      <c r="K1442" s="1" t="n">
        <v>16514.31</v>
      </c>
      <c r="L1442" s="1" t="n">
        <v>0</v>
      </c>
      <c r="M1442" s="1" t="n">
        <v>16514.31</v>
      </c>
      <c r="N1442" s="1" t="s">
        <v>52</v>
      </c>
      <c r="O1442" s="1" t="s">
        <v>73</v>
      </c>
      <c r="P1442" s="1" t="n">
        <v>2</v>
      </c>
      <c r="Q1442" s="1" t="s">
        <v>155</v>
      </c>
      <c r="R1442" s="1" t="s">
        <v>125</v>
      </c>
    </row>
    <row r="1443" customFormat="false" ht="14.25" hidden="false" customHeight="true" outlineLevel="0" collapsed="false">
      <c r="A1443" s="1" t="s">
        <v>4025</v>
      </c>
      <c r="B1443" s="1" t="s">
        <v>1466</v>
      </c>
      <c r="C1443" s="1" t="s">
        <v>273</v>
      </c>
      <c r="D1443" s="1" t="s">
        <v>558</v>
      </c>
      <c r="E1443" s="6" t="n">
        <v>46130</v>
      </c>
      <c r="F1443" s="6" t="n">
        <v>46126</v>
      </c>
      <c r="G1443" s="1" t="s">
        <v>38</v>
      </c>
      <c r="H1443" s="1" t="s">
        <v>1390</v>
      </c>
      <c r="I1443" s="1" t="s">
        <v>4026</v>
      </c>
      <c r="J1443" s="1" t="n">
        <v>27942.01</v>
      </c>
      <c r="K1443" s="1" t="n">
        <v>22858.76</v>
      </c>
      <c r="L1443" s="1" t="n">
        <v>21116.59</v>
      </c>
      <c r="M1443" s="1" t="n">
        <v>1742.17</v>
      </c>
      <c r="N1443" s="1" t="s">
        <v>41</v>
      </c>
      <c r="P1443" s="1" t="n">
        <v>4</v>
      </c>
      <c r="Q1443" s="1" t="s">
        <v>63</v>
      </c>
      <c r="R1443" s="1" t="s">
        <v>125</v>
      </c>
      <c r="S1443" s="6" t="n">
        <v>46134</v>
      </c>
    </row>
    <row r="1444" customFormat="false" ht="14.25" hidden="false" customHeight="true" outlineLevel="0" collapsed="false">
      <c r="A1444" s="1" t="s">
        <v>4027</v>
      </c>
      <c r="B1444" s="1" t="s">
        <v>573</v>
      </c>
      <c r="C1444" s="1" t="s">
        <v>361</v>
      </c>
      <c r="D1444" s="1" t="s">
        <v>964</v>
      </c>
      <c r="E1444" s="6" t="n">
        <v>46089</v>
      </c>
      <c r="F1444" s="6" t="n">
        <v>46086</v>
      </c>
      <c r="G1444" s="1" t="s">
        <v>38</v>
      </c>
      <c r="H1444" s="1" t="s">
        <v>3018</v>
      </c>
      <c r="I1444" s="1" t="s">
        <v>4028</v>
      </c>
      <c r="J1444" s="1" t="n">
        <v>29808.73</v>
      </c>
      <c r="K1444" s="1" t="n">
        <v>20558.45</v>
      </c>
      <c r="L1444" s="1" t="n">
        <v>0</v>
      </c>
      <c r="M1444" s="1" t="n">
        <v>20558.45</v>
      </c>
      <c r="N1444" s="1" t="s">
        <v>52</v>
      </c>
      <c r="O1444" s="1" t="s">
        <v>230</v>
      </c>
      <c r="P1444" s="1" t="n">
        <v>1</v>
      </c>
      <c r="Q1444" s="1" t="s">
        <v>63</v>
      </c>
      <c r="R1444" s="1" t="s">
        <v>125</v>
      </c>
    </row>
    <row r="1445" customFormat="false" ht="14.25" hidden="false" customHeight="true" outlineLevel="0" collapsed="false">
      <c r="A1445" s="1" t="s">
        <v>4029</v>
      </c>
      <c r="B1445" s="1" t="s">
        <v>4030</v>
      </c>
      <c r="C1445" s="1" t="s">
        <v>516</v>
      </c>
      <c r="D1445" s="1" t="s">
        <v>678</v>
      </c>
      <c r="E1445" s="6" t="n">
        <v>46092</v>
      </c>
      <c r="F1445" s="6" t="n">
        <v>46092</v>
      </c>
      <c r="G1445" s="1" t="s">
        <v>38</v>
      </c>
      <c r="H1445" s="1" t="s">
        <v>4031</v>
      </c>
      <c r="I1445" s="1" t="s">
        <v>3297</v>
      </c>
      <c r="J1445" s="1" t="n">
        <v>29199.48</v>
      </c>
      <c r="K1445" s="1" t="n">
        <v>22871.93</v>
      </c>
      <c r="L1445" s="1" t="n">
        <v>19059.98</v>
      </c>
      <c r="M1445" s="1" t="n">
        <v>3811.95</v>
      </c>
      <c r="N1445" s="1" t="s">
        <v>41</v>
      </c>
      <c r="P1445" s="1" t="n">
        <v>7</v>
      </c>
      <c r="Q1445" s="1" t="s">
        <v>155</v>
      </c>
      <c r="R1445" s="1" t="s">
        <v>140</v>
      </c>
      <c r="S1445" s="6" t="n">
        <v>46099</v>
      </c>
    </row>
    <row r="1446" customFormat="false" ht="14.25" hidden="false" customHeight="true" outlineLevel="0" collapsed="false">
      <c r="A1446" s="1" t="s">
        <v>4032</v>
      </c>
      <c r="B1446" s="1" t="s">
        <v>1140</v>
      </c>
      <c r="C1446" s="1" t="s">
        <v>151</v>
      </c>
      <c r="D1446" s="1" t="s">
        <v>107</v>
      </c>
      <c r="E1446" s="6" t="n">
        <v>46153</v>
      </c>
      <c r="F1446" s="6" t="n">
        <v>46150</v>
      </c>
      <c r="G1446" s="1" t="s">
        <v>38</v>
      </c>
      <c r="H1446" s="1" t="s">
        <v>4033</v>
      </c>
      <c r="I1446" s="1" t="s">
        <v>4034</v>
      </c>
      <c r="J1446" s="1" t="n">
        <v>24315.54</v>
      </c>
      <c r="K1446" s="1" t="n">
        <v>18059.08</v>
      </c>
      <c r="L1446" s="1" t="n">
        <v>15222.43</v>
      </c>
      <c r="M1446" s="1" t="n">
        <v>2836.65</v>
      </c>
      <c r="N1446" s="1" t="s">
        <v>41</v>
      </c>
      <c r="P1446" s="1" t="n">
        <v>3</v>
      </c>
      <c r="Q1446" s="1" t="s">
        <v>42</v>
      </c>
      <c r="R1446" s="1" t="s">
        <v>54</v>
      </c>
      <c r="S1446" s="6" t="n">
        <v>46156</v>
      </c>
    </row>
    <row r="1447" customFormat="false" ht="14.25" hidden="false" customHeight="true" outlineLevel="0" collapsed="false">
      <c r="A1447" s="1" t="s">
        <v>4035</v>
      </c>
      <c r="B1447" s="1" t="s">
        <v>220</v>
      </c>
      <c r="C1447" s="1" t="s">
        <v>68</v>
      </c>
      <c r="D1447" s="1" t="s">
        <v>362</v>
      </c>
      <c r="E1447" s="6" t="n">
        <v>46168</v>
      </c>
      <c r="F1447" s="6" t="n">
        <v>46167</v>
      </c>
      <c r="G1447" s="1" t="s">
        <v>49</v>
      </c>
      <c r="H1447" s="1" t="s">
        <v>2718</v>
      </c>
      <c r="I1447" s="1" t="s">
        <v>4036</v>
      </c>
      <c r="J1447" s="1" t="n">
        <v>17423.94</v>
      </c>
      <c r="K1447" s="1" t="n">
        <v>16479.48</v>
      </c>
      <c r="L1447" s="1" t="n">
        <v>0</v>
      </c>
      <c r="M1447" s="1" t="n">
        <v>16479.48</v>
      </c>
      <c r="N1447" s="1" t="s">
        <v>52</v>
      </c>
      <c r="O1447" s="1" t="s">
        <v>73</v>
      </c>
      <c r="P1447" s="1" t="n">
        <v>2</v>
      </c>
      <c r="Q1447" s="1" t="s">
        <v>155</v>
      </c>
      <c r="R1447" s="1" t="s">
        <v>43</v>
      </c>
    </row>
    <row r="1448" customFormat="false" ht="14.25" hidden="false" customHeight="true" outlineLevel="0" collapsed="false">
      <c r="A1448" s="1" t="s">
        <v>4037</v>
      </c>
      <c r="B1448" s="1" t="s">
        <v>913</v>
      </c>
      <c r="C1448" s="1" t="s">
        <v>386</v>
      </c>
      <c r="D1448" s="1" t="s">
        <v>99</v>
      </c>
      <c r="E1448" s="6" t="n">
        <v>46119</v>
      </c>
      <c r="F1448" s="6" t="n">
        <v>46118</v>
      </c>
      <c r="G1448" s="1" t="s">
        <v>49</v>
      </c>
      <c r="H1448" s="1" t="s">
        <v>3085</v>
      </c>
      <c r="I1448" s="1" t="s">
        <v>4038</v>
      </c>
      <c r="J1448" s="1" t="n">
        <v>6841.39</v>
      </c>
      <c r="K1448" s="1" t="n">
        <v>5316.21</v>
      </c>
      <c r="L1448" s="1" t="n">
        <v>0</v>
      </c>
      <c r="M1448" s="1" t="n">
        <v>5316.21</v>
      </c>
      <c r="N1448" s="1" t="s">
        <v>111</v>
      </c>
      <c r="P1448" s="1" t="n">
        <v>8</v>
      </c>
      <c r="Q1448" s="1" t="s">
        <v>155</v>
      </c>
      <c r="R1448" s="1" t="s">
        <v>140</v>
      </c>
    </row>
    <row r="1449" customFormat="false" ht="14.25" hidden="false" customHeight="true" outlineLevel="0" collapsed="false">
      <c r="A1449" s="1" t="s">
        <v>4039</v>
      </c>
      <c r="B1449" s="1" t="s">
        <v>475</v>
      </c>
      <c r="C1449" s="1" t="s">
        <v>459</v>
      </c>
      <c r="D1449" s="1" t="s">
        <v>418</v>
      </c>
      <c r="E1449" s="6" t="n">
        <v>46202</v>
      </c>
      <c r="F1449" s="6" t="n">
        <v>46202</v>
      </c>
      <c r="G1449" s="1" t="s">
        <v>38</v>
      </c>
      <c r="H1449" s="1" t="s">
        <v>4040</v>
      </c>
      <c r="I1449" s="1" t="s">
        <v>4041</v>
      </c>
      <c r="J1449" s="1" t="n">
        <v>21573.31</v>
      </c>
      <c r="K1449" s="1" t="n">
        <v>16925.79</v>
      </c>
      <c r="L1449" s="1" t="n">
        <v>0</v>
      </c>
      <c r="M1449" s="1" t="n">
        <v>16925.79</v>
      </c>
      <c r="N1449" s="1" t="s">
        <v>52</v>
      </c>
      <c r="O1449" s="1" t="s">
        <v>53</v>
      </c>
      <c r="P1449" s="1" t="n">
        <v>4</v>
      </c>
      <c r="Q1449" s="1" t="s">
        <v>63</v>
      </c>
      <c r="R1449" s="1" t="s">
        <v>102</v>
      </c>
    </row>
    <row r="1450" customFormat="false" ht="14.25" hidden="false" customHeight="true" outlineLevel="0" collapsed="false">
      <c r="A1450" s="1" t="s">
        <v>4042</v>
      </c>
      <c r="B1450" s="1" t="s">
        <v>197</v>
      </c>
      <c r="C1450" s="1" t="s">
        <v>356</v>
      </c>
      <c r="D1450" s="1" t="s">
        <v>305</v>
      </c>
      <c r="E1450" s="6" t="n">
        <v>46060</v>
      </c>
      <c r="F1450" s="6" t="n">
        <v>46058</v>
      </c>
      <c r="G1450" s="1" t="s">
        <v>70</v>
      </c>
      <c r="H1450" s="1" t="s">
        <v>663</v>
      </c>
      <c r="I1450" s="1" t="s">
        <v>4043</v>
      </c>
      <c r="J1450" s="1" t="n">
        <v>8727.66</v>
      </c>
      <c r="K1450" s="1" t="n">
        <v>5950.24</v>
      </c>
      <c r="L1450" s="1" t="n">
        <v>4989.03</v>
      </c>
      <c r="M1450" s="1" t="n">
        <v>961.21</v>
      </c>
      <c r="N1450" s="1" t="s">
        <v>41</v>
      </c>
      <c r="P1450" s="1" t="n">
        <v>4</v>
      </c>
      <c r="Q1450" s="1" t="s">
        <v>155</v>
      </c>
      <c r="R1450" s="1" t="s">
        <v>74</v>
      </c>
      <c r="S1450" s="6" t="n">
        <v>46064</v>
      </c>
    </row>
    <row r="1451" customFormat="false" ht="14.25" hidden="false" customHeight="true" outlineLevel="0" collapsed="false">
      <c r="A1451" s="1" t="s">
        <v>4044</v>
      </c>
      <c r="B1451" s="1" t="s">
        <v>505</v>
      </c>
      <c r="C1451" s="1" t="s">
        <v>300</v>
      </c>
      <c r="D1451" s="1" t="s">
        <v>635</v>
      </c>
      <c r="E1451" s="6" t="n">
        <v>46221</v>
      </c>
      <c r="F1451" s="6" t="n">
        <v>46220</v>
      </c>
      <c r="G1451" s="1" t="s">
        <v>49</v>
      </c>
      <c r="H1451" s="1" t="s">
        <v>1497</v>
      </c>
      <c r="I1451" s="1" t="s">
        <v>4045</v>
      </c>
      <c r="J1451" s="1" t="n">
        <v>32172.44</v>
      </c>
      <c r="K1451" s="1" t="n">
        <v>23802.9</v>
      </c>
      <c r="L1451" s="1" t="n">
        <v>21816.49</v>
      </c>
      <c r="M1451" s="1" t="n">
        <v>1986.41</v>
      </c>
      <c r="N1451" s="1" t="s">
        <v>41</v>
      </c>
      <c r="P1451" s="1" t="n">
        <v>1</v>
      </c>
      <c r="Q1451" s="1" t="s">
        <v>63</v>
      </c>
      <c r="R1451" s="1" t="s">
        <v>43</v>
      </c>
      <c r="S1451" s="6" t="n">
        <v>46222</v>
      </c>
    </row>
    <row r="1452" customFormat="false" ht="14.25" hidden="false" customHeight="true" outlineLevel="0" collapsed="false">
      <c r="A1452" s="1" t="s">
        <v>4046</v>
      </c>
      <c r="B1452" s="1" t="s">
        <v>422</v>
      </c>
      <c r="C1452" s="1" t="s">
        <v>325</v>
      </c>
      <c r="D1452" s="1" t="s">
        <v>855</v>
      </c>
      <c r="E1452" s="6" t="n">
        <v>46178</v>
      </c>
      <c r="F1452" s="6" t="n">
        <v>46177</v>
      </c>
      <c r="G1452" s="1" t="s">
        <v>70</v>
      </c>
      <c r="H1452" s="1" t="s">
        <v>4047</v>
      </c>
      <c r="I1452" s="1" t="s">
        <v>4048</v>
      </c>
      <c r="J1452" s="1" t="n">
        <v>37191.83</v>
      </c>
      <c r="K1452" s="1" t="n">
        <v>33769.84</v>
      </c>
      <c r="L1452" s="1" t="n">
        <v>26621.82</v>
      </c>
      <c r="M1452" s="1" t="n">
        <v>7148.02</v>
      </c>
      <c r="N1452" s="1" t="s">
        <v>41</v>
      </c>
      <c r="P1452" s="1" t="n">
        <v>2</v>
      </c>
      <c r="Q1452" s="1" t="s">
        <v>42</v>
      </c>
      <c r="R1452" s="1" t="s">
        <v>64</v>
      </c>
      <c r="S1452" s="6" t="n">
        <v>46180</v>
      </c>
    </row>
    <row r="1453" customFormat="false" ht="14.25" hidden="false" customHeight="true" outlineLevel="0" collapsed="false">
      <c r="A1453" s="1" t="s">
        <v>4049</v>
      </c>
      <c r="B1453" s="1" t="s">
        <v>2809</v>
      </c>
      <c r="C1453" s="1" t="s">
        <v>129</v>
      </c>
      <c r="D1453" s="1" t="s">
        <v>1128</v>
      </c>
      <c r="E1453" s="6" t="n">
        <v>46225</v>
      </c>
      <c r="F1453" s="6" t="n">
        <v>46225</v>
      </c>
      <c r="G1453" s="1" t="s">
        <v>108</v>
      </c>
      <c r="H1453" s="1" t="s">
        <v>1737</v>
      </c>
      <c r="I1453" s="1" t="s">
        <v>3965</v>
      </c>
      <c r="J1453" s="1" t="n">
        <v>36929.71</v>
      </c>
      <c r="K1453" s="1" t="n">
        <v>34741.19</v>
      </c>
      <c r="L1453" s="1" t="n">
        <v>0</v>
      </c>
      <c r="M1453" s="1" t="n">
        <v>34741.19</v>
      </c>
      <c r="N1453" s="1" t="s">
        <v>111</v>
      </c>
      <c r="P1453" s="1" t="n">
        <v>8</v>
      </c>
      <c r="Q1453" s="1" t="s">
        <v>42</v>
      </c>
      <c r="R1453" s="1" t="s">
        <v>43</v>
      </c>
    </row>
    <row r="1454" customFormat="false" ht="14.25" hidden="false" customHeight="true" outlineLevel="0" collapsed="false">
      <c r="A1454" s="1" t="s">
        <v>4050</v>
      </c>
      <c r="B1454" s="1" t="s">
        <v>509</v>
      </c>
      <c r="C1454" s="1" t="s">
        <v>92</v>
      </c>
      <c r="D1454" s="1" t="s">
        <v>291</v>
      </c>
      <c r="E1454" s="6" t="n">
        <v>46171</v>
      </c>
      <c r="F1454" s="6" t="n">
        <v>46170</v>
      </c>
      <c r="G1454" s="1" t="s">
        <v>108</v>
      </c>
      <c r="H1454" s="1" t="s">
        <v>1777</v>
      </c>
      <c r="I1454" s="1" t="s">
        <v>4051</v>
      </c>
      <c r="J1454" s="1" t="n">
        <v>44091.07</v>
      </c>
      <c r="K1454" s="1" t="n">
        <v>38679.6</v>
      </c>
      <c r="L1454" s="1" t="n">
        <v>0</v>
      </c>
      <c r="M1454" s="1" t="n">
        <v>38679.6</v>
      </c>
      <c r="N1454" s="1" t="s">
        <v>260</v>
      </c>
      <c r="P1454" s="1" t="n">
        <v>7</v>
      </c>
      <c r="Q1454" s="1" t="s">
        <v>63</v>
      </c>
      <c r="R1454" s="1" t="s">
        <v>74</v>
      </c>
    </row>
    <row r="1455" customFormat="false" ht="14.25" hidden="false" customHeight="true" outlineLevel="0" collapsed="false">
      <c r="A1455" s="1" t="s">
        <v>4052</v>
      </c>
      <c r="B1455" s="1" t="s">
        <v>700</v>
      </c>
      <c r="C1455" s="1" t="s">
        <v>233</v>
      </c>
      <c r="D1455" s="1" t="s">
        <v>732</v>
      </c>
      <c r="E1455" s="6" t="n">
        <v>46166</v>
      </c>
      <c r="F1455" s="6" t="n">
        <v>46161</v>
      </c>
      <c r="G1455" s="1" t="s">
        <v>38</v>
      </c>
      <c r="H1455" s="1" t="s">
        <v>551</v>
      </c>
      <c r="I1455" s="1" t="s">
        <v>4053</v>
      </c>
      <c r="J1455" s="1" t="n">
        <v>21947.9</v>
      </c>
      <c r="K1455" s="1" t="n">
        <v>14643.62</v>
      </c>
      <c r="L1455" s="1" t="n">
        <v>12885.53</v>
      </c>
      <c r="M1455" s="1" t="n">
        <v>1758.09</v>
      </c>
      <c r="N1455" s="1" t="s">
        <v>41</v>
      </c>
      <c r="P1455" s="1" t="n">
        <v>6</v>
      </c>
      <c r="Q1455" s="1" t="s">
        <v>42</v>
      </c>
      <c r="R1455" s="1" t="s">
        <v>43</v>
      </c>
      <c r="S1455" s="6" t="n">
        <v>46172</v>
      </c>
    </row>
    <row r="1456" customFormat="false" ht="14.25" hidden="false" customHeight="true" outlineLevel="0" collapsed="false">
      <c r="A1456" s="1" t="s">
        <v>4054</v>
      </c>
      <c r="B1456" s="1" t="s">
        <v>3705</v>
      </c>
      <c r="C1456" s="1" t="s">
        <v>158</v>
      </c>
      <c r="D1456" s="1" t="s">
        <v>933</v>
      </c>
      <c r="E1456" s="6" t="n">
        <v>46207</v>
      </c>
      <c r="F1456" s="6" t="n">
        <v>46204</v>
      </c>
      <c r="G1456" s="1" t="s">
        <v>38</v>
      </c>
      <c r="H1456" s="1" t="s">
        <v>4055</v>
      </c>
      <c r="I1456" s="1" t="s">
        <v>4056</v>
      </c>
      <c r="J1456" s="1" t="n">
        <v>39532.54</v>
      </c>
      <c r="K1456" s="1" t="n">
        <v>25909.5</v>
      </c>
      <c r="L1456" s="1" t="n">
        <v>22722.08</v>
      </c>
      <c r="M1456" s="1" t="n">
        <v>3187.42</v>
      </c>
      <c r="N1456" s="1" t="s">
        <v>41</v>
      </c>
      <c r="P1456" s="1" t="n">
        <v>7</v>
      </c>
      <c r="Q1456" s="1" t="s">
        <v>155</v>
      </c>
      <c r="R1456" s="1" t="s">
        <v>125</v>
      </c>
      <c r="S1456" s="6" t="n">
        <v>46214</v>
      </c>
    </row>
    <row r="1457" customFormat="false" ht="14.25" hidden="false" customHeight="true" outlineLevel="0" collapsed="false">
      <c r="A1457" s="1" t="s">
        <v>4057</v>
      </c>
      <c r="B1457" s="1" t="s">
        <v>1408</v>
      </c>
      <c r="C1457" s="1" t="s">
        <v>176</v>
      </c>
      <c r="D1457" s="1" t="s">
        <v>648</v>
      </c>
      <c r="E1457" s="6" t="n">
        <v>46227</v>
      </c>
      <c r="F1457" s="6" t="n">
        <v>46222</v>
      </c>
      <c r="G1457" s="1" t="s">
        <v>38</v>
      </c>
      <c r="H1457" s="1" t="s">
        <v>2928</v>
      </c>
      <c r="I1457" s="1" t="s">
        <v>4058</v>
      </c>
      <c r="J1457" s="1" t="n">
        <v>36987.13</v>
      </c>
      <c r="K1457" s="1" t="n">
        <v>24931.02</v>
      </c>
      <c r="L1457" s="1" t="n">
        <v>0</v>
      </c>
      <c r="M1457" s="1" t="n">
        <v>24931.02</v>
      </c>
      <c r="N1457" s="1" t="s">
        <v>52</v>
      </c>
      <c r="O1457" s="1" t="s">
        <v>265</v>
      </c>
      <c r="P1457" s="1" t="n">
        <v>7</v>
      </c>
      <c r="Q1457" s="1" t="s">
        <v>155</v>
      </c>
      <c r="R1457" s="1" t="s">
        <v>125</v>
      </c>
    </row>
    <row r="1458" customFormat="false" ht="14.25" hidden="false" customHeight="true" outlineLevel="0" collapsed="false">
      <c r="A1458" s="1" t="s">
        <v>4059</v>
      </c>
      <c r="B1458" s="1" t="s">
        <v>670</v>
      </c>
      <c r="C1458" s="1" t="s">
        <v>300</v>
      </c>
      <c r="D1458" s="1" t="s">
        <v>648</v>
      </c>
      <c r="E1458" s="6" t="n">
        <v>46054</v>
      </c>
      <c r="F1458" s="6" t="n">
        <v>46050</v>
      </c>
      <c r="G1458" s="1" t="s">
        <v>49</v>
      </c>
      <c r="H1458" s="1" t="s">
        <v>583</v>
      </c>
      <c r="I1458" s="1" t="s">
        <v>4060</v>
      </c>
      <c r="J1458" s="1" t="n">
        <v>36602.14</v>
      </c>
      <c r="K1458" s="1" t="n">
        <v>31079.11</v>
      </c>
      <c r="L1458" s="1" t="n">
        <v>28248.03</v>
      </c>
      <c r="M1458" s="1" t="n">
        <v>2831.08</v>
      </c>
      <c r="N1458" s="1" t="s">
        <v>41</v>
      </c>
      <c r="P1458" s="1" t="n">
        <v>3</v>
      </c>
      <c r="Q1458" s="1" t="s">
        <v>155</v>
      </c>
      <c r="R1458" s="1" t="s">
        <v>74</v>
      </c>
      <c r="S1458" s="6" t="n">
        <v>46057</v>
      </c>
    </row>
    <row r="1459" customFormat="false" ht="14.25" hidden="false" customHeight="true" outlineLevel="0" collapsed="false">
      <c r="A1459" s="1" t="s">
        <v>4061</v>
      </c>
      <c r="B1459" s="1" t="s">
        <v>2318</v>
      </c>
      <c r="C1459" s="1" t="s">
        <v>459</v>
      </c>
      <c r="D1459" s="1" t="s">
        <v>511</v>
      </c>
      <c r="E1459" s="6" t="n">
        <v>46026</v>
      </c>
      <c r="F1459" s="6" t="n">
        <v>46026</v>
      </c>
      <c r="G1459" s="1" t="s">
        <v>38</v>
      </c>
      <c r="H1459" s="1" t="s">
        <v>4062</v>
      </c>
      <c r="I1459" s="1" t="s">
        <v>4063</v>
      </c>
      <c r="J1459" s="1" t="n">
        <v>8891.59</v>
      </c>
      <c r="K1459" s="1" t="n">
        <v>6213.07</v>
      </c>
      <c r="L1459" s="1" t="n">
        <v>0</v>
      </c>
      <c r="M1459" s="1" t="n">
        <v>6213.07</v>
      </c>
      <c r="N1459" s="1" t="s">
        <v>52</v>
      </c>
      <c r="O1459" s="1" t="s">
        <v>53</v>
      </c>
      <c r="P1459" s="1" t="n">
        <v>5</v>
      </c>
      <c r="Q1459" s="1" t="s">
        <v>155</v>
      </c>
      <c r="R1459" s="1" t="s">
        <v>64</v>
      </c>
    </row>
    <row r="1460" customFormat="false" ht="14.25" hidden="false" customHeight="true" outlineLevel="0" collapsed="false">
      <c r="A1460" s="1" t="s">
        <v>4064</v>
      </c>
      <c r="B1460" s="1" t="s">
        <v>489</v>
      </c>
      <c r="C1460" s="1" t="s">
        <v>151</v>
      </c>
      <c r="D1460" s="1" t="s">
        <v>396</v>
      </c>
      <c r="E1460" s="6" t="n">
        <v>46207</v>
      </c>
      <c r="F1460" s="6" t="n">
        <v>46202</v>
      </c>
      <c r="G1460" s="1" t="s">
        <v>70</v>
      </c>
      <c r="H1460" s="1" t="s">
        <v>2001</v>
      </c>
      <c r="I1460" s="1" t="s">
        <v>4065</v>
      </c>
      <c r="J1460" s="1" t="n">
        <v>8926.93</v>
      </c>
      <c r="K1460" s="1" t="n">
        <v>7660.08</v>
      </c>
      <c r="L1460" s="1" t="n">
        <v>5821.2</v>
      </c>
      <c r="M1460" s="1" t="n">
        <v>1838.88</v>
      </c>
      <c r="N1460" s="1" t="s">
        <v>41</v>
      </c>
      <c r="P1460" s="1" t="n">
        <v>7</v>
      </c>
      <c r="Q1460" s="1" t="s">
        <v>42</v>
      </c>
      <c r="R1460" s="1" t="s">
        <v>102</v>
      </c>
      <c r="S1460" s="6" t="n">
        <v>46214</v>
      </c>
    </row>
    <row r="1461" customFormat="false" ht="14.25" hidden="false" customHeight="true" outlineLevel="0" collapsed="false">
      <c r="A1461" s="1" t="s">
        <v>4066</v>
      </c>
      <c r="B1461" s="1" t="s">
        <v>2510</v>
      </c>
      <c r="C1461" s="1" t="s">
        <v>182</v>
      </c>
      <c r="D1461" s="1" t="s">
        <v>964</v>
      </c>
      <c r="E1461" s="6" t="n">
        <v>46134</v>
      </c>
      <c r="F1461" s="6" t="n">
        <v>46133</v>
      </c>
      <c r="G1461" s="1" t="s">
        <v>108</v>
      </c>
      <c r="H1461" s="1" t="s">
        <v>521</v>
      </c>
      <c r="I1461" s="1" t="s">
        <v>4067</v>
      </c>
      <c r="J1461" s="1" t="n">
        <v>24122.1</v>
      </c>
      <c r="K1461" s="1" t="n">
        <v>17742.1</v>
      </c>
      <c r="L1461" s="1" t="n">
        <v>13481.06</v>
      </c>
      <c r="M1461" s="1" t="n">
        <v>4261.04</v>
      </c>
      <c r="N1461" s="1" t="s">
        <v>41</v>
      </c>
      <c r="P1461" s="1" t="n">
        <v>4</v>
      </c>
      <c r="Q1461" s="1" t="s">
        <v>155</v>
      </c>
      <c r="R1461" s="1" t="s">
        <v>102</v>
      </c>
      <c r="S1461" s="6" t="n">
        <v>46138</v>
      </c>
    </row>
    <row r="1462" customFormat="false" ht="14.25" hidden="false" customHeight="true" outlineLevel="0" collapsed="false">
      <c r="A1462" s="1" t="s">
        <v>4068</v>
      </c>
      <c r="B1462" s="1" t="s">
        <v>716</v>
      </c>
      <c r="C1462" s="1" t="s">
        <v>430</v>
      </c>
      <c r="D1462" s="1" t="s">
        <v>79</v>
      </c>
      <c r="E1462" s="6" t="n">
        <v>46219</v>
      </c>
      <c r="F1462" s="6" t="n">
        <v>46218</v>
      </c>
      <c r="G1462" s="1" t="s">
        <v>49</v>
      </c>
      <c r="H1462" s="1" t="s">
        <v>1902</v>
      </c>
      <c r="I1462" s="1" t="s">
        <v>4069</v>
      </c>
      <c r="J1462" s="1" t="n">
        <v>9293.01</v>
      </c>
      <c r="K1462" s="1" t="n">
        <v>6487.42</v>
      </c>
      <c r="L1462" s="1" t="n">
        <v>6222.01</v>
      </c>
      <c r="M1462" s="1" t="n">
        <v>265.41</v>
      </c>
      <c r="N1462" s="1" t="s">
        <v>41</v>
      </c>
      <c r="P1462" s="1" t="n">
        <v>2</v>
      </c>
      <c r="Q1462" s="1" t="s">
        <v>42</v>
      </c>
      <c r="R1462" s="1" t="s">
        <v>54</v>
      </c>
      <c r="S1462" s="6" t="n">
        <v>46221</v>
      </c>
    </row>
    <row r="1463" customFormat="false" ht="14.25" hidden="false" customHeight="true" outlineLevel="0" collapsed="false">
      <c r="A1463" s="1" t="s">
        <v>4070</v>
      </c>
      <c r="B1463" s="1" t="s">
        <v>489</v>
      </c>
      <c r="C1463" s="1" t="s">
        <v>144</v>
      </c>
      <c r="D1463" s="1" t="s">
        <v>250</v>
      </c>
      <c r="E1463" s="6" t="n">
        <v>46130</v>
      </c>
      <c r="F1463" s="6" t="n">
        <v>46130</v>
      </c>
      <c r="G1463" s="1" t="s">
        <v>108</v>
      </c>
      <c r="H1463" s="1" t="s">
        <v>3357</v>
      </c>
      <c r="I1463" s="1" t="s">
        <v>4071</v>
      </c>
      <c r="J1463" s="1" t="n">
        <v>7606.53</v>
      </c>
      <c r="K1463" s="1" t="n">
        <v>6052.94</v>
      </c>
      <c r="L1463" s="1" t="n">
        <v>0</v>
      </c>
      <c r="M1463" s="1" t="n">
        <v>6052.94</v>
      </c>
      <c r="N1463" s="1" t="s">
        <v>52</v>
      </c>
      <c r="O1463" s="1" t="s">
        <v>230</v>
      </c>
      <c r="P1463" s="1" t="n">
        <v>1</v>
      </c>
      <c r="Q1463" s="1" t="s">
        <v>155</v>
      </c>
      <c r="R1463" s="1" t="s">
        <v>43</v>
      </c>
    </row>
    <row r="1464" customFormat="false" ht="14.25" hidden="false" customHeight="true" outlineLevel="0" collapsed="false">
      <c r="A1464" s="1" t="s">
        <v>4072</v>
      </c>
      <c r="B1464" s="1" t="s">
        <v>968</v>
      </c>
      <c r="C1464" s="1" t="s">
        <v>459</v>
      </c>
      <c r="D1464" s="1" t="s">
        <v>550</v>
      </c>
      <c r="E1464" s="6" t="n">
        <v>46135</v>
      </c>
      <c r="F1464" s="6" t="n">
        <v>46134</v>
      </c>
      <c r="G1464" s="1" t="s">
        <v>38</v>
      </c>
      <c r="H1464" s="1" t="s">
        <v>1734</v>
      </c>
      <c r="I1464" s="1" t="s">
        <v>4073</v>
      </c>
      <c r="J1464" s="1" t="n">
        <v>11310.24</v>
      </c>
      <c r="K1464" s="1" t="n">
        <v>9135.47</v>
      </c>
      <c r="L1464" s="1" t="n">
        <v>8997.05</v>
      </c>
      <c r="M1464" s="1" t="n">
        <v>138.42</v>
      </c>
      <c r="N1464" s="1" t="s">
        <v>41</v>
      </c>
      <c r="P1464" s="1" t="n">
        <v>1</v>
      </c>
      <c r="Q1464" s="1" t="s">
        <v>155</v>
      </c>
      <c r="R1464" s="1" t="s">
        <v>102</v>
      </c>
      <c r="S1464" s="6" t="n">
        <v>46136</v>
      </c>
    </row>
    <row r="1465" customFormat="false" ht="14.25" hidden="false" customHeight="true" outlineLevel="0" collapsed="false">
      <c r="A1465" s="1" t="s">
        <v>4074</v>
      </c>
      <c r="B1465" s="1" t="s">
        <v>1353</v>
      </c>
      <c r="C1465" s="1" t="s">
        <v>36</v>
      </c>
      <c r="D1465" s="1" t="s">
        <v>740</v>
      </c>
      <c r="E1465" s="6" t="n">
        <v>46131</v>
      </c>
      <c r="F1465" s="6" t="n">
        <v>46131</v>
      </c>
      <c r="G1465" s="1" t="s">
        <v>108</v>
      </c>
      <c r="H1465" s="1" t="s">
        <v>914</v>
      </c>
      <c r="I1465" s="1" t="s">
        <v>4075</v>
      </c>
      <c r="J1465" s="1" t="n">
        <v>21567.73</v>
      </c>
      <c r="K1465" s="1" t="n">
        <v>14967.66</v>
      </c>
      <c r="L1465" s="1" t="n">
        <v>12059.94</v>
      </c>
      <c r="M1465" s="1" t="n">
        <v>2907.72</v>
      </c>
      <c r="N1465" s="1" t="s">
        <v>41</v>
      </c>
      <c r="P1465" s="1" t="n">
        <v>2</v>
      </c>
      <c r="Q1465" s="1" t="s">
        <v>63</v>
      </c>
      <c r="R1465" s="1" t="s">
        <v>74</v>
      </c>
      <c r="S1465" s="6" t="n">
        <v>46133</v>
      </c>
    </row>
    <row r="1466" customFormat="false" ht="14.25" hidden="false" customHeight="true" outlineLevel="0" collapsed="false">
      <c r="A1466" s="1" t="s">
        <v>4076</v>
      </c>
      <c r="B1466" s="1" t="s">
        <v>2318</v>
      </c>
      <c r="C1466" s="1" t="s">
        <v>367</v>
      </c>
      <c r="D1466" s="1" t="s">
        <v>268</v>
      </c>
      <c r="E1466" s="6" t="n">
        <v>46049</v>
      </c>
      <c r="F1466" s="6" t="n">
        <v>46046</v>
      </c>
      <c r="G1466" s="1" t="s">
        <v>38</v>
      </c>
      <c r="H1466" s="1" t="s">
        <v>4077</v>
      </c>
      <c r="I1466" s="1" t="s">
        <v>4078</v>
      </c>
      <c r="J1466" s="1" t="n">
        <v>46965.22</v>
      </c>
      <c r="K1466" s="1" t="n">
        <v>40607.3</v>
      </c>
      <c r="L1466" s="1" t="n">
        <v>34405.44</v>
      </c>
      <c r="M1466" s="1" t="n">
        <v>6201.86</v>
      </c>
      <c r="N1466" s="1" t="s">
        <v>41</v>
      </c>
      <c r="P1466" s="1" t="n">
        <v>5</v>
      </c>
      <c r="Q1466" s="1" t="s">
        <v>63</v>
      </c>
      <c r="R1466" s="1" t="s">
        <v>43</v>
      </c>
      <c r="S1466" s="6" t="n">
        <v>46054</v>
      </c>
    </row>
    <row r="1467" customFormat="false" ht="14.25" hidden="false" customHeight="true" outlineLevel="0" collapsed="false">
      <c r="A1467" s="1" t="s">
        <v>4079</v>
      </c>
      <c r="B1467" s="1" t="s">
        <v>1197</v>
      </c>
      <c r="C1467" s="1" t="s">
        <v>221</v>
      </c>
      <c r="D1467" s="1" t="s">
        <v>145</v>
      </c>
      <c r="E1467" s="6" t="n">
        <v>46194</v>
      </c>
      <c r="F1467" s="6" t="n">
        <v>46191</v>
      </c>
      <c r="G1467" s="1" t="s">
        <v>70</v>
      </c>
      <c r="H1467" s="1" t="s">
        <v>1700</v>
      </c>
      <c r="I1467" s="1" t="s">
        <v>2360</v>
      </c>
      <c r="J1467" s="1" t="n">
        <v>24092.14</v>
      </c>
      <c r="K1467" s="1" t="n">
        <v>18697.11</v>
      </c>
      <c r="L1467" s="1" t="n">
        <v>18316.56</v>
      </c>
      <c r="M1467" s="1" t="n">
        <v>380.55</v>
      </c>
      <c r="N1467" s="1" t="s">
        <v>41</v>
      </c>
      <c r="P1467" s="1" t="n">
        <v>1</v>
      </c>
      <c r="Q1467" s="1" t="s">
        <v>155</v>
      </c>
      <c r="R1467" s="1" t="s">
        <v>64</v>
      </c>
      <c r="S1467" s="6" t="n">
        <v>46195</v>
      </c>
    </row>
    <row r="1468" customFormat="false" ht="14.25" hidden="false" customHeight="true" outlineLevel="0" collapsed="false">
      <c r="A1468" s="1" t="s">
        <v>4080</v>
      </c>
      <c r="B1468" s="1" t="s">
        <v>440</v>
      </c>
      <c r="C1468" s="1" t="s">
        <v>468</v>
      </c>
      <c r="D1468" s="1" t="s">
        <v>37</v>
      </c>
      <c r="E1468" s="6" t="n">
        <v>46036</v>
      </c>
      <c r="F1468" s="6" t="n">
        <v>46034</v>
      </c>
      <c r="G1468" s="1" t="s">
        <v>108</v>
      </c>
      <c r="H1468" s="1" t="s">
        <v>4081</v>
      </c>
      <c r="I1468" s="1" t="s">
        <v>4082</v>
      </c>
      <c r="J1468" s="1" t="n">
        <v>40538.17</v>
      </c>
      <c r="K1468" s="1" t="n">
        <v>32106.82</v>
      </c>
      <c r="L1468" s="1" t="n">
        <v>0</v>
      </c>
      <c r="M1468" s="1" t="n">
        <v>32106.82</v>
      </c>
      <c r="N1468" s="1" t="s">
        <v>52</v>
      </c>
      <c r="O1468" s="1" t="s">
        <v>53</v>
      </c>
      <c r="P1468" s="1" t="n">
        <v>6</v>
      </c>
      <c r="Q1468" s="1" t="s">
        <v>42</v>
      </c>
      <c r="R1468" s="1" t="s">
        <v>64</v>
      </c>
    </row>
    <row r="1469" customFormat="false" ht="14.25" hidden="false" customHeight="true" outlineLevel="0" collapsed="false">
      <c r="A1469" s="1" t="s">
        <v>4083</v>
      </c>
      <c r="B1469" s="1" t="s">
        <v>1132</v>
      </c>
      <c r="C1469" s="1" t="s">
        <v>543</v>
      </c>
      <c r="D1469" s="1" t="s">
        <v>595</v>
      </c>
      <c r="E1469" s="6" t="n">
        <v>46168</v>
      </c>
      <c r="F1469" s="6" t="n">
        <v>46167</v>
      </c>
      <c r="G1469" s="1" t="s">
        <v>70</v>
      </c>
      <c r="H1469" s="1" t="s">
        <v>1844</v>
      </c>
      <c r="I1469" s="1" t="s">
        <v>4084</v>
      </c>
      <c r="J1469" s="1" t="n">
        <v>35017.99</v>
      </c>
      <c r="K1469" s="1" t="n">
        <v>23194.27</v>
      </c>
      <c r="L1469" s="1" t="n">
        <v>18373.92</v>
      </c>
      <c r="M1469" s="1" t="n">
        <v>4820.35</v>
      </c>
      <c r="N1469" s="1" t="s">
        <v>41</v>
      </c>
      <c r="P1469" s="1" t="n">
        <v>4</v>
      </c>
      <c r="Q1469" s="1" t="s">
        <v>155</v>
      </c>
      <c r="R1469" s="1" t="s">
        <v>140</v>
      </c>
      <c r="S1469" s="6" t="n">
        <v>46172</v>
      </c>
    </row>
    <row r="1470" customFormat="false" ht="14.25" hidden="false" customHeight="true" outlineLevel="0" collapsed="false">
      <c r="A1470" s="1" t="s">
        <v>4085</v>
      </c>
      <c r="B1470" s="1" t="s">
        <v>1318</v>
      </c>
      <c r="C1470" s="1" t="s">
        <v>459</v>
      </c>
      <c r="D1470" s="1" t="s">
        <v>208</v>
      </c>
      <c r="E1470" s="6" t="n">
        <v>46093</v>
      </c>
      <c r="F1470" s="6" t="n">
        <v>46091</v>
      </c>
      <c r="G1470" s="1" t="s">
        <v>108</v>
      </c>
      <c r="H1470" s="1" t="s">
        <v>1777</v>
      </c>
      <c r="I1470" s="1" t="s">
        <v>4086</v>
      </c>
      <c r="J1470" s="1" t="n">
        <v>17094.44</v>
      </c>
      <c r="K1470" s="1" t="n">
        <v>12118.44</v>
      </c>
      <c r="L1470" s="1" t="n">
        <v>11584.97</v>
      </c>
      <c r="M1470" s="1" t="n">
        <v>533.47</v>
      </c>
      <c r="N1470" s="1" t="s">
        <v>41</v>
      </c>
      <c r="P1470" s="1" t="n">
        <v>5</v>
      </c>
      <c r="Q1470" s="1" t="s">
        <v>63</v>
      </c>
      <c r="R1470" s="1" t="s">
        <v>125</v>
      </c>
      <c r="S1470" s="6" t="n">
        <v>46098</v>
      </c>
    </row>
    <row r="1471" customFormat="false" ht="14.25" hidden="false" customHeight="true" outlineLevel="0" collapsed="false">
      <c r="A1471" s="1" t="s">
        <v>4087</v>
      </c>
      <c r="B1471" s="1" t="s">
        <v>1441</v>
      </c>
      <c r="C1471" s="1" t="s">
        <v>459</v>
      </c>
      <c r="D1471" s="1" t="s">
        <v>368</v>
      </c>
      <c r="E1471" s="6" t="n">
        <v>46162</v>
      </c>
      <c r="F1471" s="6" t="n">
        <v>46160</v>
      </c>
      <c r="G1471" s="1" t="s">
        <v>70</v>
      </c>
      <c r="H1471" s="1" t="s">
        <v>4088</v>
      </c>
      <c r="I1471" s="1" t="s">
        <v>4089</v>
      </c>
      <c r="J1471" s="1" t="n">
        <v>19235.77</v>
      </c>
      <c r="K1471" s="1" t="n">
        <v>16895.15</v>
      </c>
      <c r="L1471" s="1" t="n">
        <v>0</v>
      </c>
      <c r="M1471" s="1" t="n">
        <v>16895.15</v>
      </c>
      <c r="N1471" s="1" t="s">
        <v>111</v>
      </c>
      <c r="P1471" s="1" t="n">
        <v>10</v>
      </c>
      <c r="Q1471" s="1" t="s">
        <v>155</v>
      </c>
      <c r="R1471" s="1" t="s">
        <v>140</v>
      </c>
    </row>
    <row r="1472" customFormat="false" ht="14.25" hidden="false" customHeight="true" outlineLevel="0" collapsed="false">
      <c r="A1472" s="1" t="s">
        <v>4090</v>
      </c>
      <c r="B1472" s="1" t="s">
        <v>232</v>
      </c>
      <c r="C1472" s="1" t="s">
        <v>244</v>
      </c>
      <c r="D1472" s="1" t="s">
        <v>48</v>
      </c>
      <c r="E1472" s="6" t="n">
        <v>46158</v>
      </c>
      <c r="F1472" s="6" t="n">
        <v>46155</v>
      </c>
      <c r="G1472" s="1" t="s">
        <v>70</v>
      </c>
      <c r="H1472" s="1" t="s">
        <v>713</v>
      </c>
      <c r="I1472" s="1" t="s">
        <v>3478</v>
      </c>
      <c r="J1472" s="1" t="n">
        <v>13677.91</v>
      </c>
      <c r="K1472" s="1" t="n">
        <v>11569.48</v>
      </c>
      <c r="L1472" s="1" t="n">
        <v>0</v>
      </c>
      <c r="M1472" s="1" t="n">
        <v>11569.48</v>
      </c>
      <c r="N1472" s="1" t="s">
        <v>111</v>
      </c>
      <c r="P1472" s="1" t="n">
        <v>4</v>
      </c>
      <c r="Q1472" s="1" t="s">
        <v>63</v>
      </c>
      <c r="R1472" s="1" t="s">
        <v>74</v>
      </c>
    </row>
    <row r="1473" customFormat="false" ht="14.25" hidden="false" customHeight="true" outlineLevel="0" collapsed="false">
      <c r="A1473" s="1" t="s">
        <v>4091</v>
      </c>
      <c r="B1473" s="1" t="s">
        <v>1155</v>
      </c>
      <c r="C1473" s="1" t="s">
        <v>430</v>
      </c>
      <c r="D1473" s="1" t="s">
        <v>558</v>
      </c>
      <c r="E1473" s="6" t="n">
        <v>46092</v>
      </c>
      <c r="F1473" s="6" t="n">
        <v>46091</v>
      </c>
      <c r="G1473" s="1" t="s">
        <v>38</v>
      </c>
      <c r="H1473" s="1" t="s">
        <v>2362</v>
      </c>
      <c r="I1473" s="1" t="s">
        <v>4092</v>
      </c>
      <c r="J1473" s="1" t="n">
        <v>36442.59</v>
      </c>
      <c r="K1473" s="1" t="n">
        <v>26250.94</v>
      </c>
      <c r="L1473" s="1" t="n">
        <v>24808.65</v>
      </c>
      <c r="M1473" s="1" t="n">
        <v>1442.29</v>
      </c>
      <c r="N1473" s="1" t="s">
        <v>41</v>
      </c>
      <c r="P1473" s="1" t="n">
        <v>1</v>
      </c>
      <c r="Q1473" s="1" t="s">
        <v>155</v>
      </c>
      <c r="R1473" s="1" t="s">
        <v>102</v>
      </c>
      <c r="S1473" s="6" t="n">
        <v>46093</v>
      </c>
    </row>
    <row r="1474" customFormat="false" ht="14.25" hidden="false" customHeight="true" outlineLevel="0" collapsed="false">
      <c r="A1474" s="1" t="s">
        <v>4093</v>
      </c>
      <c r="B1474" s="1" t="s">
        <v>932</v>
      </c>
      <c r="C1474" s="1" t="s">
        <v>244</v>
      </c>
      <c r="D1474" s="1" t="s">
        <v>347</v>
      </c>
      <c r="E1474" s="6" t="n">
        <v>46198</v>
      </c>
      <c r="F1474" s="6" t="n">
        <v>46195</v>
      </c>
      <c r="G1474" s="1" t="s">
        <v>70</v>
      </c>
      <c r="H1474" s="1" t="s">
        <v>2008</v>
      </c>
      <c r="I1474" s="1" t="s">
        <v>4094</v>
      </c>
      <c r="J1474" s="1" t="n">
        <v>24692.07</v>
      </c>
      <c r="K1474" s="1" t="n">
        <v>20846.6</v>
      </c>
      <c r="L1474" s="1" t="n">
        <v>17774.67</v>
      </c>
      <c r="M1474" s="1" t="n">
        <v>3071.93</v>
      </c>
      <c r="N1474" s="1" t="s">
        <v>41</v>
      </c>
      <c r="P1474" s="1" t="n">
        <v>2</v>
      </c>
      <c r="Q1474" s="1" t="s">
        <v>63</v>
      </c>
      <c r="R1474" s="1" t="s">
        <v>54</v>
      </c>
      <c r="S1474" s="6" t="n">
        <v>46200</v>
      </c>
    </row>
    <row r="1475" customFormat="false" ht="14.25" hidden="false" customHeight="true" outlineLevel="0" collapsed="false">
      <c r="A1475" s="1" t="s">
        <v>4095</v>
      </c>
      <c r="B1475" s="1" t="s">
        <v>324</v>
      </c>
      <c r="C1475" s="1" t="s">
        <v>85</v>
      </c>
      <c r="D1475" s="1" t="s">
        <v>274</v>
      </c>
      <c r="E1475" s="6" t="n">
        <v>46129</v>
      </c>
      <c r="F1475" s="6" t="n">
        <v>46124</v>
      </c>
      <c r="G1475" s="1" t="s">
        <v>49</v>
      </c>
      <c r="H1475" s="1" t="s">
        <v>733</v>
      </c>
      <c r="I1475" s="1" t="s">
        <v>4096</v>
      </c>
      <c r="J1475" s="1" t="n">
        <v>27340.49</v>
      </c>
      <c r="K1475" s="1" t="n">
        <v>21473.54</v>
      </c>
      <c r="L1475" s="1" t="n">
        <v>19604.4</v>
      </c>
      <c r="M1475" s="1" t="n">
        <v>1869.14</v>
      </c>
      <c r="N1475" s="1" t="s">
        <v>41</v>
      </c>
      <c r="P1475" s="1" t="n">
        <v>6</v>
      </c>
      <c r="Q1475" s="1" t="s">
        <v>155</v>
      </c>
      <c r="R1475" s="1" t="s">
        <v>43</v>
      </c>
      <c r="S1475" s="6" t="n">
        <v>46135</v>
      </c>
    </row>
    <row r="1476" customFormat="false" ht="14.25" hidden="false" customHeight="true" outlineLevel="0" collapsed="false">
      <c r="A1476" s="1" t="s">
        <v>4097</v>
      </c>
      <c r="B1476" s="1" t="s">
        <v>2209</v>
      </c>
      <c r="C1476" s="1" t="s">
        <v>296</v>
      </c>
      <c r="D1476" s="1" t="s">
        <v>757</v>
      </c>
      <c r="E1476" s="6" t="n">
        <v>46164</v>
      </c>
      <c r="F1476" s="6" t="n">
        <v>46164</v>
      </c>
      <c r="G1476" s="1" t="s">
        <v>49</v>
      </c>
      <c r="H1476" s="1" t="s">
        <v>1831</v>
      </c>
      <c r="I1476" s="1" t="s">
        <v>4098</v>
      </c>
      <c r="J1476" s="1" t="n">
        <v>15198.26</v>
      </c>
      <c r="K1476" s="1" t="n">
        <v>13043.18</v>
      </c>
      <c r="L1476" s="1" t="n">
        <v>11476.26</v>
      </c>
      <c r="M1476" s="1" t="n">
        <v>1566.92</v>
      </c>
      <c r="N1476" s="1" t="s">
        <v>41</v>
      </c>
      <c r="P1476" s="1" t="n">
        <v>1</v>
      </c>
      <c r="Q1476" s="1" t="s">
        <v>42</v>
      </c>
      <c r="R1476" s="1" t="s">
        <v>125</v>
      </c>
      <c r="S1476" s="6" t="n">
        <v>46165</v>
      </c>
    </row>
    <row r="1477" customFormat="false" ht="14.25" hidden="false" customHeight="true" outlineLevel="0" collapsed="false">
      <c r="A1477" s="1" t="s">
        <v>4099</v>
      </c>
      <c r="B1477" s="1" t="s">
        <v>1641</v>
      </c>
      <c r="C1477" s="1" t="s">
        <v>346</v>
      </c>
      <c r="D1477" s="1" t="s">
        <v>1084</v>
      </c>
      <c r="E1477" s="6" t="n">
        <v>46051</v>
      </c>
      <c r="F1477" s="6" t="n">
        <v>46051</v>
      </c>
      <c r="G1477" s="1" t="s">
        <v>38</v>
      </c>
      <c r="H1477" s="1" t="s">
        <v>2884</v>
      </c>
      <c r="I1477" s="1" t="s">
        <v>4100</v>
      </c>
      <c r="J1477" s="1" t="n">
        <v>15749.24</v>
      </c>
      <c r="K1477" s="1" t="n">
        <v>10430.77</v>
      </c>
      <c r="L1477" s="1" t="n">
        <v>0</v>
      </c>
      <c r="M1477" s="1" t="n">
        <v>10430.77</v>
      </c>
      <c r="N1477" s="1" t="s">
        <v>52</v>
      </c>
      <c r="O1477" s="1" t="s">
        <v>73</v>
      </c>
      <c r="P1477" s="1" t="n">
        <v>8</v>
      </c>
      <c r="Q1477" s="1" t="s">
        <v>63</v>
      </c>
      <c r="R1477" s="1" t="s">
        <v>54</v>
      </c>
    </row>
    <row r="1478" customFormat="false" ht="14.25" hidden="false" customHeight="true" outlineLevel="0" collapsed="false">
      <c r="A1478" s="1" t="s">
        <v>4101</v>
      </c>
      <c r="B1478" s="1" t="s">
        <v>1376</v>
      </c>
      <c r="C1478" s="1" t="s">
        <v>346</v>
      </c>
      <c r="D1478" s="1" t="s">
        <v>362</v>
      </c>
      <c r="E1478" s="6" t="n">
        <v>46109</v>
      </c>
      <c r="F1478" s="6" t="n">
        <v>46109</v>
      </c>
      <c r="G1478" s="1" t="s">
        <v>49</v>
      </c>
      <c r="H1478" s="1" t="s">
        <v>994</v>
      </c>
      <c r="I1478" s="1" t="s">
        <v>4102</v>
      </c>
      <c r="J1478" s="1" t="n">
        <v>12774.94</v>
      </c>
      <c r="K1478" s="1" t="n">
        <v>9327.02</v>
      </c>
      <c r="L1478" s="1" t="n">
        <v>7985.81</v>
      </c>
      <c r="M1478" s="1" t="n">
        <v>1341.21</v>
      </c>
      <c r="N1478" s="1" t="s">
        <v>41</v>
      </c>
      <c r="P1478" s="1" t="n">
        <v>4</v>
      </c>
      <c r="Q1478" s="1" t="s">
        <v>42</v>
      </c>
      <c r="R1478" s="1" t="s">
        <v>140</v>
      </c>
      <c r="S1478" s="6" t="n">
        <v>46113</v>
      </c>
    </row>
    <row r="1479" customFormat="false" ht="14.25" hidden="false" customHeight="true" outlineLevel="0" collapsed="false">
      <c r="A1479" s="1" t="s">
        <v>4103</v>
      </c>
      <c r="B1479" s="1" t="s">
        <v>1239</v>
      </c>
      <c r="C1479" s="1" t="s">
        <v>361</v>
      </c>
      <c r="D1479" s="1" t="s">
        <v>216</v>
      </c>
      <c r="E1479" s="6" t="n">
        <v>46031</v>
      </c>
      <c r="F1479" s="6" t="n">
        <v>46028</v>
      </c>
      <c r="G1479" s="1" t="s">
        <v>49</v>
      </c>
      <c r="H1479" s="1" t="s">
        <v>3015</v>
      </c>
      <c r="I1479" s="1" t="s">
        <v>4104</v>
      </c>
      <c r="J1479" s="1" t="n">
        <v>39677.19</v>
      </c>
      <c r="K1479" s="1" t="n">
        <v>36559.72</v>
      </c>
      <c r="L1479" s="1" t="n">
        <v>32428.41</v>
      </c>
      <c r="M1479" s="1" t="n">
        <v>4131.31</v>
      </c>
      <c r="N1479" s="1" t="s">
        <v>41</v>
      </c>
      <c r="P1479" s="1" t="n">
        <v>3</v>
      </c>
      <c r="Q1479" s="1" t="s">
        <v>42</v>
      </c>
      <c r="R1479" s="1" t="s">
        <v>74</v>
      </c>
      <c r="S1479" s="6" t="n">
        <v>46034</v>
      </c>
    </row>
    <row r="1480" customFormat="false" ht="14.25" hidden="false" customHeight="true" outlineLevel="0" collapsed="false">
      <c r="A1480" s="1" t="s">
        <v>4105</v>
      </c>
      <c r="B1480" s="1" t="s">
        <v>243</v>
      </c>
      <c r="C1480" s="1" t="s">
        <v>279</v>
      </c>
      <c r="D1480" s="1" t="s">
        <v>799</v>
      </c>
      <c r="E1480" s="6" t="n">
        <v>46094</v>
      </c>
      <c r="F1480" s="6" t="n">
        <v>46094</v>
      </c>
      <c r="G1480" s="1" t="s">
        <v>38</v>
      </c>
      <c r="H1480" s="1" t="s">
        <v>1853</v>
      </c>
      <c r="I1480" s="1" t="s">
        <v>4106</v>
      </c>
      <c r="J1480" s="1" t="n">
        <v>38669.32</v>
      </c>
      <c r="K1480" s="1" t="n">
        <v>30380.03</v>
      </c>
      <c r="L1480" s="1" t="n">
        <v>0</v>
      </c>
      <c r="M1480" s="1" t="n">
        <v>30380.03</v>
      </c>
      <c r="N1480" s="1" t="s">
        <v>111</v>
      </c>
      <c r="P1480" s="1" t="n">
        <v>14</v>
      </c>
      <c r="Q1480" s="1" t="s">
        <v>42</v>
      </c>
      <c r="R1480" s="1" t="s">
        <v>64</v>
      </c>
    </row>
    <row r="1481" customFormat="false" ht="14.25" hidden="false" customHeight="true" outlineLevel="0" collapsed="false">
      <c r="A1481" s="1" t="s">
        <v>4107</v>
      </c>
      <c r="B1481" s="1" t="s">
        <v>2141</v>
      </c>
      <c r="C1481" s="1" t="s">
        <v>221</v>
      </c>
      <c r="D1481" s="1" t="s">
        <v>382</v>
      </c>
      <c r="E1481" s="6" t="n">
        <v>46229</v>
      </c>
      <c r="F1481" s="6" t="n">
        <v>46229</v>
      </c>
      <c r="G1481" s="1" t="s">
        <v>49</v>
      </c>
      <c r="H1481" s="1" t="s">
        <v>1958</v>
      </c>
      <c r="I1481" s="1" t="s">
        <v>4108</v>
      </c>
      <c r="J1481" s="1" t="n">
        <v>37695.78</v>
      </c>
      <c r="K1481" s="1" t="n">
        <v>30978.1</v>
      </c>
      <c r="L1481" s="1" t="n">
        <v>24816.17</v>
      </c>
      <c r="M1481" s="1" t="n">
        <v>6161.93</v>
      </c>
      <c r="N1481" s="1" t="s">
        <v>41</v>
      </c>
      <c r="P1481" s="1" t="n">
        <v>3</v>
      </c>
      <c r="Q1481" s="1" t="s">
        <v>42</v>
      </c>
      <c r="R1481" s="1" t="s">
        <v>125</v>
      </c>
      <c r="S1481" s="6" t="n">
        <v>46232</v>
      </c>
    </row>
    <row r="1482" customFormat="false" ht="14.25" hidden="false" customHeight="true" outlineLevel="0" collapsed="false">
      <c r="A1482" s="1" t="s">
        <v>4109</v>
      </c>
      <c r="B1482" s="1" t="s">
        <v>267</v>
      </c>
      <c r="C1482" s="1" t="s">
        <v>367</v>
      </c>
      <c r="D1482" s="1" t="s">
        <v>183</v>
      </c>
      <c r="E1482" s="6" t="n">
        <v>46108</v>
      </c>
      <c r="F1482" s="6" t="n">
        <v>46103</v>
      </c>
      <c r="G1482" s="1" t="s">
        <v>49</v>
      </c>
      <c r="H1482" s="1" t="s">
        <v>1660</v>
      </c>
      <c r="I1482" s="1" t="s">
        <v>4110</v>
      </c>
      <c r="J1482" s="1" t="n">
        <v>1584.41</v>
      </c>
      <c r="K1482" s="1" t="n">
        <v>1348.69</v>
      </c>
      <c r="L1482" s="1" t="n">
        <v>1113.57</v>
      </c>
      <c r="M1482" s="1" t="n">
        <v>235.12</v>
      </c>
      <c r="N1482" s="1" t="s">
        <v>41</v>
      </c>
      <c r="P1482" s="1" t="n">
        <v>3</v>
      </c>
      <c r="Q1482" s="1" t="s">
        <v>42</v>
      </c>
      <c r="R1482" s="1" t="s">
        <v>125</v>
      </c>
      <c r="S1482" s="6" t="n">
        <v>46111</v>
      </c>
    </row>
    <row r="1483" customFormat="false" ht="14.25" hidden="false" customHeight="true" outlineLevel="0" collapsed="false">
      <c r="A1483" s="1" t="s">
        <v>4111</v>
      </c>
      <c r="B1483" s="1" t="s">
        <v>1147</v>
      </c>
      <c r="C1483" s="1" t="s">
        <v>136</v>
      </c>
      <c r="D1483" s="1" t="s">
        <v>362</v>
      </c>
      <c r="E1483" s="6" t="n">
        <v>46169</v>
      </c>
      <c r="F1483" s="6" t="n">
        <v>46166</v>
      </c>
      <c r="G1483" s="1" t="s">
        <v>38</v>
      </c>
      <c r="H1483" s="1" t="s">
        <v>530</v>
      </c>
      <c r="I1483" s="1" t="s">
        <v>4112</v>
      </c>
      <c r="J1483" s="1" t="n">
        <v>38359.7</v>
      </c>
      <c r="K1483" s="1" t="n">
        <v>31206.36</v>
      </c>
      <c r="L1483" s="1" t="n">
        <v>0</v>
      </c>
      <c r="M1483" s="1" t="n">
        <v>31206.36</v>
      </c>
      <c r="N1483" s="1" t="s">
        <v>52</v>
      </c>
      <c r="O1483" s="1" t="s">
        <v>62</v>
      </c>
      <c r="P1483" s="1" t="n">
        <v>7</v>
      </c>
      <c r="Q1483" s="1" t="s">
        <v>155</v>
      </c>
      <c r="R1483" s="1" t="s">
        <v>43</v>
      </c>
    </row>
    <row r="1484" customFormat="false" ht="14.25" hidden="false" customHeight="true" outlineLevel="0" collapsed="false">
      <c r="A1484" s="1" t="s">
        <v>4113</v>
      </c>
      <c r="B1484" s="1" t="s">
        <v>721</v>
      </c>
      <c r="C1484" s="1" t="s">
        <v>430</v>
      </c>
      <c r="D1484" s="1" t="s">
        <v>648</v>
      </c>
      <c r="E1484" s="6" t="n">
        <v>46219</v>
      </c>
      <c r="F1484" s="6" t="n">
        <v>46218</v>
      </c>
      <c r="G1484" s="1" t="s">
        <v>108</v>
      </c>
      <c r="H1484" s="1" t="s">
        <v>2810</v>
      </c>
      <c r="I1484" s="1" t="s">
        <v>4114</v>
      </c>
      <c r="J1484" s="1" t="n">
        <v>48126.79</v>
      </c>
      <c r="K1484" s="1" t="n">
        <v>44223.42</v>
      </c>
      <c r="L1484" s="1" t="n">
        <v>33331.52</v>
      </c>
      <c r="M1484" s="1" t="n">
        <v>10891.9</v>
      </c>
      <c r="N1484" s="1" t="s">
        <v>41</v>
      </c>
      <c r="P1484" s="1" t="n">
        <v>4</v>
      </c>
      <c r="Q1484" s="1" t="s">
        <v>155</v>
      </c>
      <c r="R1484" s="1" t="s">
        <v>43</v>
      </c>
      <c r="S1484" s="6" t="n">
        <v>46223</v>
      </c>
    </row>
    <row r="1485" customFormat="false" ht="14.25" hidden="false" customHeight="true" outlineLevel="0" collapsed="false">
      <c r="A1485" s="1" t="s">
        <v>4115</v>
      </c>
      <c r="B1485" s="1" t="s">
        <v>756</v>
      </c>
      <c r="C1485" s="1" t="s">
        <v>436</v>
      </c>
      <c r="D1485" s="1" t="s">
        <v>347</v>
      </c>
      <c r="E1485" s="6" t="n">
        <v>46057</v>
      </c>
      <c r="F1485" s="6" t="n">
        <v>46053</v>
      </c>
      <c r="G1485" s="1" t="s">
        <v>108</v>
      </c>
      <c r="H1485" s="1" t="s">
        <v>961</v>
      </c>
      <c r="I1485" s="1" t="s">
        <v>4116</v>
      </c>
      <c r="J1485" s="1" t="n">
        <v>35270.18</v>
      </c>
      <c r="K1485" s="1" t="n">
        <v>33144.54</v>
      </c>
      <c r="L1485" s="1" t="n">
        <v>31234.29</v>
      </c>
      <c r="M1485" s="1" t="n">
        <v>1910.25</v>
      </c>
      <c r="N1485" s="1" t="s">
        <v>41</v>
      </c>
      <c r="P1485" s="1" t="n">
        <v>4</v>
      </c>
      <c r="Q1485" s="1" t="s">
        <v>63</v>
      </c>
      <c r="R1485" s="1" t="s">
        <v>64</v>
      </c>
      <c r="S1485" s="6" t="n">
        <v>46061</v>
      </c>
    </row>
    <row r="1486" customFormat="false" ht="14.25" hidden="false" customHeight="true" outlineLevel="0" collapsed="false">
      <c r="A1486" s="1" t="s">
        <v>4117</v>
      </c>
      <c r="B1486" s="1" t="s">
        <v>716</v>
      </c>
      <c r="C1486" s="1" t="s">
        <v>164</v>
      </c>
      <c r="D1486" s="1" t="s">
        <v>341</v>
      </c>
      <c r="E1486" s="6" t="n">
        <v>46091</v>
      </c>
      <c r="F1486" s="6" t="n">
        <v>46090</v>
      </c>
      <c r="G1486" s="1" t="s">
        <v>38</v>
      </c>
      <c r="H1486" s="1" t="s">
        <v>3331</v>
      </c>
      <c r="I1486" s="1" t="s">
        <v>4118</v>
      </c>
      <c r="J1486" s="1" t="n">
        <v>14950.87</v>
      </c>
      <c r="K1486" s="1" t="n">
        <v>9853.55</v>
      </c>
      <c r="L1486" s="1" t="n">
        <v>9158.78</v>
      </c>
      <c r="M1486" s="1" t="n">
        <v>694.77</v>
      </c>
      <c r="N1486" s="1" t="s">
        <v>41</v>
      </c>
      <c r="P1486" s="1" t="n">
        <v>4</v>
      </c>
      <c r="Q1486" s="1" t="s">
        <v>42</v>
      </c>
      <c r="R1486" s="1" t="s">
        <v>74</v>
      </c>
      <c r="S1486" s="6" t="n">
        <v>46095</v>
      </c>
    </row>
    <row r="1487" customFormat="false" ht="14.25" hidden="false" customHeight="true" outlineLevel="0" collapsed="false">
      <c r="A1487" s="1" t="s">
        <v>4119</v>
      </c>
      <c r="B1487" s="1" t="s">
        <v>351</v>
      </c>
      <c r="C1487" s="1" t="s">
        <v>346</v>
      </c>
      <c r="D1487" s="1" t="s">
        <v>717</v>
      </c>
      <c r="E1487" s="6" t="n">
        <v>46181</v>
      </c>
      <c r="F1487" s="6" t="n">
        <v>46176</v>
      </c>
      <c r="G1487" s="1" t="s">
        <v>38</v>
      </c>
      <c r="H1487" s="1" t="s">
        <v>1532</v>
      </c>
      <c r="I1487" s="1" t="s">
        <v>4120</v>
      </c>
      <c r="J1487" s="1" t="n">
        <v>14472.71</v>
      </c>
      <c r="K1487" s="1" t="n">
        <v>12772.55</v>
      </c>
      <c r="L1487" s="1" t="n">
        <v>11528.81</v>
      </c>
      <c r="M1487" s="1" t="n">
        <v>1243.74</v>
      </c>
      <c r="N1487" s="1" t="s">
        <v>41</v>
      </c>
      <c r="P1487" s="1" t="n">
        <v>7</v>
      </c>
      <c r="Q1487" s="1" t="s">
        <v>42</v>
      </c>
      <c r="R1487" s="1" t="s">
        <v>43</v>
      </c>
      <c r="S1487" s="6" t="n">
        <v>46188</v>
      </c>
    </row>
    <row r="1488" customFormat="false" ht="14.25" hidden="false" customHeight="true" outlineLevel="0" collapsed="false">
      <c r="A1488" s="1" t="s">
        <v>4121</v>
      </c>
      <c r="B1488" s="1" t="s">
        <v>582</v>
      </c>
      <c r="C1488" s="1" t="s">
        <v>468</v>
      </c>
      <c r="D1488" s="1" t="s">
        <v>881</v>
      </c>
      <c r="E1488" s="6" t="n">
        <v>46071</v>
      </c>
      <c r="F1488" s="6" t="n">
        <v>46071</v>
      </c>
      <c r="G1488" s="1" t="s">
        <v>70</v>
      </c>
      <c r="H1488" s="1" t="s">
        <v>2273</v>
      </c>
      <c r="I1488" s="1" t="s">
        <v>4122</v>
      </c>
      <c r="J1488" s="1" t="n">
        <v>49813.59</v>
      </c>
      <c r="K1488" s="1" t="n">
        <v>40306.7</v>
      </c>
      <c r="L1488" s="1" t="n">
        <v>39889.42</v>
      </c>
      <c r="M1488" s="1" t="n">
        <v>417.28</v>
      </c>
      <c r="N1488" s="1" t="s">
        <v>41</v>
      </c>
      <c r="P1488" s="1" t="n">
        <v>5</v>
      </c>
      <c r="Q1488" s="1" t="s">
        <v>155</v>
      </c>
      <c r="R1488" s="1" t="s">
        <v>74</v>
      </c>
      <c r="S1488" s="6" t="n">
        <v>46076</v>
      </c>
    </row>
    <row r="1489" customFormat="false" ht="14.25" hidden="false" customHeight="true" outlineLevel="0" collapsed="false">
      <c r="A1489" s="1" t="s">
        <v>4123</v>
      </c>
      <c r="B1489" s="1" t="s">
        <v>611</v>
      </c>
      <c r="C1489" s="1" t="s">
        <v>136</v>
      </c>
      <c r="D1489" s="1" t="s">
        <v>69</v>
      </c>
      <c r="E1489" s="6" t="n">
        <v>46065</v>
      </c>
      <c r="F1489" s="6" t="n">
        <v>46060</v>
      </c>
      <c r="G1489" s="1" t="s">
        <v>108</v>
      </c>
      <c r="H1489" s="1" t="s">
        <v>2047</v>
      </c>
      <c r="I1489" s="1" t="s">
        <v>4124</v>
      </c>
      <c r="J1489" s="1" t="n">
        <v>37148.85</v>
      </c>
      <c r="K1489" s="1" t="n">
        <v>29339.14</v>
      </c>
      <c r="L1489" s="1" t="n">
        <v>0</v>
      </c>
      <c r="M1489" s="1" t="n">
        <v>29339.14</v>
      </c>
      <c r="N1489" s="1" t="s">
        <v>111</v>
      </c>
      <c r="P1489" s="1" t="n">
        <v>12</v>
      </c>
      <c r="Q1489" s="1" t="s">
        <v>42</v>
      </c>
      <c r="R1489" s="1" t="s">
        <v>102</v>
      </c>
    </row>
    <row r="1490" customFormat="false" ht="14.25" hidden="false" customHeight="true" outlineLevel="0" collapsed="false">
      <c r="A1490" s="1" t="s">
        <v>4125</v>
      </c>
      <c r="B1490" s="1" t="s">
        <v>319</v>
      </c>
      <c r="C1490" s="1" t="s">
        <v>92</v>
      </c>
      <c r="D1490" s="1" t="s">
        <v>717</v>
      </c>
      <c r="E1490" s="6" t="n">
        <v>46193</v>
      </c>
      <c r="F1490" s="6" t="n">
        <v>46192</v>
      </c>
      <c r="G1490" s="1" t="s">
        <v>70</v>
      </c>
      <c r="H1490" s="1" t="s">
        <v>3970</v>
      </c>
      <c r="I1490" s="1" t="s">
        <v>4126</v>
      </c>
      <c r="J1490" s="1" t="n">
        <v>17515.12</v>
      </c>
      <c r="K1490" s="1" t="n">
        <v>14775.05</v>
      </c>
      <c r="L1490" s="1" t="n">
        <v>0</v>
      </c>
      <c r="M1490" s="1" t="n">
        <v>14775.05</v>
      </c>
      <c r="N1490" s="1" t="s">
        <v>111</v>
      </c>
      <c r="P1490" s="1" t="n">
        <v>13</v>
      </c>
      <c r="Q1490" s="1" t="s">
        <v>42</v>
      </c>
      <c r="R1490" s="1" t="s">
        <v>64</v>
      </c>
    </row>
    <row r="1491" customFormat="false" ht="14.25" hidden="false" customHeight="true" outlineLevel="0" collapsed="false">
      <c r="A1491" s="1" t="s">
        <v>4127</v>
      </c>
      <c r="B1491" s="1" t="s">
        <v>565</v>
      </c>
      <c r="C1491" s="1" t="s">
        <v>136</v>
      </c>
      <c r="D1491" s="1" t="s">
        <v>320</v>
      </c>
      <c r="E1491" s="6" t="n">
        <v>46048</v>
      </c>
      <c r="F1491" s="6" t="n">
        <v>46046</v>
      </c>
      <c r="G1491" s="1" t="s">
        <v>70</v>
      </c>
      <c r="H1491" s="1" t="s">
        <v>1085</v>
      </c>
      <c r="I1491" s="1" t="s">
        <v>4128</v>
      </c>
      <c r="J1491" s="1" t="n">
        <v>47004.38</v>
      </c>
      <c r="K1491" s="1" t="n">
        <v>41477.29</v>
      </c>
      <c r="L1491" s="1" t="n">
        <v>32294.61</v>
      </c>
      <c r="M1491" s="1" t="n">
        <v>9182.68</v>
      </c>
      <c r="N1491" s="1" t="s">
        <v>41</v>
      </c>
      <c r="P1491" s="1" t="n">
        <v>1</v>
      </c>
      <c r="Q1491" s="1" t="s">
        <v>155</v>
      </c>
      <c r="R1491" s="1" t="s">
        <v>140</v>
      </c>
      <c r="S1491" s="6" t="n">
        <v>46049</v>
      </c>
    </row>
    <row r="1492" customFormat="false" ht="14.25" hidden="false" customHeight="true" outlineLevel="0" collapsed="false">
      <c r="A1492" s="1" t="s">
        <v>4129</v>
      </c>
      <c r="B1492" s="1" t="s">
        <v>1462</v>
      </c>
      <c r="C1492" s="1" t="s">
        <v>176</v>
      </c>
      <c r="D1492" s="1" t="s">
        <v>250</v>
      </c>
      <c r="E1492" s="6" t="n">
        <v>46034</v>
      </c>
      <c r="F1492" s="6" t="n">
        <v>46030</v>
      </c>
      <c r="G1492" s="1" t="s">
        <v>38</v>
      </c>
      <c r="H1492" s="1" t="s">
        <v>4130</v>
      </c>
      <c r="I1492" s="1" t="s">
        <v>3069</v>
      </c>
      <c r="J1492" s="1" t="n">
        <v>2056.55</v>
      </c>
      <c r="K1492" s="1" t="n">
        <v>1732</v>
      </c>
      <c r="L1492" s="1" t="n">
        <v>0</v>
      </c>
      <c r="M1492" s="1" t="n">
        <v>1732</v>
      </c>
      <c r="N1492" s="1" t="s">
        <v>111</v>
      </c>
      <c r="P1492" s="1" t="n">
        <v>5</v>
      </c>
      <c r="Q1492" s="1" t="s">
        <v>42</v>
      </c>
      <c r="R1492" s="1" t="s">
        <v>43</v>
      </c>
    </row>
    <row r="1493" customFormat="false" ht="14.25" hidden="false" customHeight="true" outlineLevel="0" collapsed="false">
      <c r="A1493" s="1" t="s">
        <v>4131</v>
      </c>
      <c r="B1493" s="1" t="s">
        <v>2845</v>
      </c>
      <c r="C1493" s="1" t="s">
        <v>273</v>
      </c>
      <c r="D1493" s="1" t="s">
        <v>1166</v>
      </c>
      <c r="E1493" s="6" t="n">
        <v>46164</v>
      </c>
      <c r="F1493" s="6" t="n">
        <v>46163</v>
      </c>
      <c r="G1493" s="1" t="s">
        <v>108</v>
      </c>
      <c r="H1493" s="1" t="s">
        <v>1270</v>
      </c>
      <c r="I1493" s="1" t="s">
        <v>4132</v>
      </c>
      <c r="J1493" s="1" t="n">
        <v>38634.51</v>
      </c>
      <c r="K1493" s="1" t="n">
        <v>34766.31</v>
      </c>
      <c r="L1493" s="1" t="n">
        <v>0</v>
      </c>
      <c r="M1493" s="1" t="n">
        <v>34766.31</v>
      </c>
      <c r="N1493" s="1" t="s">
        <v>111</v>
      </c>
      <c r="P1493" s="1" t="n">
        <v>12</v>
      </c>
      <c r="Q1493" s="1" t="s">
        <v>42</v>
      </c>
      <c r="R1493" s="1" t="s">
        <v>64</v>
      </c>
    </row>
    <row r="1494" customFormat="false" ht="14.25" hidden="false" customHeight="true" outlineLevel="0" collapsed="false">
      <c r="A1494" s="1" t="s">
        <v>4133</v>
      </c>
      <c r="B1494" s="1" t="s">
        <v>936</v>
      </c>
      <c r="C1494" s="1" t="s">
        <v>436</v>
      </c>
      <c r="D1494" s="1" t="s">
        <v>876</v>
      </c>
      <c r="E1494" s="6" t="n">
        <v>46195</v>
      </c>
      <c r="F1494" s="6" t="n">
        <v>46191</v>
      </c>
      <c r="G1494" s="1" t="s">
        <v>49</v>
      </c>
      <c r="H1494" s="1" t="s">
        <v>4134</v>
      </c>
      <c r="I1494" s="1" t="s">
        <v>4135</v>
      </c>
      <c r="J1494" s="1" t="n">
        <v>47594.77</v>
      </c>
      <c r="K1494" s="1" t="n">
        <v>33561.7</v>
      </c>
      <c r="L1494" s="1" t="n">
        <v>0</v>
      </c>
      <c r="M1494" s="1" t="n">
        <v>33561.7</v>
      </c>
      <c r="N1494" s="1" t="s">
        <v>260</v>
      </c>
      <c r="P1494" s="1" t="n">
        <v>8</v>
      </c>
      <c r="Q1494" s="1" t="s">
        <v>63</v>
      </c>
      <c r="R1494" s="1" t="s">
        <v>64</v>
      </c>
    </row>
    <row r="1495" customFormat="false" ht="14.25" hidden="false" customHeight="true" outlineLevel="0" collapsed="false">
      <c r="A1495" s="1" t="s">
        <v>4136</v>
      </c>
      <c r="B1495" s="1" t="s">
        <v>834</v>
      </c>
      <c r="C1495" s="1" t="s">
        <v>129</v>
      </c>
      <c r="D1495" s="1" t="s">
        <v>250</v>
      </c>
      <c r="E1495" s="6" t="n">
        <v>46198</v>
      </c>
      <c r="F1495" s="6" t="n">
        <v>46198</v>
      </c>
      <c r="G1495" s="1" t="s">
        <v>49</v>
      </c>
      <c r="H1495" s="1" t="s">
        <v>4137</v>
      </c>
      <c r="I1495" s="1" t="s">
        <v>4138</v>
      </c>
      <c r="J1495" s="1" t="n">
        <v>44285.64</v>
      </c>
      <c r="K1495" s="1" t="n">
        <v>33899.04</v>
      </c>
      <c r="L1495" s="1" t="n">
        <v>0</v>
      </c>
      <c r="M1495" s="1" t="n">
        <v>33899.04</v>
      </c>
      <c r="N1495" s="1" t="s">
        <v>111</v>
      </c>
      <c r="P1495" s="1" t="n">
        <v>5</v>
      </c>
      <c r="Q1495" s="1" t="s">
        <v>42</v>
      </c>
      <c r="R1495" s="1" t="s">
        <v>54</v>
      </c>
    </row>
    <row r="1496" customFormat="false" ht="14.25" hidden="false" customHeight="true" outlineLevel="0" collapsed="false">
      <c r="A1496" s="1" t="s">
        <v>4139</v>
      </c>
      <c r="B1496" s="1" t="s">
        <v>187</v>
      </c>
      <c r="C1496" s="1" t="s">
        <v>36</v>
      </c>
      <c r="D1496" s="1" t="s">
        <v>865</v>
      </c>
      <c r="E1496" s="6" t="n">
        <v>46159</v>
      </c>
      <c r="F1496" s="6" t="n">
        <v>46158</v>
      </c>
      <c r="G1496" s="1" t="s">
        <v>70</v>
      </c>
      <c r="H1496" s="1" t="s">
        <v>1433</v>
      </c>
      <c r="I1496" s="1" t="s">
        <v>4140</v>
      </c>
      <c r="J1496" s="1" t="n">
        <v>12385.33</v>
      </c>
      <c r="K1496" s="1" t="n">
        <v>8496.51</v>
      </c>
      <c r="L1496" s="1" t="n">
        <v>0</v>
      </c>
      <c r="M1496" s="1" t="n">
        <v>8496.51</v>
      </c>
      <c r="N1496" s="1" t="s">
        <v>52</v>
      </c>
      <c r="O1496" s="1" t="s">
        <v>265</v>
      </c>
      <c r="P1496" s="1" t="n">
        <v>1</v>
      </c>
      <c r="Q1496" s="1" t="s">
        <v>155</v>
      </c>
      <c r="R1496" s="1" t="s">
        <v>102</v>
      </c>
    </row>
    <row r="1497" customFormat="false" ht="14.25" hidden="false" customHeight="true" outlineLevel="0" collapsed="false">
      <c r="A1497" s="1" t="s">
        <v>4141</v>
      </c>
      <c r="B1497" s="1" t="s">
        <v>458</v>
      </c>
      <c r="C1497" s="1" t="s">
        <v>436</v>
      </c>
      <c r="D1497" s="1" t="s">
        <v>648</v>
      </c>
      <c r="E1497" s="6" t="n">
        <v>46232</v>
      </c>
      <c r="F1497" s="6" t="n">
        <v>46228</v>
      </c>
      <c r="G1497" s="1" t="s">
        <v>108</v>
      </c>
      <c r="H1497" s="1" t="s">
        <v>1285</v>
      </c>
      <c r="I1497" s="1" t="s">
        <v>4142</v>
      </c>
      <c r="J1497" s="1" t="n">
        <v>32722.56</v>
      </c>
      <c r="K1497" s="1" t="n">
        <v>27571.29</v>
      </c>
      <c r="L1497" s="1" t="n">
        <v>22980.72</v>
      </c>
      <c r="M1497" s="1" t="n">
        <v>4590.57</v>
      </c>
      <c r="N1497" s="1" t="s">
        <v>41</v>
      </c>
      <c r="P1497" s="1" t="n">
        <v>8</v>
      </c>
      <c r="Q1497" s="1" t="s">
        <v>42</v>
      </c>
      <c r="R1497" s="1" t="s">
        <v>74</v>
      </c>
      <c r="S1497" s="6" t="n">
        <v>46240</v>
      </c>
    </row>
    <row r="1498" customFormat="false" ht="14.25" hidden="false" customHeight="true" outlineLevel="0" collapsed="false">
      <c r="A1498" s="1" t="s">
        <v>4143</v>
      </c>
      <c r="B1498" s="1" t="s">
        <v>565</v>
      </c>
      <c r="C1498" s="1" t="s">
        <v>244</v>
      </c>
      <c r="D1498" s="1" t="s">
        <v>347</v>
      </c>
      <c r="E1498" s="6" t="n">
        <v>46061</v>
      </c>
      <c r="F1498" s="6" t="n">
        <v>46059</v>
      </c>
      <c r="G1498" s="1" t="s">
        <v>70</v>
      </c>
      <c r="H1498" s="1" t="s">
        <v>506</v>
      </c>
      <c r="I1498" s="1" t="s">
        <v>4144</v>
      </c>
      <c r="J1498" s="1" t="n">
        <v>43906.81</v>
      </c>
      <c r="K1498" s="1" t="n">
        <v>31370.75</v>
      </c>
      <c r="L1498" s="1" t="n">
        <v>28207.56</v>
      </c>
      <c r="M1498" s="1" t="n">
        <v>3163.19</v>
      </c>
      <c r="N1498" s="1" t="s">
        <v>41</v>
      </c>
      <c r="P1498" s="1" t="n">
        <v>2</v>
      </c>
      <c r="Q1498" s="1" t="s">
        <v>155</v>
      </c>
      <c r="R1498" s="1" t="s">
        <v>64</v>
      </c>
      <c r="S1498" s="6" t="n">
        <v>46063</v>
      </c>
    </row>
    <row r="1499" customFormat="false" ht="14.25" hidden="false" customHeight="true" outlineLevel="0" collapsed="false">
      <c r="A1499" s="1" t="s">
        <v>4145</v>
      </c>
      <c r="B1499" s="1" t="s">
        <v>1318</v>
      </c>
      <c r="C1499" s="1" t="s">
        <v>151</v>
      </c>
      <c r="D1499" s="1" t="s">
        <v>984</v>
      </c>
      <c r="E1499" s="6" t="n">
        <v>46095</v>
      </c>
      <c r="F1499" s="6" t="n">
        <v>46091</v>
      </c>
      <c r="G1499" s="1" t="s">
        <v>70</v>
      </c>
      <c r="H1499" s="1" t="s">
        <v>4146</v>
      </c>
      <c r="I1499" s="1" t="s">
        <v>4147</v>
      </c>
      <c r="J1499" s="1" t="n">
        <v>41234.44</v>
      </c>
      <c r="K1499" s="1" t="n">
        <v>38267.77</v>
      </c>
      <c r="L1499" s="1" t="n">
        <v>29263.35</v>
      </c>
      <c r="M1499" s="1" t="n">
        <v>9004.42</v>
      </c>
      <c r="N1499" s="1" t="s">
        <v>41</v>
      </c>
      <c r="P1499" s="1" t="n">
        <v>7</v>
      </c>
      <c r="Q1499" s="1" t="s">
        <v>63</v>
      </c>
      <c r="R1499" s="1" t="s">
        <v>140</v>
      </c>
      <c r="S1499" s="6" t="n">
        <v>46102</v>
      </c>
    </row>
    <row r="1500" customFormat="false" ht="14.25" hidden="false" customHeight="true" outlineLevel="0" collapsed="false">
      <c r="A1500" s="1" t="s">
        <v>4148</v>
      </c>
      <c r="B1500" s="1" t="s">
        <v>422</v>
      </c>
      <c r="C1500" s="1" t="s">
        <v>273</v>
      </c>
      <c r="D1500" s="1" t="s">
        <v>890</v>
      </c>
      <c r="E1500" s="6" t="n">
        <v>46223</v>
      </c>
      <c r="F1500" s="6" t="n">
        <v>46218</v>
      </c>
      <c r="G1500" s="1" t="s">
        <v>49</v>
      </c>
      <c r="H1500" s="1" t="s">
        <v>1026</v>
      </c>
      <c r="I1500" s="1" t="s">
        <v>4149</v>
      </c>
      <c r="J1500" s="1" t="n">
        <v>17920.56</v>
      </c>
      <c r="K1500" s="1" t="n">
        <v>12843.52</v>
      </c>
      <c r="L1500" s="1" t="n">
        <v>12086.07</v>
      </c>
      <c r="M1500" s="1" t="n">
        <v>757.45</v>
      </c>
      <c r="N1500" s="1" t="s">
        <v>41</v>
      </c>
      <c r="P1500" s="1" t="n">
        <v>5</v>
      </c>
      <c r="Q1500" s="1" t="s">
        <v>63</v>
      </c>
      <c r="R1500" s="1" t="s">
        <v>74</v>
      </c>
      <c r="S1500" s="6" t="n">
        <v>46228</v>
      </c>
    </row>
    <row r="1501" customFormat="false" ht="14.25" hidden="false" customHeight="true" outlineLevel="0" collapsed="false">
      <c r="A1501" s="1" t="s">
        <v>4150</v>
      </c>
      <c r="B1501" s="1" t="s">
        <v>1896</v>
      </c>
      <c r="C1501" s="1" t="s">
        <v>47</v>
      </c>
      <c r="D1501" s="1" t="s">
        <v>137</v>
      </c>
      <c r="E1501" s="6" t="n">
        <v>46028</v>
      </c>
      <c r="F1501" s="6" t="n">
        <v>46027</v>
      </c>
      <c r="G1501" s="1" t="s">
        <v>49</v>
      </c>
      <c r="H1501" s="1" t="s">
        <v>4151</v>
      </c>
      <c r="I1501" s="1" t="s">
        <v>4152</v>
      </c>
      <c r="J1501" s="1" t="n">
        <v>41439.92</v>
      </c>
      <c r="K1501" s="1" t="n">
        <v>30317.16</v>
      </c>
      <c r="L1501" s="1" t="n">
        <v>0</v>
      </c>
      <c r="M1501" s="1" t="n">
        <v>30317.16</v>
      </c>
      <c r="N1501" s="1" t="s">
        <v>52</v>
      </c>
      <c r="O1501" s="1" t="s">
        <v>53</v>
      </c>
      <c r="P1501" s="1" t="n">
        <v>3</v>
      </c>
      <c r="Q1501" s="1" t="s">
        <v>42</v>
      </c>
      <c r="R1501" s="1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2.56"/>
    <col collapsed="false" customWidth="true" hidden="false" outlineLevel="0" max="2" min="2" style="1" width="16.33"/>
    <col collapsed="false" customWidth="true" hidden="false" outlineLevel="0" max="3" min="3" style="1" width="20.11"/>
    <col collapsed="false" customWidth="true" hidden="false" outlineLevel="0" max="4" min="4" style="1" width="19.21"/>
    <col collapsed="false" customWidth="true" hidden="false" outlineLevel="0" max="5" min="5" style="1" width="24.78"/>
    <col collapsed="false" customWidth="true" hidden="false" outlineLevel="0" max="1501" min="6" style="1" width="8.11"/>
    <col collapsed="false" customWidth="true" hidden="false" outlineLevel="0" max="1502" min="1502" style="1" width="10.78"/>
  </cols>
  <sheetData>
    <row r="1" customFormat="false" ht="14.25" hidden="false" customHeight="true" outlineLevel="0" collapsed="false">
      <c r="A1" s="11" t="s">
        <v>26</v>
      </c>
      <c r="B1" s="12" t="s">
        <v>4153</v>
      </c>
    </row>
    <row r="2" customFormat="false" ht="14.25" hidden="false" customHeight="true" outlineLevel="0" collapsed="false">
      <c r="A2" s="13" t="s">
        <v>260</v>
      </c>
      <c r="B2" s="14" t="n">
        <v>83</v>
      </c>
    </row>
    <row r="3" customFormat="false" ht="14.25" hidden="false" customHeight="true" outlineLevel="0" collapsed="false">
      <c r="A3" s="15" t="s">
        <v>52</v>
      </c>
      <c r="B3" s="16" t="n">
        <v>291</v>
      </c>
    </row>
    <row r="4" customFormat="false" ht="14.25" hidden="false" customHeight="true" outlineLevel="0" collapsed="false">
      <c r="A4" s="15" t="s">
        <v>41</v>
      </c>
      <c r="B4" s="16" t="n">
        <v>868</v>
      </c>
    </row>
    <row r="5" customFormat="false" ht="14.25" hidden="false" customHeight="true" outlineLevel="0" collapsed="false">
      <c r="A5" s="15" t="s">
        <v>111</v>
      </c>
      <c r="B5" s="17" t="n">
        <v>258</v>
      </c>
    </row>
    <row r="6" customFormat="false" ht="14.25" hidden="false" customHeight="true" outlineLevel="0" collapsed="false">
      <c r="A6" s="18" t="s">
        <v>4154</v>
      </c>
      <c r="B6" s="19" t="n">
        <v>1500</v>
      </c>
    </row>
    <row r="10" customFormat="false" ht="14.25" hidden="false" customHeight="true" outlineLevel="0" collapsed="false">
      <c r="A10" s="20"/>
      <c r="B10" s="21" t="s">
        <v>4155</v>
      </c>
      <c r="C10" s="22"/>
      <c r="D10" s="22"/>
      <c r="E10" s="23"/>
    </row>
    <row r="11" customFormat="false" ht="14.25" hidden="false" customHeight="true" outlineLevel="0" collapsed="false">
      <c r="A11" s="24" t="s">
        <v>19</v>
      </c>
      <c r="B11" s="25" t="s">
        <v>4156</v>
      </c>
      <c r="C11" s="26" t="s">
        <v>171</v>
      </c>
      <c r="D11" s="26" t="s">
        <v>172</v>
      </c>
      <c r="E11" s="27" t="s">
        <v>4157</v>
      </c>
    </row>
    <row r="12" customFormat="false" ht="14.25" hidden="false" customHeight="true" outlineLevel="0" collapsed="false">
      <c r="A12" s="13" t="s">
        <v>38</v>
      </c>
      <c r="B12" s="28" t="n">
        <v>353</v>
      </c>
      <c r="C12" s="29" t="n">
        <v>8837669.49</v>
      </c>
      <c r="D12" s="29" t="n">
        <v>3522797.72</v>
      </c>
      <c r="E12" s="30" t="n">
        <v>5.53257790368272</v>
      </c>
    </row>
    <row r="13" customFormat="false" ht="14.25" hidden="false" customHeight="true" outlineLevel="0" collapsed="false">
      <c r="A13" s="15" t="s">
        <v>108</v>
      </c>
      <c r="B13" s="31" t="n">
        <v>399</v>
      </c>
      <c r="C13" s="32" t="n">
        <v>10429787.81</v>
      </c>
      <c r="D13" s="32" t="n">
        <v>3917719.65</v>
      </c>
      <c r="E13" s="33" t="n">
        <v>5.54636591478697</v>
      </c>
    </row>
    <row r="14" customFormat="false" ht="14.25" hidden="false" customHeight="true" outlineLevel="0" collapsed="false">
      <c r="A14" s="15" t="s">
        <v>49</v>
      </c>
      <c r="B14" s="31" t="n">
        <v>372</v>
      </c>
      <c r="C14" s="32" t="n">
        <v>9495447.01</v>
      </c>
      <c r="D14" s="32" t="n">
        <v>4052838.05</v>
      </c>
      <c r="E14" s="33" t="n">
        <v>5.01075268817204</v>
      </c>
    </row>
    <row r="15" customFormat="false" ht="14.25" hidden="false" customHeight="true" outlineLevel="0" collapsed="false">
      <c r="A15" s="15" t="s">
        <v>70</v>
      </c>
      <c r="B15" s="34" t="n">
        <v>376</v>
      </c>
      <c r="C15" s="35" t="n">
        <v>9936667.49</v>
      </c>
      <c r="D15" s="35" t="n">
        <v>4287879.54</v>
      </c>
      <c r="E15" s="36" t="n">
        <v>5.2686170212766</v>
      </c>
    </row>
    <row r="16" customFormat="false" ht="14.25" hidden="false" customHeight="true" outlineLevel="0" collapsed="false">
      <c r="A16" s="18" t="s">
        <v>4154</v>
      </c>
      <c r="B16" s="37" t="n">
        <v>1500</v>
      </c>
      <c r="C16" s="38" t="n">
        <v>38699571.8</v>
      </c>
      <c r="D16" s="38" t="n">
        <v>15781234.96</v>
      </c>
      <c r="E16" s="39" t="n">
        <v>5.34066666666667</v>
      </c>
    </row>
    <row r="19" customFormat="false" ht="14.25" hidden="false" customHeight="true" outlineLevel="0" collapsed="false">
      <c r="A19" s="11" t="s">
        <v>27</v>
      </c>
      <c r="B19" s="12" t="s">
        <v>169</v>
      </c>
    </row>
    <row r="20" customFormat="false" ht="14.25" hidden="false" customHeight="true" outlineLevel="0" collapsed="false">
      <c r="A20" s="13" t="s">
        <v>62</v>
      </c>
      <c r="B20" s="14" t="n">
        <v>59</v>
      </c>
    </row>
    <row r="21" customFormat="false" ht="14.25" hidden="false" customHeight="true" outlineLevel="0" collapsed="false">
      <c r="A21" s="15" t="s">
        <v>230</v>
      </c>
      <c r="B21" s="16" t="n">
        <v>65</v>
      </c>
    </row>
    <row r="22" customFormat="false" ht="14.25" hidden="false" customHeight="true" outlineLevel="0" collapsed="false">
      <c r="A22" s="15" t="s">
        <v>53</v>
      </c>
      <c r="B22" s="16" t="n">
        <v>60</v>
      </c>
    </row>
    <row r="23" customFormat="false" ht="14.25" hidden="false" customHeight="true" outlineLevel="0" collapsed="false">
      <c r="A23" s="15" t="s">
        <v>265</v>
      </c>
      <c r="B23" s="16" t="n">
        <v>63</v>
      </c>
    </row>
    <row r="24" customFormat="false" ht="14.25" hidden="false" customHeight="true" outlineLevel="0" collapsed="false">
      <c r="A24" s="15" t="s">
        <v>73</v>
      </c>
      <c r="B24" s="17" t="n">
        <v>44</v>
      </c>
    </row>
    <row r="25" customFormat="false" ht="14.25" hidden="false" customHeight="true" outlineLevel="0" collapsed="false">
      <c r="A25" s="18" t="s">
        <v>4154</v>
      </c>
      <c r="B25" s="19" t="n">
        <v>291</v>
      </c>
    </row>
    <row r="31" customFormat="false" ht="14.25" hidden="false" customHeight="true" outlineLevel="0" collapsed="false">
      <c r="A31" s="20"/>
      <c r="B31" s="21" t="s">
        <v>4155</v>
      </c>
      <c r="C31" s="22"/>
      <c r="D31" s="22"/>
      <c r="E31" s="23"/>
    </row>
    <row r="32" customFormat="false" ht="14.25" hidden="false" customHeight="true" outlineLevel="0" collapsed="false">
      <c r="A32" s="24" t="s">
        <v>15</v>
      </c>
      <c r="B32" s="25" t="s">
        <v>4158</v>
      </c>
      <c r="C32" s="26" t="s">
        <v>4159</v>
      </c>
      <c r="D32" s="26" t="s">
        <v>4160</v>
      </c>
      <c r="E32" s="27" t="s">
        <v>4161</v>
      </c>
    </row>
    <row r="33" customFormat="false" ht="14.25" hidden="false" customHeight="true" outlineLevel="0" collapsed="false">
      <c r="A33" s="13" t="s">
        <v>151</v>
      </c>
      <c r="B33" s="28" t="n">
        <v>41</v>
      </c>
      <c r="C33" s="29" t="n">
        <v>1019779.96</v>
      </c>
      <c r="D33" s="29" t="n">
        <v>353902.92</v>
      </c>
      <c r="E33" s="30" t="n">
        <v>5.78048780487805</v>
      </c>
    </row>
    <row r="34" customFormat="false" ht="14.25" hidden="false" customHeight="true" outlineLevel="0" collapsed="false">
      <c r="A34" s="15" t="s">
        <v>346</v>
      </c>
      <c r="B34" s="31" t="n">
        <v>24</v>
      </c>
      <c r="C34" s="32" t="n">
        <v>478338.44</v>
      </c>
      <c r="D34" s="32" t="n">
        <v>156495.16</v>
      </c>
      <c r="E34" s="33" t="n">
        <v>6.08333333333333</v>
      </c>
    </row>
    <row r="35" customFormat="false" ht="14.25" hidden="false" customHeight="true" outlineLevel="0" collapsed="false">
      <c r="A35" s="15" t="s">
        <v>671</v>
      </c>
      <c r="B35" s="31" t="n">
        <v>25</v>
      </c>
      <c r="C35" s="32" t="n">
        <v>730419.6</v>
      </c>
      <c r="D35" s="32" t="n">
        <v>312510.45</v>
      </c>
      <c r="E35" s="33" t="n">
        <v>5.6</v>
      </c>
    </row>
    <row r="36" customFormat="false" ht="14.25" hidden="false" customHeight="true" outlineLevel="0" collapsed="false">
      <c r="A36" s="15" t="s">
        <v>182</v>
      </c>
      <c r="B36" s="31" t="n">
        <v>35</v>
      </c>
      <c r="C36" s="32" t="n">
        <v>1105415.43</v>
      </c>
      <c r="D36" s="32" t="n">
        <v>388463.12</v>
      </c>
      <c r="E36" s="33" t="n">
        <v>5.54285714285714</v>
      </c>
    </row>
    <row r="37" customFormat="false" ht="14.25" hidden="false" customHeight="true" outlineLevel="0" collapsed="false">
      <c r="A37" s="15" t="s">
        <v>686</v>
      </c>
      <c r="B37" s="31" t="n">
        <v>28</v>
      </c>
      <c r="C37" s="32" t="n">
        <v>678844</v>
      </c>
      <c r="D37" s="32" t="n">
        <v>219972.41</v>
      </c>
      <c r="E37" s="33" t="n">
        <v>6.21428571428571</v>
      </c>
    </row>
    <row r="38" customFormat="false" ht="14.25" hidden="false" customHeight="true" outlineLevel="0" collapsed="false">
      <c r="A38" s="15" t="s">
        <v>436</v>
      </c>
      <c r="B38" s="31" t="n">
        <v>35</v>
      </c>
      <c r="C38" s="32" t="n">
        <v>1120529.87</v>
      </c>
      <c r="D38" s="32" t="n">
        <v>558771.01</v>
      </c>
      <c r="E38" s="33" t="n">
        <v>5.14285714285714</v>
      </c>
    </row>
    <row r="39" customFormat="false" ht="14.25" hidden="false" customHeight="true" outlineLevel="0" collapsed="false">
      <c r="A39" s="15" t="s">
        <v>92</v>
      </c>
      <c r="B39" s="31" t="n">
        <v>41</v>
      </c>
      <c r="C39" s="32" t="n">
        <v>1069367.01</v>
      </c>
      <c r="D39" s="32" t="n">
        <v>300190.7</v>
      </c>
      <c r="E39" s="33" t="n">
        <v>5.19512195121951</v>
      </c>
    </row>
    <row r="40" customFormat="false" ht="14.25" hidden="false" customHeight="true" outlineLevel="0" collapsed="false">
      <c r="A40" s="15" t="s">
        <v>367</v>
      </c>
      <c r="B40" s="31" t="n">
        <v>35</v>
      </c>
      <c r="C40" s="32" t="n">
        <v>828698.06</v>
      </c>
      <c r="D40" s="32" t="n">
        <v>332440.07</v>
      </c>
      <c r="E40" s="33" t="n">
        <v>4.71428571428571</v>
      </c>
    </row>
    <row r="41" customFormat="false" ht="14.25" hidden="false" customHeight="true" outlineLevel="0" collapsed="false">
      <c r="A41" s="15" t="s">
        <v>158</v>
      </c>
      <c r="B41" s="31" t="n">
        <v>39</v>
      </c>
      <c r="C41" s="32" t="n">
        <v>1030718.58</v>
      </c>
      <c r="D41" s="32" t="n">
        <v>394624.93</v>
      </c>
      <c r="E41" s="33" t="n">
        <v>5.71794871794872</v>
      </c>
    </row>
    <row r="42" customFormat="false" ht="14.25" hidden="false" customHeight="true" outlineLevel="0" collapsed="false">
      <c r="A42" s="15" t="s">
        <v>296</v>
      </c>
      <c r="B42" s="31" t="n">
        <v>36</v>
      </c>
      <c r="C42" s="32" t="n">
        <v>915953.64</v>
      </c>
      <c r="D42" s="32" t="n">
        <v>408147.81</v>
      </c>
      <c r="E42" s="33" t="n">
        <v>5.02777777777778</v>
      </c>
    </row>
    <row r="43" customFormat="false" ht="14.25" hidden="false" customHeight="true" outlineLevel="0" collapsed="false">
      <c r="A43" s="15" t="s">
        <v>176</v>
      </c>
      <c r="B43" s="31" t="n">
        <v>27</v>
      </c>
      <c r="C43" s="32" t="n">
        <v>556950.02</v>
      </c>
      <c r="D43" s="32" t="n">
        <v>241726.14</v>
      </c>
      <c r="E43" s="33" t="n">
        <v>4.85185185185185</v>
      </c>
    </row>
    <row r="44" customFormat="false" ht="14.25" hidden="false" customHeight="true" outlineLevel="0" collapsed="false">
      <c r="A44" s="15" t="s">
        <v>68</v>
      </c>
      <c r="B44" s="31" t="n">
        <v>40</v>
      </c>
      <c r="C44" s="32" t="n">
        <v>1232065.98</v>
      </c>
      <c r="D44" s="32" t="n">
        <v>549472.07</v>
      </c>
      <c r="E44" s="33" t="n">
        <v>4.75</v>
      </c>
    </row>
    <row r="45" customFormat="false" ht="14.25" hidden="false" customHeight="true" outlineLevel="0" collapsed="false">
      <c r="A45" s="15" t="s">
        <v>36</v>
      </c>
      <c r="B45" s="31" t="n">
        <v>24</v>
      </c>
      <c r="C45" s="32" t="n">
        <v>714013.56</v>
      </c>
      <c r="D45" s="32" t="n">
        <v>322231.82</v>
      </c>
      <c r="E45" s="33" t="n">
        <v>5</v>
      </c>
    </row>
    <row r="46" customFormat="false" ht="14.25" hidden="false" customHeight="true" outlineLevel="0" collapsed="false">
      <c r="A46" s="15" t="s">
        <v>510</v>
      </c>
      <c r="B46" s="31" t="n">
        <v>23</v>
      </c>
      <c r="C46" s="32" t="n">
        <v>462172.38</v>
      </c>
      <c r="D46" s="32" t="n">
        <v>180758.7</v>
      </c>
      <c r="E46" s="33" t="n">
        <v>5.52173913043478</v>
      </c>
    </row>
    <row r="47" customFormat="false" ht="14.25" hidden="false" customHeight="true" outlineLevel="0" collapsed="false">
      <c r="A47" s="15" t="s">
        <v>244</v>
      </c>
      <c r="B47" s="31" t="n">
        <v>37</v>
      </c>
      <c r="C47" s="32" t="n">
        <v>825288.62</v>
      </c>
      <c r="D47" s="32" t="n">
        <v>383314.28</v>
      </c>
      <c r="E47" s="33" t="n">
        <v>4.56756756756757</v>
      </c>
    </row>
    <row r="48" customFormat="false" ht="14.25" hidden="false" customHeight="true" outlineLevel="0" collapsed="false">
      <c r="A48" s="15" t="s">
        <v>198</v>
      </c>
      <c r="B48" s="31" t="n">
        <v>28</v>
      </c>
      <c r="C48" s="32" t="n">
        <v>600590.91</v>
      </c>
      <c r="D48" s="32" t="n">
        <v>270697.68</v>
      </c>
      <c r="E48" s="33" t="n">
        <v>6.10714285714286</v>
      </c>
    </row>
    <row r="49" customFormat="false" ht="14.25" hidden="false" customHeight="true" outlineLevel="0" collapsed="false">
      <c r="A49" s="15" t="s">
        <v>85</v>
      </c>
      <c r="B49" s="31" t="n">
        <v>30</v>
      </c>
      <c r="C49" s="32" t="n">
        <v>649533.11</v>
      </c>
      <c r="D49" s="32" t="n">
        <v>222630.63</v>
      </c>
      <c r="E49" s="33" t="n">
        <v>6.06666666666667</v>
      </c>
    </row>
    <row r="50" customFormat="false" ht="14.25" hidden="false" customHeight="true" outlineLevel="0" collapsed="false">
      <c r="A50" s="15" t="s">
        <v>144</v>
      </c>
      <c r="B50" s="31" t="n">
        <v>29</v>
      </c>
      <c r="C50" s="32" t="n">
        <v>678330.91</v>
      </c>
      <c r="D50" s="32" t="n">
        <v>372566.07</v>
      </c>
      <c r="E50" s="33" t="n">
        <v>4.86206896551724</v>
      </c>
    </row>
    <row r="51" customFormat="false" ht="14.25" hidden="false" customHeight="true" outlineLevel="0" collapsed="false">
      <c r="A51" s="15" t="s">
        <v>376</v>
      </c>
      <c r="B51" s="31" t="n">
        <v>32</v>
      </c>
      <c r="C51" s="32" t="n">
        <v>801491.31</v>
      </c>
      <c r="D51" s="32" t="n">
        <v>347329.81</v>
      </c>
      <c r="E51" s="33" t="n">
        <v>4.875</v>
      </c>
    </row>
    <row r="52" customFormat="false" ht="14.25" hidden="false" customHeight="true" outlineLevel="0" collapsed="false">
      <c r="A52" s="15" t="s">
        <v>543</v>
      </c>
      <c r="B52" s="31" t="n">
        <v>27</v>
      </c>
      <c r="C52" s="32" t="n">
        <v>777118.12</v>
      </c>
      <c r="D52" s="32" t="n">
        <v>372449.38</v>
      </c>
      <c r="E52" s="33" t="n">
        <v>5.44444444444445</v>
      </c>
    </row>
    <row r="53" customFormat="false" ht="14.25" hidden="false" customHeight="true" outlineLevel="0" collapsed="false">
      <c r="A53" s="15" t="s">
        <v>386</v>
      </c>
      <c r="B53" s="31" t="n">
        <v>35</v>
      </c>
      <c r="C53" s="32" t="n">
        <v>829592.83</v>
      </c>
      <c r="D53" s="32" t="n">
        <v>275329.9</v>
      </c>
      <c r="E53" s="33" t="n">
        <v>5.31428571428571</v>
      </c>
    </row>
    <row r="54" customFormat="false" ht="14.25" hidden="false" customHeight="true" outlineLevel="0" collapsed="false">
      <c r="A54" s="15" t="s">
        <v>215</v>
      </c>
      <c r="B54" s="31" t="n">
        <v>27</v>
      </c>
      <c r="C54" s="32" t="n">
        <v>688548.83</v>
      </c>
      <c r="D54" s="32" t="n">
        <v>363652.54</v>
      </c>
      <c r="E54" s="33" t="n">
        <v>5.11111111111111</v>
      </c>
    </row>
    <row r="55" customFormat="false" ht="14.25" hidden="false" customHeight="true" outlineLevel="0" collapsed="false">
      <c r="A55" s="15" t="s">
        <v>356</v>
      </c>
      <c r="B55" s="31" t="n">
        <v>31</v>
      </c>
      <c r="C55" s="32" t="n">
        <v>648564.51</v>
      </c>
      <c r="D55" s="32" t="n">
        <v>133904.99</v>
      </c>
      <c r="E55" s="33" t="n">
        <v>6</v>
      </c>
    </row>
    <row r="56" customFormat="false" ht="14.25" hidden="false" customHeight="true" outlineLevel="0" collapsed="false">
      <c r="A56" s="15" t="s">
        <v>58</v>
      </c>
      <c r="B56" s="31" t="n">
        <v>34</v>
      </c>
      <c r="C56" s="32" t="n">
        <v>1077881.76</v>
      </c>
      <c r="D56" s="32" t="n">
        <v>296704.18</v>
      </c>
      <c r="E56" s="33" t="n">
        <v>5.14705882352941</v>
      </c>
    </row>
    <row r="57" customFormat="false" ht="14.25" hidden="false" customHeight="true" outlineLevel="0" collapsed="false">
      <c r="A57" s="15" t="s">
        <v>335</v>
      </c>
      <c r="B57" s="31" t="n">
        <v>25</v>
      </c>
      <c r="C57" s="32" t="n">
        <v>611264.06</v>
      </c>
      <c r="D57" s="32" t="n">
        <v>367025.66</v>
      </c>
      <c r="E57" s="33" t="n">
        <v>5.2</v>
      </c>
    </row>
    <row r="58" customFormat="false" ht="14.25" hidden="false" customHeight="true" outlineLevel="0" collapsed="false">
      <c r="A58" s="15" t="s">
        <v>106</v>
      </c>
      <c r="B58" s="31" t="n">
        <v>26</v>
      </c>
      <c r="C58" s="32" t="n">
        <v>740622.63</v>
      </c>
      <c r="D58" s="32" t="n">
        <v>160689.67</v>
      </c>
      <c r="E58" s="33" t="n">
        <v>5.61538461538462</v>
      </c>
    </row>
    <row r="59" customFormat="false" ht="14.25" hidden="false" customHeight="true" outlineLevel="0" collapsed="false">
      <c r="A59" s="15" t="s">
        <v>136</v>
      </c>
      <c r="B59" s="31" t="n">
        <v>34</v>
      </c>
      <c r="C59" s="32" t="n">
        <v>976906.61</v>
      </c>
      <c r="D59" s="32" t="n">
        <v>364234</v>
      </c>
      <c r="E59" s="33" t="n">
        <v>4.88235294117647</v>
      </c>
    </row>
    <row r="60" customFormat="false" ht="14.25" hidden="false" customHeight="true" outlineLevel="0" collapsed="false">
      <c r="A60" s="15" t="s">
        <v>279</v>
      </c>
      <c r="B60" s="31" t="n">
        <v>30</v>
      </c>
      <c r="C60" s="32" t="n">
        <v>789945.35</v>
      </c>
      <c r="D60" s="32" t="n">
        <v>469173.97</v>
      </c>
      <c r="E60" s="33" t="n">
        <v>4.83333333333333</v>
      </c>
    </row>
    <row r="61" customFormat="false" ht="14.25" hidden="false" customHeight="true" outlineLevel="0" collapsed="false">
      <c r="A61" s="15" t="s">
        <v>300</v>
      </c>
      <c r="B61" s="31" t="n">
        <v>30</v>
      </c>
      <c r="C61" s="32" t="n">
        <v>761333.46</v>
      </c>
      <c r="D61" s="32" t="n">
        <v>297007.49</v>
      </c>
      <c r="E61" s="33" t="n">
        <v>5.46666666666667</v>
      </c>
    </row>
    <row r="62" customFormat="false" ht="14.25" hidden="false" customHeight="true" outlineLevel="0" collapsed="false">
      <c r="A62" s="15" t="s">
        <v>413</v>
      </c>
      <c r="B62" s="31" t="n">
        <v>18</v>
      </c>
      <c r="C62" s="32" t="n">
        <v>470370.56</v>
      </c>
      <c r="D62" s="32" t="n">
        <v>264850.36</v>
      </c>
      <c r="E62" s="33" t="n">
        <v>5</v>
      </c>
    </row>
    <row r="63" customFormat="false" ht="14.25" hidden="false" customHeight="true" outlineLevel="0" collapsed="false">
      <c r="A63" s="15" t="s">
        <v>129</v>
      </c>
      <c r="B63" s="31" t="n">
        <v>29</v>
      </c>
      <c r="C63" s="32" t="n">
        <v>721859.35</v>
      </c>
      <c r="D63" s="32" t="n">
        <v>228295.24</v>
      </c>
      <c r="E63" s="33" t="n">
        <v>6.3448275862069</v>
      </c>
    </row>
    <row r="64" customFormat="false" ht="14.25" hidden="false" customHeight="true" outlineLevel="0" collapsed="false">
      <c r="A64" s="15" t="s">
        <v>900</v>
      </c>
      <c r="B64" s="31" t="n">
        <v>25</v>
      </c>
      <c r="C64" s="32" t="n">
        <v>644949.34</v>
      </c>
      <c r="D64" s="32" t="n">
        <v>254162.2</v>
      </c>
      <c r="E64" s="33" t="n">
        <v>4.08</v>
      </c>
    </row>
    <row r="65" customFormat="false" ht="14.25" hidden="false" customHeight="true" outlineLevel="0" collapsed="false">
      <c r="A65" s="15" t="s">
        <v>115</v>
      </c>
      <c r="B65" s="31" t="n">
        <v>25</v>
      </c>
      <c r="C65" s="32" t="n">
        <v>668471.31</v>
      </c>
      <c r="D65" s="32" t="n">
        <v>255048.19</v>
      </c>
      <c r="E65" s="33" t="n">
        <v>5.16</v>
      </c>
    </row>
    <row r="66" customFormat="false" ht="14.25" hidden="false" customHeight="true" outlineLevel="0" collapsed="false">
      <c r="A66" s="15" t="s">
        <v>233</v>
      </c>
      <c r="B66" s="31" t="n">
        <v>25</v>
      </c>
      <c r="C66" s="32" t="n">
        <v>721148.67</v>
      </c>
      <c r="D66" s="32" t="n">
        <v>387433.72</v>
      </c>
      <c r="E66" s="33" t="n">
        <v>4.68</v>
      </c>
    </row>
    <row r="67" customFormat="false" ht="14.25" hidden="false" customHeight="true" outlineLevel="0" collapsed="false">
      <c r="A67" s="15" t="s">
        <v>325</v>
      </c>
      <c r="B67" s="31" t="n">
        <v>31</v>
      </c>
      <c r="C67" s="32" t="n">
        <v>803285.99</v>
      </c>
      <c r="D67" s="32" t="n">
        <v>292268.57</v>
      </c>
      <c r="E67" s="33" t="n">
        <v>4.93548387096774</v>
      </c>
    </row>
    <row r="68" customFormat="false" ht="14.25" hidden="false" customHeight="true" outlineLevel="0" collapsed="false">
      <c r="A68" s="15" t="s">
        <v>468</v>
      </c>
      <c r="B68" s="31" t="n">
        <v>23</v>
      </c>
      <c r="C68" s="32" t="n">
        <v>713569.98</v>
      </c>
      <c r="D68" s="32" t="n">
        <v>313656.49</v>
      </c>
      <c r="E68" s="33" t="n">
        <v>5.26086956521739</v>
      </c>
    </row>
    <row r="69" customFormat="false" ht="14.25" hidden="false" customHeight="true" outlineLevel="0" collapsed="false">
      <c r="A69" s="15" t="s">
        <v>459</v>
      </c>
      <c r="B69" s="31" t="n">
        <v>30</v>
      </c>
      <c r="C69" s="32" t="n">
        <v>755885.23</v>
      </c>
      <c r="D69" s="32" t="n">
        <v>204691.81</v>
      </c>
      <c r="E69" s="33" t="n">
        <v>5.13333333333333</v>
      </c>
    </row>
    <row r="70" customFormat="false" ht="14.25" hidden="false" customHeight="true" outlineLevel="0" collapsed="false">
      <c r="A70" s="15" t="s">
        <v>430</v>
      </c>
      <c r="B70" s="31" t="n">
        <v>29</v>
      </c>
      <c r="C70" s="32" t="n">
        <v>668775.41</v>
      </c>
      <c r="D70" s="32" t="n">
        <v>306225.18</v>
      </c>
      <c r="E70" s="33" t="n">
        <v>4.75862068965517</v>
      </c>
    </row>
    <row r="71" customFormat="false" ht="14.25" hidden="false" customHeight="true" outlineLevel="0" collapsed="false">
      <c r="A71" s="15" t="s">
        <v>446</v>
      </c>
      <c r="B71" s="31" t="n">
        <v>32</v>
      </c>
      <c r="C71" s="32" t="n">
        <v>596652.4</v>
      </c>
      <c r="D71" s="32" t="n">
        <v>287876.45</v>
      </c>
      <c r="E71" s="33" t="n">
        <v>6.875</v>
      </c>
    </row>
    <row r="72" customFormat="false" ht="14.25" hidden="false" customHeight="true" outlineLevel="0" collapsed="false">
      <c r="A72" s="15" t="s">
        <v>516</v>
      </c>
      <c r="B72" s="31" t="n">
        <v>19</v>
      </c>
      <c r="C72" s="32" t="n">
        <v>420767.68</v>
      </c>
      <c r="D72" s="32" t="n">
        <v>174169.93</v>
      </c>
      <c r="E72" s="33" t="n">
        <v>5.89473684210526</v>
      </c>
    </row>
    <row r="73" customFormat="false" ht="14.25" hidden="false" customHeight="true" outlineLevel="0" collapsed="false">
      <c r="A73" s="15" t="s">
        <v>286</v>
      </c>
      <c r="B73" s="31" t="n">
        <v>23</v>
      </c>
      <c r="C73" s="32" t="n">
        <v>696896.37</v>
      </c>
      <c r="D73" s="32" t="n">
        <v>293081.62</v>
      </c>
      <c r="E73" s="33" t="n">
        <v>5.43478260869565</v>
      </c>
    </row>
    <row r="74" customFormat="false" ht="14.25" hidden="false" customHeight="true" outlineLevel="0" collapsed="false">
      <c r="A74" s="15" t="s">
        <v>78</v>
      </c>
      <c r="B74" s="31" t="n">
        <v>27</v>
      </c>
      <c r="C74" s="32" t="n">
        <v>587159.35</v>
      </c>
      <c r="D74" s="32" t="n">
        <v>289440</v>
      </c>
      <c r="E74" s="33" t="n">
        <v>5.11111111111111</v>
      </c>
    </row>
    <row r="75" customFormat="false" ht="14.25" hidden="false" customHeight="true" outlineLevel="0" collapsed="false">
      <c r="A75" s="15" t="s">
        <v>188</v>
      </c>
      <c r="B75" s="31" t="n">
        <v>24</v>
      </c>
      <c r="C75" s="32" t="n">
        <v>671074.29</v>
      </c>
      <c r="D75" s="32" t="n">
        <v>319040</v>
      </c>
      <c r="E75" s="33" t="n">
        <v>4.5</v>
      </c>
    </row>
    <row r="76" customFormat="false" ht="14.25" hidden="false" customHeight="true" outlineLevel="0" collapsed="false">
      <c r="A76" s="15" t="s">
        <v>164</v>
      </c>
      <c r="B76" s="31" t="n">
        <v>31</v>
      </c>
      <c r="C76" s="32" t="n">
        <v>857547.2</v>
      </c>
      <c r="D76" s="32" t="n">
        <v>368686.47</v>
      </c>
      <c r="E76" s="33" t="n">
        <v>5.93548387096774</v>
      </c>
    </row>
    <row r="77" customFormat="false" ht="14.25" hidden="false" customHeight="true" outlineLevel="0" collapsed="false">
      <c r="A77" s="15" t="s">
        <v>221</v>
      </c>
      <c r="B77" s="31" t="n">
        <v>38</v>
      </c>
      <c r="C77" s="32" t="n">
        <v>1050216.37</v>
      </c>
      <c r="D77" s="32" t="n">
        <v>464735.64</v>
      </c>
      <c r="E77" s="33" t="n">
        <v>5.55263157894737</v>
      </c>
    </row>
    <row r="78" customFormat="false" ht="14.25" hidden="false" customHeight="true" outlineLevel="0" collapsed="false">
      <c r="A78" s="15" t="s">
        <v>47</v>
      </c>
      <c r="B78" s="31" t="n">
        <v>28</v>
      </c>
      <c r="C78" s="32" t="n">
        <v>681118.15</v>
      </c>
      <c r="D78" s="32" t="n">
        <v>233743.77</v>
      </c>
      <c r="E78" s="33" t="n">
        <v>5.82142857142857</v>
      </c>
    </row>
    <row r="79" customFormat="false" ht="14.25" hidden="false" customHeight="true" outlineLevel="0" collapsed="false">
      <c r="A79" s="15" t="s">
        <v>623</v>
      </c>
      <c r="B79" s="31" t="n">
        <v>42</v>
      </c>
      <c r="C79" s="32" t="n">
        <v>921413.6</v>
      </c>
      <c r="D79" s="32" t="n">
        <v>312551.51</v>
      </c>
      <c r="E79" s="33" t="n">
        <v>5.97619047619048</v>
      </c>
    </row>
    <row r="80" customFormat="false" ht="14.25" hidden="false" customHeight="true" outlineLevel="0" collapsed="false">
      <c r="A80" s="15" t="s">
        <v>361</v>
      </c>
      <c r="B80" s="31" t="n">
        <v>30</v>
      </c>
      <c r="C80" s="32" t="n">
        <v>832451.69</v>
      </c>
      <c r="D80" s="32" t="n">
        <v>290744.21</v>
      </c>
      <c r="E80" s="33" t="n">
        <v>5.1</v>
      </c>
    </row>
    <row r="81" customFormat="false" ht="14.25" hidden="false" customHeight="true" outlineLevel="0" collapsed="false">
      <c r="A81" s="15" t="s">
        <v>273</v>
      </c>
      <c r="B81" s="31" t="n">
        <v>31</v>
      </c>
      <c r="C81" s="32" t="n">
        <v>903777.11</v>
      </c>
      <c r="D81" s="32" t="n">
        <v>471431.97</v>
      </c>
      <c r="E81" s="33" t="n">
        <v>5.16129032258065</v>
      </c>
    </row>
    <row r="82" customFormat="false" ht="14.25" hidden="false" customHeight="true" outlineLevel="0" collapsed="false">
      <c r="A82" s="15" t="s">
        <v>310</v>
      </c>
      <c r="B82" s="34" t="n">
        <v>32</v>
      </c>
      <c r="C82" s="35" t="n">
        <v>911902.2</v>
      </c>
      <c r="D82" s="35" t="n">
        <v>352684.07</v>
      </c>
      <c r="E82" s="36" t="n">
        <v>5.46875</v>
      </c>
    </row>
    <row r="83" customFormat="false" ht="14.25" hidden="false" customHeight="true" outlineLevel="0" collapsed="false">
      <c r="A83" s="18" t="s">
        <v>4154</v>
      </c>
      <c r="B83" s="37" t="n">
        <v>1500</v>
      </c>
      <c r="C83" s="38" t="n">
        <v>38699571.8</v>
      </c>
      <c r="D83" s="38" t="n">
        <v>15781234.96</v>
      </c>
      <c r="E83" s="39" t="n">
        <v>5.34066666666667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1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6" activeCellId="0" sqref="A6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5.44"/>
    <col collapsed="false" customWidth="true" hidden="false" outlineLevel="0" max="2" min="2" style="1" width="18.79"/>
    <col collapsed="false" customWidth="true" hidden="false" outlineLevel="0" max="3" min="3" style="1" width="11.56"/>
    <col collapsed="false" customWidth="true" hidden="false" outlineLevel="0" max="4" min="4" style="1" width="11.89"/>
    <col collapsed="false" customWidth="true" hidden="false" outlineLevel="0" max="5" min="5" style="1" width="12.67"/>
    <col collapsed="false" customWidth="true" hidden="false" outlineLevel="0" max="6" min="6" style="1" width="10.11"/>
    <col collapsed="false" customWidth="true" hidden="false" outlineLevel="0" max="7" min="7" style="1" width="14.21"/>
    <col collapsed="false" customWidth="true" hidden="false" outlineLevel="0" max="8" min="8" style="1" width="20.44"/>
    <col collapsed="false" customWidth="true" hidden="false" outlineLevel="0" max="9" min="9" style="1" width="16.89"/>
  </cols>
  <sheetData>
    <row r="1" customFormat="false" ht="14.25" hidden="false" customHeight="true" outlineLevel="0" collapsed="false">
      <c r="A1" s="4" t="s">
        <v>14</v>
      </c>
      <c r="B1" s="4" t="s">
        <v>4162</v>
      </c>
      <c r="C1" s="4" t="s">
        <v>4163</v>
      </c>
      <c r="D1" s="4" t="s">
        <v>4164</v>
      </c>
      <c r="E1" s="4" t="s">
        <v>4165</v>
      </c>
      <c r="F1" s="4" t="s">
        <v>4166</v>
      </c>
      <c r="G1" s="4" t="s">
        <v>4167</v>
      </c>
      <c r="H1" s="4" t="s">
        <v>4168</v>
      </c>
      <c r="I1" s="4" t="s">
        <v>4169</v>
      </c>
    </row>
    <row r="2" customFormat="false" ht="14.25" hidden="false" customHeight="true" outlineLevel="0" collapsed="false">
      <c r="A2" s="1" t="s">
        <v>659</v>
      </c>
      <c r="B2" s="1" t="s">
        <v>4170</v>
      </c>
      <c r="C2" s="1" t="s">
        <v>4171</v>
      </c>
      <c r="D2" s="6" t="n">
        <v>27489</v>
      </c>
      <c r="E2" s="1" t="s">
        <v>74</v>
      </c>
      <c r="F2" s="1" t="s">
        <v>54</v>
      </c>
      <c r="G2" s="1" t="s">
        <v>4172</v>
      </c>
      <c r="H2" s="6" t="n">
        <v>45960</v>
      </c>
      <c r="I2" s="1" t="s">
        <v>4173</v>
      </c>
    </row>
    <row r="3" customFormat="false" ht="14.25" hidden="false" customHeight="true" outlineLevel="0" collapsed="false">
      <c r="A3" s="1" t="s">
        <v>3621</v>
      </c>
      <c r="B3" s="1" t="s">
        <v>4174</v>
      </c>
      <c r="C3" s="1" t="s">
        <v>4175</v>
      </c>
      <c r="D3" s="6" t="n">
        <v>23840</v>
      </c>
      <c r="E3" s="1" t="s">
        <v>64</v>
      </c>
      <c r="F3" s="1" t="s">
        <v>4176</v>
      </c>
      <c r="G3" s="1" t="s">
        <v>4172</v>
      </c>
      <c r="H3" s="6" t="n">
        <v>45945</v>
      </c>
      <c r="I3" s="1" t="s">
        <v>4173</v>
      </c>
    </row>
    <row r="4" customFormat="false" ht="14.25" hidden="false" customHeight="true" outlineLevel="0" collapsed="false">
      <c r="A4" s="1" t="s">
        <v>475</v>
      </c>
      <c r="B4" s="1" t="s">
        <v>4177</v>
      </c>
      <c r="C4" s="1" t="s">
        <v>4171</v>
      </c>
      <c r="D4" s="6" t="n">
        <v>27260</v>
      </c>
      <c r="E4" s="1" t="s">
        <v>102</v>
      </c>
      <c r="F4" s="1" t="s">
        <v>4178</v>
      </c>
      <c r="G4" s="1" t="s">
        <v>4172</v>
      </c>
      <c r="H4" s="6" t="n">
        <v>45739</v>
      </c>
      <c r="I4" s="1" t="s">
        <v>4173</v>
      </c>
    </row>
    <row r="5" customFormat="false" ht="14.25" hidden="false" customHeight="true" outlineLevel="0" collapsed="false">
      <c r="A5" s="1" t="s">
        <v>458</v>
      </c>
      <c r="B5" s="1" t="s">
        <v>4179</v>
      </c>
      <c r="C5" s="1" t="s">
        <v>4171</v>
      </c>
      <c r="D5" s="6" t="n">
        <v>25318</v>
      </c>
      <c r="E5" s="1" t="s">
        <v>102</v>
      </c>
      <c r="F5" s="1" t="s">
        <v>54</v>
      </c>
      <c r="G5" s="1" t="s">
        <v>4172</v>
      </c>
      <c r="H5" s="6" t="n">
        <v>45852</v>
      </c>
      <c r="I5" s="1" t="s">
        <v>4173</v>
      </c>
    </row>
    <row r="6" customFormat="false" ht="14.25" hidden="false" customHeight="true" outlineLevel="0" collapsed="false">
      <c r="A6" s="1" t="s">
        <v>1311</v>
      </c>
      <c r="B6" s="1" t="s">
        <v>4180</v>
      </c>
      <c r="C6" s="1" t="s">
        <v>4171</v>
      </c>
      <c r="D6" s="6" t="n">
        <v>35941</v>
      </c>
      <c r="E6" s="1" t="s">
        <v>54</v>
      </c>
      <c r="F6" s="1" t="s">
        <v>4181</v>
      </c>
      <c r="G6" s="1" t="s">
        <v>4182</v>
      </c>
      <c r="H6" s="6" t="n">
        <v>45932</v>
      </c>
      <c r="I6" s="1" t="s">
        <v>4173</v>
      </c>
    </row>
    <row r="7" customFormat="false" ht="14.25" hidden="false" customHeight="true" outlineLevel="0" collapsed="false">
      <c r="A7" s="1" t="s">
        <v>1479</v>
      </c>
      <c r="B7" s="1" t="s">
        <v>4183</v>
      </c>
      <c r="C7" s="1" t="s">
        <v>4175</v>
      </c>
      <c r="D7" s="6" t="n">
        <v>34846</v>
      </c>
      <c r="E7" s="1" t="s">
        <v>74</v>
      </c>
      <c r="F7" s="1" t="s">
        <v>4176</v>
      </c>
      <c r="G7" s="1" t="s">
        <v>4184</v>
      </c>
      <c r="H7" s="6" t="n">
        <v>45953</v>
      </c>
      <c r="I7" s="1" t="s">
        <v>4173</v>
      </c>
    </row>
    <row r="8" customFormat="false" ht="14.25" hidden="false" customHeight="true" outlineLevel="0" collapsed="false">
      <c r="A8" s="1" t="s">
        <v>602</v>
      </c>
      <c r="B8" s="1" t="s">
        <v>4185</v>
      </c>
      <c r="C8" s="1" t="s">
        <v>4175</v>
      </c>
      <c r="D8" s="6" t="n">
        <v>37371</v>
      </c>
      <c r="E8" s="1" t="s">
        <v>102</v>
      </c>
      <c r="F8" s="1" t="s">
        <v>54</v>
      </c>
      <c r="G8" s="1" t="s">
        <v>4186</v>
      </c>
      <c r="H8" s="6" t="n">
        <v>45709</v>
      </c>
      <c r="I8" s="1" t="s">
        <v>4173</v>
      </c>
    </row>
    <row r="9" customFormat="false" ht="14.25" hidden="false" customHeight="true" outlineLevel="0" collapsed="false">
      <c r="A9" s="1" t="s">
        <v>968</v>
      </c>
      <c r="B9" s="1" t="s">
        <v>4187</v>
      </c>
      <c r="C9" s="1" t="s">
        <v>4171</v>
      </c>
      <c r="D9" s="6" t="n">
        <v>36683</v>
      </c>
      <c r="E9" s="1" t="s">
        <v>102</v>
      </c>
      <c r="F9" s="1" t="s">
        <v>4188</v>
      </c>
      <c r="G9" s="1" t="s">
        <v>4186</v>
      </c>
      <c r="H9" s="6" t="n">
        <v>46001</v>
      </c>
      <c r="I9" s="1" t="s">
        <v>4173</v>
      </c>
    </row>
    <row r="10" customFormat="false" ht="14.25" hidden="false" customHeight="true" outlineLevel="0" collapsed="false">
      <c r="A10" s="1" t="s">
        <v>2627</v>
      </c>
      <c r="B10" s="1" t="s">
        <v>4189</v>
      </c>
      <c r="C10" s="1" t="s">
        <v>4175</v>
      </c>
      <c r="D10" s="6" t="n">
        <v>34676</v>
      </c>
      <c r="E10" s="1" t="s">
        <v>140</v>
      </c>
      <c r="F10" s="1" t="s">
        <v>4190</v>
      </c>
      <c r="G10" s="1" t="s">
        <v>4182</v>
      </c>
      <c r="H10" s="6" t="n">
        <v>45796</v>
      </c>
      <c r="I10" s="1" t="s">
        <v>4173</v>
      </c>
    </row>
    <row r="11" customFormat="false" ht="14.25" hidden="false" customHeight="true" outlineLevel="0" collapsed="false">
      <c r="A11" s="1" t="s">
        <v>249</v>
      </c>
      <c r="B11" s="1" t="s">
        <v>4191</v>
      </c>
      <c r="C11" s="1" t="s">
        <v>4171</v>
      </c>
      <c r="D11" s="6" t="n">
        <v>23128</v>
      </c>
      <c r="E11" s="1" t="s">
        <v>54</v>
      </c>
      <c r="F11" s="1" t="s">
        <v>4178</v>
      </c>
      <c r="G11" s="1" t="s">
        <v>4184</v>
      </c>
      <c r="H11" s="6" t="n">
        <v>45863</v>
      </c>
      <c r="I11" s="1" t="s">
        <v>4173</v>
      </c>
    </row>
    <row r="12" customFormat="false" ht="14.25" hidden="false" customHeight="true" outlineLevel="0" collapsed="false">
      <c r="A12" s="1" t="s">
        <v>181</v>
      </c>
      <c r="B12" s="1" t="s">
        <v>4189</v>
      </c>
      <c r="C12" s="1" t="s">
        <v>4175</v>
      </c>
      <c r="D12" s="6" t="n">
        <v>35410</v>
      </c>
      <c r="E12" s="1" t="s">
        <v>140</v>
      </c>
      <c r="F12" s="1" t="s">
        <v>4181</v>
      </c>
      <c r="G12" s="1" t="s">
        <v>4182</v>
      </c>
      <c r="H12" s="6" t="n">
        <v>45860</v>
      </c>
      <c r="I12" s="1" t="s">
        <v>4173</v>
      </c>
    </row>
    <row r="13" customFormat="false" ht="14.25" hidden="false" customHeight="true" outlineLevel="0" collapsed="false">
      <c r="A13" s="1" t="s">
        <v>828</v>
      </c>
      <c r="B13" s="1" t="s">
        <v>4192</v>
      </c>
      <c r="C13" s="1" t="s">
        <v>4171</v>
      </c>
      <c r="D13" s="6" t="n">
        <v>24952</v>
      </c>
      <c r="E13" s="1" t="s">
        <v>64</v>
      </c>
      <c r="F13" s="1" t="s">
        <v>4176</v>
      </c>
      <c r="G13" s="1" t="s">
        <v>4184</v>
      </c>
      <c r="H13" s="6" t="n">
        <v>45957</v>
      </c>
      <c r="I13" s="1" t="s">
        <v>4173</v>
      </c>
    </row>
    <row r="14" customFormat="false" ht="14.25" hidden="false" customHeight="true" outlineLevel="0" collapsed="false">
      <c r="A14" s="1" t="s">
        <v>1578</v>
      </c>
      <c r="B14" s="1" t="s">
        <v>4193</v>
      </c>
      <c r="C14" s="1" t="s">
        <v>4171</v>
      </c>
      <c r="D14" s="6" t="n">
        <v>30411</v>
      </c>
      <c r="E14" s="1" t="s">
        <v>64</v>
      </c>
      <c r="F14" s="1" t="s">
        <v>4190</v>
      </c>
      <c r="G14" s="1" t="s">
        <v>4172</v>
      </c>
      <c r="H14" s="6" t="n">
        <v>45682</v>
      </c>
      <c r="I14" s="1" t="s">
        <v>4173</v>
      </c>
    </row>
    <row r="15" customFormat="false" ht="14.25" hidden="false" customHeight="true" outlineLevel="0" collapsed="false">
      <c r="A15" s="1" t="s">
        <v>1276</v>
      </c>
      <c r="B15" s="1" t="s">
        <v>4194</v>
      </c>
      <c r="C15" s="1" t="s">
        <v>4175</v>
      </c>
      <c r="D15" s="6" t="n">
        <v>32053</v>
      </c>
      <c r="E15" s="1" t="s">
        <v>43</v>
      </c>
      <c r="F15" s="1" t="s">
        <v>4190</v>
      </c>
      <c r="G15" s="1" t="s">
        <v>4182</v>
      </c>
      <c r="H15" s="6" t="n">
        <v>45928</v>
      </c>
      <c r="I15" s="1" t="s">
        <v>4173</v>
      </c>
    </row>
    <row r="16" customFormat="false" ht="14.25" hidden="false" customHeight="true" outlineLevel="0" collapsed="false">
      <c r="A16" s="1" t="s">
        <v>226</v>
      </c>
      <c r="B16" s="1" t="s">
        <v>4195</v>
      </c>
      <c r="C16" s="1" t="s">
        <v>4175</v>
      </c>
      <c r="D16" s="6" t="n">
        <v>24794</v>
      </c>
      <c r="E16" s="1" t="s">
        <v>125</v>
      </c>
      <c r="F16" s="1" t="s">
        <v>4188</v>
      </c>
      <c r="G16" s="1" t="s">
        <v>4184</v>
      </c>
      <c r="H16" s="6" t="n">
        <v>45715</v>
      </c>
      <c r="I16" s="1" t="s">
        <v>4173</v>
      </c>
    </row>
    <row r="17" customFormat="false" ht="14.25" hidden="false" customHeight="true" outlineLevel="0" collapsed="false">
      <c r="A17" s="1" t="s">
        <v>1147</v>
      </c>
      <c r="B17" s="1" t="s">
        <v>4196</v>
      </c>
      <c r="C17" s="1" t="s">
        <v>4175</v>
      </c>
      <c r="D17" s="6" t="n">
        <v>32532</v>
      </c>
      <c r="E17" s="1" t="s">
        <v>74</v>
      </c>
      <c r="F17" s="1" t="s">
        <v>4188</v>
      </c>
      <c r="G17" s="1" t="s">
        <v>4186</v>
      </c>
      <c r="H17" s="6" t="n">
        <v>45917</v>
      </c>
      <c r="I17" s="1" t="s">
        <v>4173</v>
      </c>
    </row>
    <row r="18" customFormat="false" ht="14.25" hidden="false" customHeight="true" outlineLevel="0" collapsed="false">
      <c r="A18" s="1" t="s">
        <v>1155</v>
      </c>
      <c r="B18" s="1" t="s">
        <v>4197</v>
      </c>
      <c r="C18" s="1" t="s">
        <v>4175</v>
      </c>
      <c r="D18" s="6" t="n">
        <v>25379</v>
      </c>
      <c r="E18" s="1" t="s">
        <v>140</v>
      </c>
      <c r="F18" s="1" t="s">
        <v>4176</v>
      </c>
      <c r="G18" s="1" t="s">
        <v>4172</v>
      </c>
      <c r="H18" s="6" t="n">
        <v>45964</v>
      </c>
      <c r="I18" s="1" t="s">
        <v>4173</v>
      </c>
    </row>
    <row r="19" customFormat="false" ht="14.25" hidden="false" customHeight="true" outlineLevel="0" collapsed="false">
      <c r="A19" s="1" t="s">
        <v>569</v>
      </c>
      <c r="B19" s="1" t="s">
        <v>4198</v>
      </c>
      <c r="C19" s="1" t="s">
        <v>4175</v>
      </c>
      <c r="D19" s="6" t="n">
        <v>24650</v>
      </c>
      <c r="E19" s="1" t="s">
        <v>125</v>
      </c>
      <c r="F19" s="1" t="s">
        <v>4188</v>
      </c>
      <c r="G19" s="1" t="s">
        <v>4186</v>
      </c>
      <c r="H19" s="6" t="n">
        <v>45687</v>
      </c>
      <c r="I19" s="1" t="s">
        <v>4173</v>
      </c>
    </row>
    <row r="20" customFormat="false" ht="14.25" hidden="false" customHeight="true" outlineLevel="0" collapsed="false">
      <c r="A20" s="1" t="s">
        <v>806</v>
      </c>
      <c r="B20" s="1" t="s">
        <v>4199</v>
      </c>
      <c r="C20" s="1" t="s">
        <v>4175</v>
      </c>
      <c r="D20" s="6" t="n">
        <v>24092</v>
      </c>
      <c r="E20" s="1" t="s">
        <v>125</v>
      </c>
      <c r="F20" s="1" t="s">
        <v>54</v>
      </c>
      <c r="G20" s="1" t="s">
        <v>4186</v>
      </c>
      <c r="H20" s="6" t="n">
        <v>45723</v>
      </c>
      <c r="I20" s="1" t="s">
        <v>4173</v>
      </c>
    </row>
    <row r="21" customFormat="false" ht="14.25" hidden="false" customHeight="true" outlineLevel="0" collapsed="false">
      <c r="A21" s="1" t="s">
        <v>2164</v>
      </c>
      <c r="B21" s="1" t="s">
        <v>4200</v>
      </c>
      <c r="C21" s="1" t="s">
        <v>4175</v>
      </c>
      <c r="D21" s="6" t="n">
        <v>28031</v>
      </c>
      <c r="E21" s="1" t="s">
        <v>64</v>
      </c>
      <c r="F21" s="1" t="s">
        <v>4190</v>
      </c>
      <c r="G21" s="1" t="s">
        <v>4186</v>
      </c>
      <c r="H21" s="6" t="n">
        <v>45934</v>
      </c>
      <c r="I21" s="1" t="s">
        <v>4173</v>
      </c>
    </row>
    <row r="22" customFormat="false" ht="14.25" hidden="false" customHeight="true" outlineLevel="0" collapsed="false">
      <c r="A22" s="1" t="s">
        <v>1269</v>
      </c>
      <c r="B22" s="1" t="s">
        <v>4201</v>
      </c>
      <c r="C22" s="1" t="s">
        <v>4171</v>
      </c>
      <c r="D22" s="6" t="n">
        <v>37572</v>
      </c>
      <c r="E22" s="1" t="s">
        <v>43</v>
      </c>
      <c r="F22" s="1" t="s">
        <v>4176</v>
      </c>
      <c r="G22" s="1" t="s">
        <v>4182</v>
      </c>
      <c r="H22" s="6" t="n">
        <v>45719</v>
      </c>
      <c r="I22" s="1" t="s">
        <v>4173</v>
      </c>
    </row>
    <row r="23" customFormat="false" ht="14.25" hidden="false" customHeight="true" outlineLevel="0" collapsed="false">
      <c r="A23" s="1" t="s">
        <v>1725</v>
      </c>
      <c r="B23" s="1" t="s">
        <v>4202</v>
      </c>
      <c r="C23" s="1" t="s">
        <v>4175</v>
      </c>
      <c r="D23" s="6" t="n">
        <v>29605</v>
      </c>
      <c r="E23" s="1" t="s">
        <v>64</v>
      </c>
      <c r="F23" s="1" t="s">
        <v>4203</v>
      </c>
      <c r="G23" s="1" t="s">
        <v>4186</v>
      </c>
      <c r="H23" s="6" t="n">
        <v>45661</v>
      </c>
      <c r="I23" s="1" t="s">
        <v>4173</v>
      </c>
    </row>
    <row r="24" customFormat="false" ht="14.25" hidden="false" customHeight="true" outlineLevel="0" collapsed="false">
      <c r="A24" s="1" t="s">
        <v>1770</v>
      </c>
      <c r="B24" s="1" t="s">
        <v>4204</v>
      </c>
      <c r="C24" s="1" t="s">
        <v>4175</v>
      </c>
      <c r="D24" s="6" t="n">
        <v>23404</v>
      </c>
      <c r="E24" s="1" t="s">
        <v>102</v>
      </c>
      <c r="F24" s="1" t="s">
        <v>54</v>
      </c>
      <c r="G24" s="1" t="s">
        <v>4186</v>
      </c>
      <c r="H24" s="6" t="n">
        <v>45800</v>
      </c>
      <c r="I24" s="1" t="s">
        <v>4173</v>
      </c>
    </row>
    <row r="25" customFormat="false" ht="14.25" hidden="false" customHeight="true" outlineLevel="0" collapsed="false">
      <c r="A25" s="1" t="s">
        <v>1298</v>
      </c>
      <c r="B25" s="1" t="s">
        <v>4205</v>
      </c>
      <c r="C25" s="1" t="s">
        <v>4175</v>
      </c>
      <c r="D25" s="6" t="n">
        <v>35354</v>
      </c>
      <c r="E25" s="1" t="s">
        <v>140</v>
      </c>
      <c r="F25" s="1" t="s">
        <v>4178</v>
      </c>
      <c r="G25" s="1" t="s">
        <v>4182</v>
      </c>
      <c r="H25" s="6" t="n">
        <v>45866</v>
      </c>
      <c r="I25" s="1" t="s">
        <v>4173</v>
      </c>
    </row>
    <row r="26" customFormat="false" ht="14.25" hidden="false" customHeight="true" outlineLevel="0" collapsed="false">
      <c r="A26" s="1" t="s">
        <v>2564</v>
      </c>
      <c r="B26" s="1" t="s">
        <v>4185</v>
      </c>
      <c r="C26" s="1" t="s">
        <v>4175</v>
      </c>
      <c r="D26" s="6" t="n">
        <v>37449</v>
      </c>
      <c r="E26" s="1" t="s">
        <v>43</v>
      </c>
      <c r="F26" s="1" t="s">
        <v>4190</v>
      </c>
      <c r="G26" s="1" t="s">
        <v>4182</v>
      </c>
      <c r="H26" s="6" t="n">
        <v>45685</v>
      </c>
      <c r="I26" s="1" t="s">
        <v>4173</v>
      </c>
    </row>
    <row r="27" customFormat="false" ht="14.25" hidden="false" customHeight="true" outlineLevel="0" collapsed="false">
      <c r="A27" s="1" t="s">
        <v>57</v>
      </c>
      <c r="B27" s="1" t="s">
        <v>4170</v>
      </c>
      <c r="C27" s="1" t="s">
        <v>4171</v>
      </c>
      <c r="D27" s="6" t="n">
        <v>29625</v>
      </c>
      <c r="E27" s="1" t="s">
        <v>140</v>
      </c>
      <c r="F27" s="1" t="s">
        <v>4203</v>
      </c>
      <c r="G27" s="1" t="s">
        <v>4182</v>
      </c>
      <c r="H27" s="6" t="n">
        <v>45729</v>
      </c>
      <c r="I27" s="1" t="s">
        <v>4173</v>
      </c>
    </row>
    <row r="28" customFormat="false" ht="14.25" hidden="false" customHeight="true" outlineLevel="0" collapsed="false">
      <c r="A28" s="1" t="s">
        <v>319</v>
      </c>
      <c r="B28" s="1" t="s">
        <v>4206</v>
      </c>
      <c r="C28" s="1" t="s">
        <v>4171</v>
      </c>
      <c r="D28" s="6" t="n">
        <v>32626</v>
      </c>
      <c r="E28" s="1" t="s">
        <v>54</v>
      </c>
      <c r="F28" s="1" t="s">
        <v>4190</v>
      </c>
      <c r="G28" s="1" t="s">
        <v>4172</v>
      </c>
      <c r="H28" s="6" t="n">
        <v>45683</v>
      </c>
      <c r="I28" s="1" t="s">
        <v>4173</v>
      </c>
    </row>
    <row r="29" customFormat="false" ht="14.25" hidden="false" customHeight="true" outlineLevel="0" collapsed="false">
      <c r="A29" s="1" t="s">
        <v>238</v>
      </c>
      <c r="B29" s="1" t="s">
        <v>4207</v>
      </c>
      <c r="C29" s="1" t="s">
        <v>4175</v>
      </c>
      <c r="D29" s="6" t="n">
        <v>27467</v>
      </c>
      <c r="E29" s="1" t="s">
        <v>43</v>
      </c>
      <c r="F29" s="1" t="s">
        <v>4190</v>
      </c>
      <c r="G29" s="1" t="s">
        <v>4186</v>
      </c>
      <c r="H29" s="6" t="n">
        <v>45863</v>
      </c>
      <c r="I29" s="1" t="s">
        <v>4173</v>
      </c>
    </row>
    <row r="30" customFormat="false" ht="14.25" hidden="false" customHeight="true" outlineLevel="0" collapsed="false">
      <c r="A30" s="1" t="s">
        <v>1830</v>
      </c>
      <c r="B30" s="1" t="s">
        <v>4208</v>
      </c>
      <c r="C30" s="1" t="s">
        <v>4171</v>
      </c>
      <c r="D30" s="6" t="n">
        <v>22106</v>
      </c>
      <c r="E30" s="1" t="s">
        <v>125</v>
      </c>
      <c r="F30" s="1" t="s">
        <v>4178</v>
      </c>
      <c r="G30" s="1" t="s">
        <v>4182</v>
      </c>
      <c r="H30" s="6" t="n">
        <v>45804</v>
      </c>
      <c r="I30" s="1" t="s">
        <v>4173</v>
      </c>
    </row>
    <row r="31" customFormat="false" ht="14.25" hidden="false" customHeight="true" outlineLevel="0" collapsed="false">
      <c r="A31" s="1" t="s">
        <v>3889</v>
      </c>
      <c r="B31" s="1" t="s">
        <v>4209</v>
      </c>
      <c r="C31" s="1" t="s">
        <v>4171</v>
      </c>
      <c r="D31" s="6" t="n">
        <v>25303</v>
      </c>
      <c r="E31" s="1" t="s">
        <v>140</v>
      </c>
      <c r="F31" s="1" t="s">
        <v>54</v>
      </c>
      <c r="G31" s="1" t="s">
        <v>4172</v>
      </c>
      <c r="H31" s="6" t="n">
        <v>45818</v>
      </c>
      <c r="I31" s="1" t="s">
        <v>4173</v>
      </c>
    </row>
    <row r="32" customFormat="false" ht="14.25" hidden="false" customHeight="true" outlineLevel="0" collapsed="false">
      <c r="A32" s="1" t="s">
        <v>2209</v>
      </c>
      <c r="B32" s="1" t="s">
        <v>4210</v>
      </c>
      <c r="C32" s="1" t="s">
        <v>4171</v>
      </c>
      <c r="D32" s="6" t="n">
        <v>33853</v>
      </c>
      <c r="E32" s="1" t="s">
        <v>54</v>
      </c>
      <c r="F32" s="1" t="s">
        <v>4176</v>
      </c>
      <c r="G32" s="1" t="s">
        <v>4172</v>
      </c>
      <c r="H32" s="6" t="n">
        <v>45753</v>
      </c>
      <c r="I32" s="1" t="s">
        <v>4173</v>
      </c>
    </row>
    <row r="33" customFormat="false" ht="14.25" hidden="false" customHeight="true" outlineLevel="0" collapsed="false">
      <c r="A33" s="1" t="s">
        <v>869</v>
      </c>
      <c r="B33" s="1" t="s">
        <v>4211</v>
      </c>
      <c r="C33" s="1" t="s">
        <v>4175</v>
      </c>
      <c r="D33" s="6" t="n">
        <v>27579</v>
      </c>
      <c r="E33" s="1" t="s">
        <v>64</v>
      </c>
      <c r="F33" s="1" t="s">
        <v>4203</v>
      </c>
      <c r="G33" s="1" t="s">
        <v>4172</v>
      </c>
      <c r="H33" s="6" t="n">
        <v>45975</v>
      </c>
      <c r="I33" s="1" t="s">
        <v>4173</v>
      </c>
    </row>
    <row r="34" customFormat="false" ht="14.25" hidden="false" customHeight="true" outlineLevel="0" collapsed="false">
      <c r="A34" s="1" t="s">
        <v>972</v>
      </c>
      <c r="B34" s="1" t="s">
        <v>4212</v>
      </c>
      <c r="C34" s="1" t="s">
        <v>4171</v>
      </c>
      <c r="D34" s="6" t="n">
        <v>27872</v>
      </c>
      <c r="E34" s="1" t="s">
        <v>74</v>
      </c>
      <c r="F34" s="1" t="s">
        <v>4188</v>
      </c>
      <c r="G34" s="1" t="s">
        <v>4186</v>
      </c>
      <c r="H34" s="6" t="n">
        <v>45793</v>
      </c>
      <c r="I34" s="1" t="s">
        <v>4173</v>
      </c>
    </row>
    <row r="35" customFormat="false" ht="14.25" hidden="false" customHeight="true" outlineLevel="0" collapsed="false">
      <c r="A35" s="1" t="s">
        <v>1140</v>
      </c>
      <c r="B35" s="1" t="s">
        <v>4213</v>
      </c>
      <c r="C35" s="1" t="s">
        <v>4171</v>
      </c>
      <c r="D35" s="6" t="n">
        <v>32684</v>
      </c>
      <c r="E35" s="1" t="s">
        <v>54</v>
      </c>
      <c r="F35" s="1" t="s">
        <v>54</v>
      </c>
      <c r="G35" s="1" t="s">
        <v>4182</v>
      </c>
      <c r="H35" s="6" t="n">
        <v>45976</v>
      </c>
      <c r="I35" s="1" t="s">
        <v>4173</v>
      </c>
    </row>
    <row r="36" customFormat="false" ht="14.25" hidden="false" customHeight="true" outlineLevel="0" collapsed="false">
      <c r="A36" s="1" t="s">
        <v>1090</v>
      </c>
      <c r="B36" s="1" t="s">
        <v>4214</v>
      </c>
      <c r="C36" s="1" t="s">
        <v>4175</v>
      </c>
      <c r="D36" s="6" t="n">
        <v>34441</v>
      </c>
      <c r="E36" s="1" t="s">
        <v>102</v>
      </c>
      <c r="F36" s="1" t="s">
        <v>4203</v>
      </c>
      <c r="G36" s="1" t="s">
        <v>4184</v>
      </c>
      <c r="H36" s="6" t="n">
        <v>45693</v>
      </c>
      <c r="I36" s="1" t="s">
        <v>4173</v>
      </c>
    </row>
    <row r="37" customFormat="false" ht="14.25" hidden="false" customHeight="true" outlineLevel="0" collapsed="false">
      <c r="A37" s="1" t="s">
        <v>4215</v>
      </c>
      <c r="B37" s="1" t="s">
        <v>4216</v>
      </c>
      <c r="C37" s="1" t="s">
        <v>4171</v>
      </c>
      <c r="D37" s="6" t="n">
        <v>25807</v>
      </c>
      <c r="E37" s="1" t="s">
        <v>64</v>
      </c>
      <c r="F37" s="1" t="s">
        <v>4181</v>
      </c>
      <c r="G37" s="1" t="s">
        <v>4184</v>
      </c>
      <c r="H37" s="6" t="n">
        <v>45971</v>
      </c>
      <c r="I37" s="1" t="s">
        <v>4173</v>
      </c>
    </row>
    <row r="38" customFormat="false" ht="14.25" hidden="false" customHeight="true" outlineLevel="0" collapsed="false">
      <c r="A38" s="1" t="s">
        <v>639</v>
      </c>
      <c r="B38" s="1" t="s">
        <v>4217</v>
      </c>
      <c r="C38" s="1" t="s">
        <v>4171</v>
      </c>
      <c r="D38" s="6" t="n">
        <v>37292</v>
      </c>
      <c r="E38" s="1" t="s">
        <v>102</v>
      </c>
      <c r="F38" s="1" t="s">
        <v>54</v>
      </c>
      <c r="G38" s="1" t="s">
        <v>4172</v>
      </c>
      <c r="H38" s="6" t="n">
        <v>45941</v>
      </c>
      <c r="I38" s="1" t="s">
        <v>4173</v>
      </c>
    </row>
    <row r="39" customFormat="false" ht="14.25" hidden="false" customHeight="true" outlineLevel="0" collapsed="false">
      <c r="A39" s="1" t="s">
        <v>355</v>
      </c>
      <c r="B39" s="1" t="s">
        <v>4218</v>
      </c>
      <c r="C39" s="1" t="s">
        <v>4171</v>
      </c>
      <c r="D39" s="6" t="n">
        <v>35908</v>
      </c>
      <c r="E39" s="1" t="s">
        <v>102</v>
      </c>
      <c r="F39" s="1" t="s">
        <v>4203</v>
      </c>
      <c r="G39" s="1" t="s">
        <v>4184</v>
      </c>
      <c r="H39" s="6" t="n">
        <v>45916</v>
      </c>
      <c r="I39" s="1" t="s">
        <v>4173</v>
      </c>
    </row>
    <row r="40" customFormat="false" ht="14.25" hidden="false" customHeight="true" outlineLevel="0" collapsed="false">
      <c r="A40" s="1" t="s">
        <v>2510</v>
      </c>
      <c r="B40" s="1" t="s">
        <v>4219</v>
      </c>
      <c r="C40" s="1" t="s">
        <v>4175</v>
      </c>
      <c r="D40" s="6" t="n">
        <v>24060</v>
      </c>
      <c r="E40" s="1" t="s">
        <v>125</v>
      </c>
      <c r="F40" s="1" t="s">
        <v>4188</v>
      </c>
      <c r="G40" s="1" t="s">
        <v>4172</v>
      </c>
      <c r="H40" s="6" t="n">
        <v>45659</v>
      </c>
      <c r="I40" s="1" t="s">
        <v>4173</v>
      </c>
    </row>
    <row r="41" customFormat="false" ht="14.25" hidden="false" customHeight="true" outlineLevel="0" collapsed="false">
      <c r="A41" s="1" t="s">
        <v>1151</v>
      </c>
      <c r="B41" s="1" t="s">
        <v>4220</v>
      </c>
      <c r="C41" s="1" t="s">
        <v>4171</v>
      </c>
      <c r="D41" s="6" t="n">
        <v>25917</v>
      </c>
      <c r="E41" s="1" t="s">
        <v>64</v>
      </c>
      <c r="F41" s="1" t="s">
        <v>4181</v>
      </c>
      <c r="G41" s="1" t="s">
        <v>4182</v>
      </c>
      <c r="H41" s="6" t="n">
        <v>45945</v>
      </c>
      <c r="I41" s="1" t="s">
        <v>4173</v>
      </c>
    </row>
    <row r="42" customFormat="false" ht="14.25" hidden="false" customHeight="true" outlineLevel="0" collapsed="false">
      <c r="A42" s="1" t="s">
        <v>586</v>
      </c>
      <c r="B42" s="1" t="s">
        <v>4221</v>
      </c>
      <c r="C42" s="1" t="s">
        <v>4175</v>
      </c>
      <c r="D42" s="6" t="n">
        <v>25448</v>
      </c>
      <c r="E42" s="1" t="s">
        <v>125</v>
      </c>
      <c r="F42" s="1" t="s">
        <v>4188</v>
      </c>
      <c r="G42" s="1" t="s">
        <v>4186</v>
      </c>
      <c r="H42" s="6" t="n">
        <v>45878</v>
      </c>
      <c r="I42" s="1" t="s">
        <v>4173</v>
      </c>
    </row>
    <row r="43" customFormat="false" ht="14.25" hidden="false" customHeight="true" outlineLevel="0" collapsed="false">
      <c r="A43" s="1" t="s">
        <v>1225</v>
      </c>
      <c r="B43" s="1" t="s">
        <v>4222</v>
      </c>
      <c r="C43" s="1" t="s">
        <v>4171</v>
      </c>
      <c r="D43" s="6" t="n">
        <v>30328</v>
      </c>
      <c r="E43" s="1" t="s">
        <v>140</v>
      </c>
      <c r="F43" s="1" t="s">
        <v>4181</v>
      </c>
      <c r="G43" s="1" t="s">
        <v>4186</v>
      </c>
      <c r="H43" s="6" t="n">
        <v>45999</v>
      </c>
      <c r="I43" s="1" t="s">
        <v>4173</v>
      </c>
    </row>
    <row r="44" customFormat="false" ht="14.25" hidden="false" customHeight="true" outlineLevel="0" collapsed="false">
      <c r="A44" s="1" t="s">
        <v>1786</v>
      </c>
      <c r="B44" s="1" t="s">
        <v>4180</v>
      </c>
      <c r="C44" s="1" t="s">
        <v>4171</v>
      </c>
      <c r="D44" s="6" t="n">
        <v>36499</v>
      </c>
      <c r="E44" s="1" t="s">
        <v>140</v>
      </c>
      <c r="F44" s="1" t="s">
        <v>4178</v>
      </c>
      <c r="G44" s="1" t="s">
        <v>4186</v>
      </c>
      <c r="H44" s="6" t="n">
        <v>45748</v>
      </c>
      <c r="I44" s="1" t="s">
        <v>4173</v>
      </c>
    </row>
    <row r="45" customFormat="false" ht="14.25" hidden="false" customHeight="true" outlineLevel="0" collapsed="false">
      <c r="A45" s="1" t="s">
        <v>1719</v>
      </c>
      <c r="B45" s="1" t="s">
        <v>4174</v>
      </c>
      <c r="C45" s="1" t="s">
        <v>4175</v>
      </c>
      <c r="D45" s="6" t="n">
        <v>29793</v>
      </c>
      <c r="E45" s="1" t="s">
        <v>74</v>
      </c>
      <c r="F45" s="1" t="s">
        <v>4178</v>
      </c>
      <c r="G45" s="1" t="s">
        <v>4186</v>
      </c>
      <c r="H45" s="6" t="n">
        <v>45794</v>
      </c>
      <c r="I45" s="1" t="s">
        <v>4173</v>
      </c>
    </row>
    <row r="46" customFormat="false" ht="14.25" hidden="false" customHeight="true" outlineLevel="0" collapsed="false">
      <c r="A46" s="1" t="s">
        <v>716</v>
      </c>
      <c r="B46" s="1" t="s">
        <v>4223</v>
      </c>
      <c r="C46" s="1" t="s">
        <v>4171</v>
      </c>
      <c r="D46" s="6" t="n">
        <v>22866</v>
      </c>
      <c r="E46" s="1" t="s">
        <v>140</v>
      </c>
      <c r="F46" s="1" t="s">
        <v>4178</v>
      </c>
      <c r="G46" s="1" t="s">
        <v>4182</v>
      </c>
      <c r="H46" s="6" t="n">
        <v>45837</v>
      </c>
      <c r="I46" s="1" t="s">
        <v>4173</v>
      </c>
    </row>
    <row r="47" customFormat="false" ht="14.25" hidden="false" customHeight="true" outlineLevel="0" collapsed="false">
      <c r="A47" s="1" t="s">
        <v>35</v>
      </c>
      <c r="B47" s="1" t="s">
        <v>4224</v>
      </c>
      <c r="C47" s="1" t="s">
        <v>4175</v>
      </c>
      <c r="D47" s="6" t="n">
        <v>22592</v>
      </c>
      <c r="E47" s="1" t="s">
        <v>43</v>
      </c>
      <c r="F47" s="1" t="s">
        <v>4188</v>
      </c>
      <c r="G47" s="1" t="s">
        <v>4184</v>
      </c>
      <c r="H47" s="6" t="n">
        <v>45693</v>
      </c>
      <c r="I47" s="1" t="s">
        <v>4173</v>
      </c>
    </row>
    <row r="48" customFormat="false" ht="14.25" hidden="false" customHeight="true" outlineLevel="0" collapsed="false">
      <c r="A48" s="1" t="s">
        <v>404</v>
      </c>
      <c r="B48" s="1" t="s">
        <v>4225</v>
      </c>
      <c r="C48" s="1" t="s">
        <v>4171</v>
      </c>
      <c r="D48" s="6" t="n">
        <v>34486</v>
      </c>
      <c r="E48" s="1" t="s">
        <v>54</v>
      </c>
      <c r="F48" s="1" t="s">
        <v>4188</v>
      </c>
      <c r="G48" s="1" t="s">
        <v>4186</v>
      </c>
      <c r="H48" s="6" t="n">
        <v>45955</v>
      </c>
      <c r="I48" s="1" t="s">
        <v>4173</v>
      </c>
    </row>
    <row r="49" customFormat="false" ht="14.25" hidden="false" customHeight="true" outlineLevel="0" collapsed="false">
      <c r="A49" s="1" t="s">
        <v>666</v>
      </c>
      <c r="B49" s="1" t="s">
        <v>4226</v>
      </c>
      <c r="C49" s="1" t="s">
        <v>4175</v>
      </c>
      <c r="D49" s="6" t="n">
        <v>35988</v>
      </c>
      <c r="E49" s="1" t="s">
        <v>74</v>
      </c>
      <c r="F49" s="1" t="s">
        <v>4178</v>
      </c>
      <c r="G49" s="1" t="s">
        <v>4184</v>
      </c>
      <c r="H49" s="6" t="n">
        <v>45881</v>
      </c>
      <c r="I49" s="1" t="s">
        <v>4173</v>
      </c>
    </row>
    <row r="50" customFormat="false" ht="14.25" hidden="false" customHeight="true" outlineLevel="0" collapsed="false">
      <c r="A50" s="1" t="s">
        <v>1989</v>
      </c>
      <c r="B50" s="1" t="s">
        <v>4227</v>
      </c>
      <c r="C50" s="1" t="s">
        <v>4175</v>
      </c>
      <c r="D50" s="6" t="n">
        <v>30962</v>
      </c>
      <c r="E50" s="1" t="s">
        <v>102</v>
      </c>
      <c r="F50" s="1" t="s">
        <v>54</v>
      </c>
      <c r="G50" s="1" t="s">
        <v>4182</v>
      </c>
      <c r="H50" s="6" t="n">
        <v>45658</v>
      </c>
      <c r="I50" s="1" t="s">
        <v>4173</v>
      </c>
    </row>
    <row r="51" customFormat="false" ht="14.25" hidden="false" customHeight="true" outlineLevel="0" collapsed="false">
      <c r="A51" s="1" t="s">
        <v>340</v>
      </c>
      <c r="B51" s="1" t="s">
        <v>4228</v>
      </c>
      <c r="C51" s="1" t="s">
        <v>4175</v>
      </c>
      <c r="D51" s="6" t="n">
        <v>30500</v>
      </c>
      <c r="E51" s="1" t="s">
        <v>74</v>
      </c>
      <c r="F51" s="1" t="s">
        <v>4188</v>
      </c>
      <c r="G51" s="1" t="s">
        <v>4184</v>
      </c>
      <c r="H51" s="6" t="n">
        <v>45997</v>
      </c>
      <c r="I51" s="1" t="s">
        <v>4173</v>
      </c>
    </row>
    <row r="52" customFormat="false" ht="14.25" hidden="false" customHeight="true" outlineLevel="0" collapsed="false">
      <c r="A52" s="1" t="s">
        <v>2335</v>
      </c>
      <c r="B52" s="1" t="s">
        <v>4197</v>
      </c>
      <c r="C52" s="1" t="s">
        <v>4171</v>
      </c>
      <c r="D52" s="6" t="n">
        <v>37448</v>
      </c>
      <c r="E52" s="1" t="s">
        <v>43</v>
      </c>
      <c r="F52" s="1" t="s">
        <v>4181</v>
      </c>
      <c r="G52" s="1" t="s">
        <v>4184</v>
      </c>
      <c r="H52" s="6" t="n">
        <v>45941</v>
      </c>
      <c r="I52" s="1" t="s">
        <v>4173</v>
      </c>
    </row>
    <row r="53" customFormat="false" ht="14.25" hidden="false" customHeight="true" outlineLevel="0" collapsed="false">
      <c r="A53" s="1" t="s">
        <v>381</v>
      </c>
      <c r="B53" s="1" t="s">
        <v>4229</v>
      </c>
      <c r="C53" s="1" t="s">
        <v>4171</v>
      </c>
      <c r="D53" s="6" t="n">
        <v>37459</v>
      </c>
      <c r="E53" s="1" t="s">
        <v>74</v>
      </c>
      <c r="F53" s="1" t="s">
        <v>4203</v>
      </c>
      <c r="G53" s="1" t="s">
        <v>4184</v>
      </c>
      <c r="H53" s="6" t="n">
        <v>45865</v>
      </c>
      <c r="I53" s="1" t="s">
        <v>4173</v>
      </c>
    </row>
    <row r="54" customFormat="false" ht="14.25" hidden="false" customHeight="true" outlineLevel="0" collapsed="false">
      <c r="A54" s="1" t="s">
        <v>594</v>
      </c>
      <c r="B54" s="1" t="s">
        <v>4207</v>
      </c>
      <c r="C54" s="1" t="s">
        <v>4171</v>
      </c>
      <c r="D54" s="6" t="n">
        <v>28594</v>
      </c>
      <c r="E54" s="1" t="s">
        <v>125</v>
      </c>
      <c r="F54" s="1" t="s">
        <v>4176</v>
      </c>
      <c r="G54" s="1" t="s">
        <v>4184</v>
      </c>
      <c r="H54" s="6" t="n">
        <v>45896</v>
      </c>
      <c r="I54" s="1" t="s">
        <v>4173</v>
      </c>
    </row>
    <row r="55" customFormat="false" ht="14.25" hidden="false" customHeight="true" outlineLevel="0" collapsed="false">
      <c r="A55" s="1" t="s">
        <v>4230</v>
      </c>
      <c r="B55" s="1" t="s">
        <v>4231</v>
      </c>
      <c r="C55" s="1" t="s">
        <v>4175</v>
      </c>
      <c r="D55" s="6" t="n">
        <v>33842</v>
      </c>
      <c r="E55" s="1" t="s">
        <v>125</v>
      </c>
      <c r="F55" s="1" t="s">
        <v>4181</v>
      </c>
      <c r="G55" s="1" t="s">
        <v>4186</v>
      </c>
      <c r="H55" s="6" t="n">
        <v>45995</v>
      </c>
      <c r="I55" s="1" t="s">
        <v>4173</v>
      </c>
    </row>
    <row r="56" customFormat="false" ht="14.25" hidden="false" customHeight="true" outlineLevel="0" collapsed="false">
      <c r="A56" s="1" t="s">
        <v>1805</v>
      </c>
      <c r="B56" s="1" t="s">
        <v>4232</v>
      </c>
      <c r="C56" s="1" t="s">
        <v>4171</v>
      </c>
      <c r="D56" s="6" t="n">
        <v>23854</v>
      </c>
      <c r="E56" s="1" t="s">
        <v>102</v>
      </c>
      <c r="F56" s="1" t="s">
        <v>4203</v>
      </c>
      <c r="G56" s="1" t="s">
        <v>4186</v>
      </c>
      <c r="H56" s="6" t="n">
        <v>45733</v>
      </c>
      <c r="I56" s="1" t="s">
        <v>4173</v>
      </c>
    </row>
    <row r="57" customFormat="false" ht="14.25" hidden="false" customHeight="true" outlineLevel="0" collapsed="false">
      <c r="A57" s="1" t="s">
        <v>272</v>
      </c>
      <c r="B57" s="1" t="s">
        <v>4233</v>
      </c>
      <c r="C57" s="1" t="s">
        <v>4175</v>
      </c>
      <c r="D57" s="6" t="n">
        <v>33174</v>
      </c>
      <c r="E57" s="1" t="s">
        <v>125</v>
      </c>
      <c r="F57" s="1" t="s">
        <v>54</v>
      </c>
      <c r="G57" s="1" t="s">
        <v>4182</v>
      </c>
      <c r="H57" s="6" t="n">
        <v>45870</v>
      </c>
      <c r="I57" s="1" t="s">
        <v>4173</v>
      </c>
    </row>
    <row r="58" customFormat="false" ht="14.25" hidden="false" customHeight="true" outlineLevel="0" collapsed="false">
      <c r="A58" s="1" t="s">
        <v>1760</v>
      </c>
      <c r="B58" s="1" t="s">
        <v>4234</v>
      </c>
      <c r="C58" s="1" t="s">
        <v>4171</v>
      </c>
      <c r="D58" s="6" t="n">
        <v>33427</v>
      </c>
      <c r="E58" s="1" t="s">
        <v>140</v>
      </c>
      <c r="F58" s="1" t="s">
        <v>4181</v>
      </c>
      <c r="G58" s="1" t="s">
        <v>4172</v>
      </c>
      <c r="H58" s="6" t="n">
        <v>45712</v>
      </c>
      <c r="I58" s="1" t="s">
        <v>4173</v>
      </c>
    </row>
    <row r="59" customFormat="false" ht="14.25" hidden="false" customHeight="true" outlineLevel="0" collapsed="false">
      <c r="A59" s="1" t="s">
        <v>611</v>
      </c>
      <c r="B59" s="1" t="s">
        <v>4235</v>
      </c>
      <c r="C59" s="1" t="s">
        <v>4175</v>
      </c>
      <c r="D59" s="6" t="n">
        <v>34183</v>
      </c>
      <c r="E59" s="1" t="s">
        <v>64</v>
      </c>
      <c r="F59" s="1" t="s">
        <v>4203</v>
      </c>
      <c r="G59" s="1" t="s">
        <v>4172</v>
      </c>
      <c r="H59" s="6" t="n">
        <v>45891</v>
      </c>
      <c r="I59" s="1" t="s">
        <v>4173</v>
      </c>
    </row>
    <row r="60" customFormat="false" ht="14.25" hidden="false" customHeight="true" outlineLevel="0" collapsed="false">
      <c r="A60" s="1" t="s">
        <v>262</v>
      </c>
      <c r="B60" s="1" t="s">
        <v>4236</v>
      </c>
      <c r="C60" s="1" t="s">
        <v>4171</v>
      </c>
      <c r="D60" s="6" t="n">
        <v>32443</v>
      </c>
      <c r="E60" s="1" t="s">
        <v>74</v>
      </c>
      <c r="F60" s="1" t="s">
        <v>4176</v>
      </c>
      <c r="G60" s="1" t="s">
        <v>4182</v>
      </c>
      <c r="H60" s="6" t="n">
        <v>45938</v>
      </c>
      <c r="I60" s="1" t="s">
        <v>4173</v>
      </c>
    </row>
    <row r="61" customFormat="false" ht="14.25" hidden="false" customHeight="true" outlineLevel="0" collapsed="false">
      <c r="A61" s="1" t="s">
        <v>207</v>
      </c>
      <c r="B61" s="1" t="s">
        <v>4192</v>
      </c>
      <c r="C61" s="1" t="s">
        <v>4171</v>
      </c>
      <c r="D61" s="6" t="n">
        <v>32288</v>
      </c>
      <c r="E61" s="1" t="s">
        <v>140</v>
      </c>
      <c r="F61" s="1" t="s">
        <v>4178</v>
      </c>
      <c r="G61" s="1" t="s">
        <v>4184</v>
      </c>
      <c r="H61" s="6" t="n">
        <v>45924</v>
      </c>
      <c r="I61" s="1" t="s">
        <v>4173</v>
      </c>
    </row>
    <row r="62" customFormat="false" ht="14.25" hidden="false" customHeight="true" outlineLevel="0" collapsed="false">
      <c r="A62" s="1" t="s">
        <v>128</v>
      </c>
      <c r="B62" s="1" t="s">
        <v>4205</v>
      </c>
      <c r="C62" s="1" t="s">
        <v>4171</v>
      </c>
      <c r="D62" s="6" t="n">
        <v>32196</v>
      </c>
      <c r="E62" s="1" t="s">
        <v>102</v>
      </c>
      <c r="F62" s="1" t="s">
        <v>4203</v>
      </c>
      <c r="G62" s="1" t="s">
        <v>4184</v>
      </c>
      <c r="H62" s="6" t="n">
        <v>45829</v>
      </c>
      <c r="I62" s="1" t="s">
        <v>4173</v>
      </c>
    </row>
    <row r="63" customFormat="false" ht="14.25" hidden="false" customHeight="true" outlineLevel="0" collapsed="false">
      <c r="A63" s="1" t="s">
        <v>1284</v>
      </c>
      <c r="B63" s="1" t="s">
        <v>4237</v>
      </c>
      <c r="C63" s="1" t="s">
        <v>4175</v>
      </c>
      <c r="D63" s="6" t="n">
        <v>24905</v>
      </c>
      <c r="E63" s="1" t="s">
        <v>43</v>
      </c>
      <c r="F63" s="1" t="s">
        <v>4181</v>
      </c>
      <c r="G63" s="1" t="s">
        <v>4186</v>
      </c>
      <c r="H63" s="6" t="n">
        <v>46019</v>
      </c>
      <c r="I63" s="1" t="s">
        <v>4173</v>
      </c>
    </row>
    <row r="64" customFormat="false" ht="14.25" hidden="false" customHeight="true" outlineLevel="0" collapsed="false">
      <c r="A64" s="1" t="s">
        <v>928</v>
      </c>
      <c r="B64" s="1" t="s">
        <v>4185</v>
      </c>
      <c r="C64" s="1" t="s">
        <v>4171</v>
      </c>
      <c r="D64" s="6" t="n">
        <v>31581</v>
      </c>
      <c r="E64" s="1" t="s">
        <v>43</v>
      </c>
      <c r="F64" s="1" t="s">
        <v>4190</v>
      </c>
      <c r="G64" s="1" t="s">
        <v>4172</v>
      </c>
      <c r="H64" s="6" t="n">
        <v>45763</v>
      </c>
      <c r="I64" s="1" t="s">
        <v>4173</v>
      </c>
    </row>
    <row r="65" customFormat="false" ht="14.25" hidden="false" customHeight="true" outlineLevel="0" collapsed="false">
      <c r="A65" s="1" t="s">
        <v>764</v>
      </c>
      <c r="B65" s="1" t="s">
        <v>4238</v>
      </c>
      <c r="C65" s="1" t="s">
        <v>4175</v>
      </c>
      <c r="D65" s="6" t="n">
        <v>35262</v>
      </c>
      <c r="E65" s="1" t="s">
        <v>54</v>
      </c>
      <c r="F65" s="1" t="s">
        <v>4188</v>
      </c>
      <c r="G65" s="1" t="s">
        <v>4184</v>
      </c>
      <c r="H65" s="6" t="n">
        <v>45857</v>
      </c>
      <c r="I65" s="1" t="s">
        <v>4173</v>
      </c>
    </row>
    <row r="66" customFormat="false" ht="14.25" hidden="false" customHeight="true" outlineLevel="0" collapsed="false">
      <c r="A66" s="1" t="s">
        <v>1583</v>
      </c>
      <c r="B66" s="1" t="s">
        <v>4209</v>
      </c>
      <c r="C66" s="1" t="s">
        <v>4175</v>
      </c>
      <c r="D66" s="6" t="n">
        <v>33337</v>
      </c>
      <c r="E66" s="1" t="s">
        <v>43</v>
      </c>
      <c r="F66" s="1" t="s">
        <v>4190</v>
      </c>
      <c r="G66" s="1" t="s">
        <v>4172</v>
      </c>
      <c r="H66" s="6" t="n">
        <v>45857</v>
      </c>
      <c r="I66" s="1" t="s">
        <v>4173</v>
      </c>
    </row>
    <row r="67" customFormat="false" ht="14.25" hidden="false" customHeight="true" outlineLevel="0" collapsed="false">
      <c r="A67" s="1" t="s">
        <v>2177</v>
      </c>
      <c r="B67" s="1" t="s">
        <v>4239</v>
      </c>
      <c r="C67" s="1" t="s">
        <v>4175</v>
      </c>
      <c r="D67" s="6" t="n">
        <v>32587</v>
      </c>
      <c r="E67" s="1" t="s">
        <v>64</v>
      </c>
      <c r="F67" s="1" t="s">
        <v>54</v>
      </c>
      <c r="G67" s="1" t="s">
        <v>4182</v>
      </c>
      <c r="H67" s="6" t="n">
        <v>45961</v>
      </c>
      <c r="I67" s="1" t="s">
        <v>4173</v>
      </c>
    </row>
    <row r="68" customFormat="false" ht="14.25" hidden="false" customHeight="true" outlineLevel="0" collapsed="false">
      <c r="A68" s="1" t="s">
        <v>1528</v>
      </c>
      <c r="B68" s="1" t="s">
        <v>4240</v>
      </c>
      <c r="C68" s="1" t="s">
        <v>4175</v>
      </c>
      <c r="D68" s="6" t="n">
        <v>37077</v>
      </c>
      <c r="E68" s="1" t="s">
        <v>125</v>
      </c>
      <c r="F68" s="1" t="s">
        <v>4190</v>
      </c>
      <c r="G68" s="1" t="s">
        <v>4186</v>
      </c>
      <c r="H68" s="6" t="n">
        <v>45683</v>
      </c>
      <c r="I68" s="1" t="s">
        <v>4173</v>
      </c>
    </row>
    <row r="69" customFormat="false" ht="14.25" hidden="false" customHeight="true" outlineLevel="0" collapsed="false">
      <c r="A69" s="1" t="s">
        <v>220</v>
      </c>
      <c r="B69" s="1" t="s">
        <v>4241</v>
      </c>
      <c r="C69" s="1" t="s">
        <v>4171</v>
      </c>
      <c r="D69" s="6" t="n">
        <v>26887</v>
      </c>
      <c r="E69" s="1" t="s">
        <v>102</v>
      </c>
      <c r="F69" s="1" t="s">
        <v>4178</v>
      </c>
      <c r="G69" s="1" t="s">
        <v>4182</v>
      </c>
      <c r="H69" s="6" t="n">
        <v>45800</v>
      </c>
      <c r="I69" s="1" t="s">
        <v>4173</v>
      </c>
    </row>
    <row r="70" customFormat="false" ht="14.25" hidden="false" customHeight="true" outlineLevel="0" collapsed="false">
      <c r="A70" s="1" t="s">
        <v>875</v>
      </c>
      <c r="B70" s="1" t="s">
        <v>4242</v>
      </c>
      <c r="C70" s="1" t="s">
        <v>4175</v>
      </c>
      <c r="D70" s="6" t="n">
        <v>32897</v>
      </c>
      <c r="E70" s="1" t="s">
        <v>64</v>
      </c>
      <c r="F70" s="1" t="s">
        <v>54</v>
      </c>
      <c r="G70" s="1" t="s">
        <v>4184</v>
      </c>
      <c r="H70" s="6" t="n">
        <v>45772</v>
      </c>
      <c r="I70" s="1" t="s">
        <v>4173</v>
      </c>
    </row>
    <row r="71" customFormat="false" ht="14.25" hidden="false" customHeight="true" outlineLevel="0" collapsed="false">
      <c r="A71" s="1" t="s">
        <v>360</v>
      </c>
      <c r="B71" s="1" t="s">
        <v>4204</v>
      </c>
      <c r="C71" s="1" t="s">
        <v>4175</v>
      </c>
      <c r="D71" s="6" t="n">
        <v>27511</v>
      </c>
      <c r="E71" s="1" t="s">
        <v>54</v>
      </c>
      <c r="F71" s="1" t="s">
        <v>4176</v>
      </c>
      <c r="G71" s="1" t="s">
        <v>4186</v>
      </c>
      <c r="H71" s="6" t="n">
        <v>45780</v>
      </c>
      <c r="I71" s="1" t="s">
        <v>4173</v>
      </c>
    </row>
    <row r="72" customFormat="false" ht="14.25" hidden="false" customHeight="true" outlineLevel="0" collapsed="false">
      <c r="A72" s="1" t="s">
        <v>1025</v>
      </c>
      <c r="B72" s="1" t="s">
        <v>4236</v>
      </c>
      <c r="C72" s="1" t="s">
        <v>4175</v>
      </c>
      <c r="D72" s="6" t="n">
        <v>35170</v>
      </c>
      <c r="E72" s="1" t="s">
        <v>74</v>
      </c>
      <c r="F72" s="1" t="s">
        <v>4188</v>
      </c>
      <c r="G72" s="1" t="s">
        <v>4184</v>
      </c>
      <c r="H72" s="6" t="n">
        <v>45743</v>
      </c>
      <c r="I72" s="1" t="s">
        <v>4173</v>
      </c>
    </row>
    <row r="73" customFormat="false" ht="14.25" hidden="false" customHeight="true" outlineLevel="0" collapsed="false">
      <c r="A73" s="1" t="s">
        <v>267</v>
      </c>
      <c r="B73" s="1" t="s">
        <v>4243</v>
      </c>
      <c r="C73" s="1" t="s">
        <v>4175</v>
      </c>
      <c r="D73" s="6" t="n">
        <v>25692</v>
      </c>
      <c r="E73" s="1" t="s">
        <v>64</v>
      </c>
      <c r="F73" s="1" t="s">
        <v>54</v>
      </c>
      <c r="G73" s="1" t="s">
        <v>4184</v>
      </c>
      <c r="H73" s="6" t="n">
        <v>45952</v>
      </c>
      <c r="I73" s="1" t="s">
        <v>4173</v>
      </c>
    </row>
    <row r="74" customFormat="false" ht="14.25" hidden="false" customHeight="true" outlineLevel="0" collapsed="false">
      <c r="A74" s="1" t="s">
        <v>366</v>
      </c>
      <c r="B74" s="1" t="s">
        <v>4244</v>
      </c>
      <c r="C74" s="1" t="s">
        <v>4175</v>
      </c>
      <c r="D74" s="6" t="n">
        <v>23673</v>
      </c>
      <c r="E74" s="1" t="s">
        <v>125</v>
      </c>
      <c r="F74" s="1" t="s">
        <v>4181</v>
      </c>
      <c r="G74" s="1" t="s">
        <v>4186</v>
      </c>
      <c r="H74" s="6" t="n">
        <v>45710</v>
      </c>
      <c r="I74" s="1" t="s">
        <v>4173</v>
      </c>
    </row>
    <row r="75" customFormat="false" ht="14.25" hidden="false" customHeight="true" outlineLevel="0" collapsed="false">
      <c r="A75" s="1" t="s">
        <v>2237</v>
      </c>
      <c r="B75" s="1" t="s">
        <v>4245</v>
      </c>
      <c r="C75" s="1" t="s">
        <v>4175</v>
      </c>
      <c r="D75" s="6" t="n">
        <v>35076</v>
      </c>
      <c r="E75" s="1" t="s">
        <v>64</v>
      </c>
      <c r="F75" s="1" t="s">
        <v>4190</v>
      </c>
      <c r="G75" s="1" t="s">
        <v>4184</v>
      </c>
      <c r="H75" s="6" t="n">
        <v>45693</v>
      </c>
      <c r="I75" s="1" t="s">
        <v>4173</v>
      </c>
    </row>
    <row r="76" customFormat="false" ht="14.25" hidden="false" customHeight="true" outlineLevel="0" collapsed="false">
      <c r="A76" s="1" t="s">
        <v>906</v>
      </c>
      <c r="B76" s="1" t="s">
        <v>4246</v>
      </c>
      <c r="C76" s="1" t="s">
        <v>4175</v>
      </c>
      <c r="D76" s="6" t="n">
        <v>31628</v>
      </c>
      <c r="E76" s="1" t="s">
        <v>43</v>
      </c>
      <c r="F76" s="1" t="s">
        <v>4188</v>
      </c>
      <c r="G76" s="1" t="s">
        <v>4182</v>
      </c>
      <c r="H76" s="6" t="n">
        <v>46020</v>
      </c>
      <c r="I76" s="1" t="s">
        <v>4173</v>
      </c>
    </row>
    <row r="77" customFormat="false" ht="14.25" hidden="false" customHeight="true" outlineLevel="0" collapsed="false">
      <c r="A77" s="1" t="s">
        <v>1368</v>
      </c>
      <c r="B77" s="1" t="s">
        <v>4247</v>
      </c>
      <c r="C77" s="1" t="s">
        <v>4175</v>
      </c>
      <c r="D77" s="6" t="n">
        <v>34282</v>
      </c>
      <c r="E77" s="1" t="s">
        <v>64</v>
      </c>
      <c r="F77" s="1" t="s">
        <v>4178</v>
      </c>
      <c r="G77" s="1" t="s">
        <v>4182</v>
      </c>
      <c r="H77" s="6" t="n">
        <v>45896</v>
      </c>
      <c r="I77" s="1" t="s">
        <v>4173</v>
      </c>
    </row>
    <row r="78" customFormat="false" ht="14.25" hidden="false" customHeight="true" outlineLevel="0" collapsed="false">
      <c r="A78" s="1" t="s">
        <v>445</v>
      </c>
      <c r="B78" s="1" t="s">
        <v>4193</v>
      </c>
      <c r="C78" s="1" t="s">
        <v>4171</v>
      </c>
      <c r="D78" s="6" t="n">
        <v>29338</v>
      </c>
      <c r="E78" s="1" t="s">
        <v>54</v>
      </c>
      <c r="F78" s="1" t="s">
        <v>4188</v>
      </c>
      <c r="G78" s="1" t="s">
        <v>4182</v>
      </c>
      <c r="H78" s="6" t="n">
        <v>45782</v>
      </c>
      <c r="I78" s="1" t="s">
        <v>4173</v>
      </c>
    </row>
    <row r="79" customFormat="false" ht="14.25" hidden="false" customHeight="true" outlineLevel="0" collapsed="false">
      <c r="A79" s="1" t="s">
        <v>731</v>
      </c>
      <c r="B79" s="1" t="s">
        <v>4248</v>
      </c>
      <c r="C79" s="1" t="s">
        <v>4171</v>
      </c>
      <c r="D79" s="6" t="n">
        <v>29602</v>
      </c>
      <c r="E79" s="1" t="s">
        <v>125</v>
      </c>
      <c r="F79" s="1" t="s">
        <v>4188</v>
      </c>
      <c r="G79" s="1" t="s">
        <v>4186</v>
      </c>
      <c r="H79" s="6" t="n">
        <v>45907</v>
      </c>
      <c r="I79" s="1" t="s">
        <v>4173</v>
      </c>
    </row>
    <row r="80" customFormat="false" ht="14.25" hidden="false" customHeight="true" outlineLevel="0" collapsed="false">
      <c r="A80" s="1" t="s">
        <v>345</v>
      </c>
      <c r="B80" s="1" t="s">
        <v>4249</v>
      </c>
      <c r="C80" s="1" t="s">
        <v>4171</v>
      </c>
      <c r="D80" s="6" t="n">
        <v>29726</v>
      </c>
      <c r="E80" s="1" t="s">
        <v>74</v>
      </c>
      <c r="F80" s="1" t="s">
        <v>4188</v>
      </c>
      <c r="G80" s="1" t="s">
        <v>4172</v>
      </c>
      <c r="H80" s="6" t="n">
        <v>45922</v>
      </c>
      <c r="I80" s="1" t="s">
        <v>4173</v>
      </c>
    </row>
    <row r="81" customFormat="false" ht="14.25" hidden="false" customHeight="true" outlineLevel="0" collapsed="false">
      <c r="A81" s="1" t="s">
        <v>565</v>
      </c>
      <c r="B81" s="1" t="s">
        <v>4185</v>
      </c>
      <c r="C81" s="1" t="s">
        <v>4175</v>
      </c>
      <c r="D81" s="6" t="n">
        <v>31642</v>
      </c>
      <c r="E81" s="1" t="s">
        <v>125</v>
      </c>
      <c r="F81" s="1" t="s">
        <v>4203</v>
      </c>
      <c r="G81" s="1" t="s">
        <v>4182</v>
      </c>
      <c r="H81" s="6" t="n">
        <v>45988</v>
      </c>
      <c r="I81" s="1" t="s">
        <v>4173</v>
      </c>
    </row>
    <row r="82" customFormat="false" ht="14.25" hidden="false" customHeight="true" outlineLevel="0" collapsed="false">
      <c r="A82" s="1" t="s">
        <v>726</v>
      </c>
      <c r="B82" s="1" t="s">
        <v>4250</v>
      </c>
      <c r="C82" s="1" t="s">
        <v>4175</v>
      </c>
      <c r="D82" s="6" t="n">
        <v>23870</v>
      </c>
      <c r="E82" s="1" t="s">
        <v>43</v>
      </c>
      <c r="F82" s="1" t="s">
        <v>4181</v>
      </c>
      <c r="G82" s="1" t="s">
        <v>4186</v>
      </c>
      <c r="H82" s="6" t="n">
        <v>45814</v>
      </c>
      <c r="I82" s="1" t="s">
        <v>4173</v>
      </c>
    </row>
    <row r="83" customFormat="false" ht="14.25" hidden="false" customHeight="true" outlineLevel="0" collapsed="false">
      <c r="A83" s="1" t="s">
        <v>993</v>
      </c>
      <c r="B83" s="1" t="s">
        <v>4251</v>
      </c>
      <c r="C83" s="1" t="s">
        <v>4171</v>
      </c>
      <c r="D83" s="6" t="n">
        <v>34954</v>
      </c>
      <c r="E83" s="1" t="s">
        <v>43</v>
      </c>
      <c r="F83" s="1" t="s">
        <v>4181</v>
      </c>
      <c r="G83" s="1" t="s">
        <v>4184</v>
      </c>
      <c r="H83" s="6" t="n">
        <v>45838</v>
      </c>
      <c r="I83" s="1" t="s">
        <v>4173</v>
      </c>
    </row>
    <row r="84" customFormat="false" ht="14.25" hidden="false" customHeight="true" outlineLevel="0" collapsed="false">
      <c r="A84" s="1" t="s">
        <v>372</v>
      </c>
      <c r="B84" s="1" t="s">
        <v>4252</v>
      </c>
      <c r="C84" s="1" t="s">
        <v>4171</v>
      </c>
      <c r="D84" s="6" t="n">
        <v>27854</v>
      </c>
      <c r="E84" s="1" t="s">
        <v>74</v>
      </c>
      <c r="F84" s="1" t="s">
        <v>4203</v>
      </c>
      <c r="G84" s="1" t="s">
        <v>4184</v>
      </c>
      <c r="H84" s="6" t="n">
        <v>45719</v>
      </c>
      <c r="I84" s="1" t="s">
        <v>4173</v>
      </c>
    </row>
    <row r="85" customFormat="false" ht="14.25" hidden="false" customHeight="true" outlineLevel="0" collapsed="false">
      <c r="A85" s="1" t="s">
        <v>2853</v>
      </c>
      <c r="B85" s="1" t="s">
        <v>4253</v>
      </c>
      <c r="C85" s="1" t="s">
        <v>4175</v>
      </c>
      <c r="D85" s="6" t="n">
        <v>27014</v>
      </c>
      <c r="E85" s="1" t="s">
        <v>102</v>
      </c>
      <c r="F85" s="1" t="s">
        <v>4181</v>
      </c>
      <c r="G85" s="1" t="s">
        <v>4184</v>
      </c>
      <c r="H85" s="6" t="n">
        <v>45709</v>
      </c>
      <c r="I85" s="1" t="s">
        <v>4173</v>
      </c>
    </row>
    <row r="86" customFormat="false" ht="14.25" hidden="false" customHeight="true" outlineLevel="0" collapsed="false">
      <c r="A86" s="1" t="s">
        <v>1884</v>
      </c>
      <c r="B86" s="1" t="s">
        <v>4201</v>
      </c>
      <c r="C86" s="1" t="s">
        <v>4175</v>
      </c>
      <c r="D86" s="6" t="n">
        <v>30385</v>
      </c>
      <c r="E86" s="1" t="s">
        <v>54</v>
      </c>
      <c r="F86" s="1" t="s">
        <v>4181</v>
      </c>
      <c r="G86" s="1" t="s">
        <v>4186</v>
      </c>
      <c r="H86" s="6" t="n">
        <v>45798</v>
      </c>
      <c r="I86" s="1" t="s">
        <v>4173</v>
      </c>
    </row>
    <row r="87" customFormat="false" ht="14.25" hidden="false" customHeight="true" outlineLevel="0" collapsed="false">
      <c r="A87" s="1" t="s">
        <v>1621</v>
      </c>
      <c r="B87" s="1" t="s">
        <v>4210</v>
      </c>
      <c r="C87" s="1" t="s">
        <v>4171</v>
      </c>
      <c r="D87" s="6" t="n">
        <v>25170</v>
      </c>
      <c r="E87" s="1" t="s">
        <v>125</v>
      </c>
      <c r="F87" s="1" t="s">
        <v>4190</v>
      </c>
      <c r="G87" s="1" t="s">
        <v>4172</v>
      </c>
      <c r="H87" s="6" t="n">
        <v>45664</v>
      </c>
      <c r="I87" s="1" t="s">
        <v>4173</v>
      </c>
    </row>
    <row r="88" customFormat="false" ht="14.25" hidden="false" customHeight="true" outlineLevel="0" collapsed="false">
      <c r="A88" s="1" t="s">
        <v>690</v>
      </c>
      <c r="B88" s="1" t="s">
        <v>4254</v>
      </c>
      <c r="C88" s="1" t="s">
        <v>4171</v>
      </c>
      <c r="D88" s="6" t="n">
        <v>33096</v>
      </c>
      <c r="E88" s="1" t="s">
        <v>140</v>
      </c>
      <c r="F88" s="1" t="s">
        <v>54</v>
      </c>
      <c r="G88" s="1" t="s">
        <v>4184</v>
      </c>
      <c r="H88" s="6" t="n">
        <v>45902</v>
      </c>
      <c r="I88" s="1" t="s">
        <v>4173</v>
      </c>
    </row>
    <row r="89" customFormat="false" ht="14.25" hidden="false" customHeight="true" outlineLevel="0" collapsed="false">
      <c r="A89" s="1" t="s">
        <v>834</v>
      </c>
      <c r="B89" s="1" t="s">
        <v>4255</v>
      </c>
      <c r="C89" s="1" t="s">
        <v>4171</v>
      </c>
      <c r="D89" s="6" t="n">
        <v>33288</v>
      </c>
      <c r="E89" s="1" t="s">
        <v>74</v>
      </c>
      <c r="F89" s="1" t="s">
        <v>4181</v>
      </c>
      <c r="G89" s="1" t="s">
        <v>4172</v>
      </c>
      <c r="H89" s="6" t="n">
        <v>45735</v>
      </c>
      <c r="I89" s="1" t="s">
        <v>4173</v>
      </c>
    </row>
    <row r="90" customFormat="false" ht="14.25" hidden="false" customHeight="true" outlineLevel="0" collapsed="false">
      <c r="A90" s="1" t="s">
        <v>976</v>
      </c>
      <c r="B90" s="1" t="s">
        <v>4256</v>
      </c>
      <c r="C90" s="1" t="s">
        <v>4171</v>
      </c>
      <c r="D90" s="6" t="n">
        <v>23836</v>
      </c>
      <c r="E90" s="1" t="s">
        <v>64</v>
      </c>
      <c r="F90" s="1" t="s">
        <v>4178</v>
      </c>
      <c r="G90" s="1" t="s">
        <v>4182</v>
      </c>
      <c r="H90" s="6" t="n">
        <v>45968</v>
      </c>
      <c r="I90" s="1" t="s">
        <v>4173</v>
      </c>
    </row>
    <row r="91" customFormat="false" ht="14.25" hidden="false" customHeight="true" outlineLevel="0" collapsed="false">
      <c r="A91" s="1" t="s">
        <v>1327</v>
      </c>
      <c r="B91" s="1" t="s">
        <v>4243</v>
      </c>
      <c r="C91" s="1" t="s">
        <v>4175</v>
      </c>
      <c r="D91" s="6" t="n">
        <v>34165</v>
      </c>
      <c r="E91" s="1" t="s">
        <v>43</v>
      </c>
      <c r="F91" s="1" t="s">
        <v>4188</v>
      </c>
      <c r="G91" s="1" t="s">
        <v>4182</v>
      </c>
      <c r="H91" s="6" t="n">
        <v>45814</v>
      </c>
      <c r="I91" s="1" t="s">
        <v>4173</v>
      </c>
    </row>
    <row r="92" customFormat="false" ht="14.25" hidden="false" customHeight="true" outlineLevel="0" collapsed="false">
      <c r="A92" s="1" t="s">
        <v>858</v>
      </c>
      <c r="B92" s="1" t="s">
        <v>4257</v>
      </c>
      <c r="C92" s="1" t="s">
        <v>4175</v>
      </c>
      <c r="D92" s="6" t="n">
        <v>36498</v>
      </c>
      <c r="E92" s="1" t="s">
        <v>125</v>
      </c>
      <c r="F92" s="1" t="s">
        <v>4203</v>
      </c>
      <c r="G92" s="1" t="s">
        <v>4186</v>
      </c>
      <c r="H92" s="6" t="n">
        <v>45793</v>
      </c>
      <c r="I92" s="1" t="s">
        <v>4173</v>
      </c>
    </row>
    <row r="93" customFormat="false" ht="14.25" hidden="false" customHeight="true" outlineLevel="0" collapsed="false">
      <c r="A93" s="1" t="s">
        <v>941</v>
      </c>
      <c r="B93" s="1" t="s">
        <v>4258</v>
      </c>
      <c r="C93" s="1" t="s">
        <v>4175</v>
      </c>
      <c r="D93" s="6" t="n">
        <v>26179</v>
      </c>
      <c r="E93" s="1" t="s">
        <v>140</v>
      </c>
      <c r="F93" s="1" t="s">
        <v>54</v>
      </c>
      <c r="G93" s="1" t="s">
        <v>4182</v>
      </c>
      <c r="H93" s="6" t="n">
        <v>45888</v>
      </c>
      <c r="I93" s="1" t="s">
        <v>4173</v>
      </c>
    </row>
    <row r="94" customFormat="false" ht="14.25" hidden="false" customHeight="true" outlineLevel="0" collapsed="false">
      <c r="A94" s="1" t="s">
        <v>880</v>
      </c>
      <c r="B94" s="1" t="s">
        <v>4259</v>
      </c>
      <c r="C94" s="1" t="s">
        <v>4171</v>
      </c>
      <c r="D94" s="6" t="n">
        <v>22746</v>
      </c>
      <c r="E94" s="1" t="s">
        <v>74</v>
      </c>
      <c r="F94" s="1" t="s">
        <v>4188</v>
      </c>
      <c r="G94" s="1" t="s">
        <v>4182</v>
      </c>
      <c r="H94" s="6" t="n">
        <v>45694</v>
      </c>
      <c r="I94" s="1" t="s">
        <v>4173</v>
      </c>
    </row>
    <row r="95" customFormat="false" ht="14.25" hidden="false" customHeight="true" outlineLevel="0" collapsed="false">
      <c r="A95" s="1" t="s">
        <v>1239</v>
      </c>
      <c r="B95" s="1" t="s">
        <v>4260</v>
      </c>
      <c r="C95" s="1" t="s">
        <v>4175</v>
      </c>
      <c r="D95" s="6" t="n">
        <v>31826</v>
      </c>
      <c r="E95" s="1" t="s">
        <v>140</v>
      </c>
      <c r="F95" s="1" t="s">
        <v>4181</v>
      </c>
      <c r="G95" s="1" t="s">
        <v>4186</v>
      </c>
      <c r="H95" s="6" t="n">
        <v>45794</v>
      </c>
      <c r="I95" s="1" t="s">
        <v>4173</v>
      </c>
    </row>
    <row r="96" customFormat="false" ht="14.25" hidden="false" customHeight="true" outlineLevel="0" collapsed="false">
      <c r="A96" s="1" t="s">
        <v>627</v>
      </c>
      <c r="B96" s="1" t="s">
        <v>4261</v>
      </c>
      <c r="C96" s="1" t="s">
        <v>4175</v>
      </c>
      <c r="D96" s="6" t="n">
        <v>25708</v>
      </c>
      <c r="E96" s="1" t="s">
        <v>74</v>
      </c>
      <c r="F96" s="1" t="s">
        <v>4178</v>
      </c>
      <c r="G96" s="1" t="s">
        <v>4184</v>
      </c>
      <c r="H96" s="6" t="n">
        <v>45882</v>
      </c>
      <c r="I96" s="1" t="s">
        <v>4173</v>
      </c>
    </row>
    <row r="97" customFormat="false" ht="14.25" hidden="false" customHeight="true" outlineLevel="0" collapsed="false">
      <c r="A97" s="1" t="s">
        <v>814</v>
      </c>
      <c r="B97" s="1" t="s">
        <v>4262</v>
      </c>
      <c r="C97" s="1" t="s">
        <v>4171</v>
      </c>
      <c r="D97" s="6" t="n">
        <v>31184</v>
      </c>
      <c r="E97" s="1" t="s">
        <v>64</v>
      </c>
      <c r="F97" s="1" t="s">
        <v>4190</v>
      </c>
      <c r="G97" s="1" t="s">
        <v>4182</v>
      </c>
      <c r="H97" s="6" t="n">
        <v>45699</v>
      </c>
      <c r="I97" s="1" t="s">
        <v>4173</v>
      </c>
    </row>
    <row r="98" customFormat="false" ht="14.25" hidden="false" customHeight="true" outlineLevel="0" collapsed="false">
      <c r="A98" s="1" t="s">
        <v>1248</v>
      </c>
      <c r="B98" s="1" t="s">
        <v>4263</v>
      </c>
      <c r="C98" s="1" t="s">
        <v>4171</v>
      </c>
      <c r="D98" s="6" t="n">
        <v>29503</v>
      </c>
      <c r="E98" s="1" t="s">
        <v>54</v>
      </c>
      <c r="F98" s="1" t="s">
        <v>54</v>
      </c>
      <c r="G98" s="1" t="s">
        <v>4186</v>
      </c>
      <c r="H98" s="6" t="n">
        <v>46003</v>
      </c>
      <c r="I98" s="1" t="s">
        <v>4173</v>
      </c>
    </row>
    <row r="99" customFormat="false" ht="14.25" hidden="false" customHeight="true" outlineLevel="0" collapsed="false">
      <c r="A99" s="1" t="s">
        <v>752</v>
      </c>
      <c r="B99" s="1" t="s">
        <v>4257</v>
      </c>
      <c r="C99" s="1" t="s">
        <v>4175</v>
      </c>
      <c r="D99" s="6" t="n">
        <v>28400</v>
      </c>
      <c r="E99" s="1" t="s">
        <v>125</v>
      </c>
      <c r="F99" s="1" t="s">
        <v>4178</v>
      </c>
      <c r="G99" s="1" t="s">
        <v>4186</v>
      </c>
      <c r="H99" s="6" t="n">
        <v>45898</v>
      </c>
      <c r="I99" s="1" t="s">
        <v>4173</v>
      </c>
    </row>
    <row r="100" customFormat="false" ht="14.25" hidden="false" customHeight="true" outlineLevel="0" collapsed="false">
      <c r="A100" s="1" t="s">
        <v>3613</v>
      </c>
      <c r="B100" s="1" t="s">
        <v>4264</v>
      </c>
      <c r="C100" s="1" t="s">
        <v>4171</v>
      </c>
      <c r="D100" s="6" t="n">
        <v>26220</v>
      </c>
      <c r="E100" s="1" t="s">
        <v>74</v>
      </c>
      <c r="F100" s="1" t="s">
        <v>4178</v>
      </c>
      <c r="G100" s="1" t="s">
        <v>4182</v>
      </c>
      <c r="H100" s="6" t="n">
        <v>45704</v>
      </c>
      <c r="I100" s="1" t="s">
        <v>4173</v>
      </c>
    </row>
    <row r="101" customFormat="false" ht="14.25" hidden="false" customHeight="true" outlineLevel="0" collapsed="false">
      <c r="A101" s="1" t="s">
        <v>1466</v>
      </c>
      <c r="B101" s="1" t="s">
        <v>4265</v>
      </c>
      <c r="C101" s="1" t="s">
        <v>4171</v>
      </c>
      <c r="D101" s="6" t="n">
        <v>29759</v>
      </c>
      <c r="E101" s="1" t="s">
        <v>54</v>
      </c>
      <c r="F101" s="1" t="s">
        <v>4178</v>
      </c>
      <c r="G101" s="1" t="s">
        <v>4186</v>
      </c>
      <c r="H101" s="6" t="n">
        <v>45826</v>
      </c>
      <c r="I101" s="1" t="s">
        <v>4173</v>
      </c>
    </row>
    <row r="102" customFormat="false" ht="14.25" hidden="false" customHeight="true" outlineLevel="0" collapsed="false">
      <c r="A102" s="1" t="s">
        <v>309</v>
      </c>
      <c r="B102" s="1" t="s">
        <v>4266</v>
      </c>
      <c r="C102" s="1" t="s">
        <v>4171</v>
      </c>
      <c r="D102" s="6" t="n">
        <v>37464</v>
      </c>
      <c r="E102" s="1" t="s">
        <v>125</v>
      </c>
      <c r="F102" s="1" t="s">
        <v>4176</v>
      </c>
      <c r="G102" s="1" t="s">
        <v>4172</v>
      </c>
      <c r="H102" s="6" t="n">
        <v>45890</v>
      </c>
      <c r="I102" s="1" t="s">
        <v>4173</v>
      </c>
    </row>
    <row r="103" customFormat="false" ht="14.25" hidden="false" customHeight="true" outlineLevel="0" collapsed="false">
      <c r="A103" s="1" t="s">
        <v>708</v>
      </c>
      <c r="B103" s="1" t="s">
        <v>4267</v>
      </c>
      <c r="C103" s="1" t="s">
        <v>4171</v>
      </c>
      <c r="D103" s="6" t="n">
        <v>29276</v>
      </c>
      <c r="E103" s="1" t="s">
        <v>43</v>
      </c>
      <c r="F103" s="1" t="s">
        <v>4178</v>
      </c>
      <c r="G103" s="1" t="s">
        <v>4172</v>
      </c>
      <c r="H103" s="6" t="n">
        <v>45994</v>
      </c>
      <c r="I103" s="1" t="s">
        <v>4173</v>
      </c>
    </row>
    <row r="104" customFormat="false" ht="14.25" hidden="false" customHeight="true" outlineLevel="0" collapsed="false">
      <c r="A104" s="1" t="s">
        <v>1232</v>
      </c>
      <c r="B104" s="1" t="s">
        <v>4268</v>
      </c>
      <c r="C104" s="1" t="s">
        <v>4171</v>
      </c>
      <c r="D104" s="6" t="n">
        <v>23118</v>
      </c>
      <c r="E104" s="1" t="s">
        <v>102</v>
      </c>
      <c r="F104" s="1" t="s">
        <v>4176</v>
      </c>
      <c r="G104" s="1" t="s">
        <v>4182</v>
      </c>
      <c r="H104" s="6" t="n">
        <v>45978</v>
      </c>
      <c r="I104" s="1" t="s">
        <v>4173</v>
      </c>
    </row>
    <row r="105" customFormat="false" ht="14.25" hidden="false" customHeight="true" outlineLevel="0" collapsed="false">
      <c r="A105" s="1" t="s">
        <v>634</v>
      </c>
      <c r="B105" s="1" t="s">
        <v>4269</v>
      </c>
      <c r="C105" s="1" t="s">
        <v>4175</v>
      </c>
      <c r="D105" s="6" t="n">
        <v>28373</v>
      </c>
      <c r="E105" s="1" t="s">
        <v>102</v>
      </c>
      <c r="F105" s="1" t="s">
        <v>4190</v>
      </c>
      <c r="G105" s="1" t="s">
        <v>4182</v>
      </c>
      <c r="H105" s="6" t="n">
        <v>45720</v>
      </c>
      <c r="I105" s="1" t="s">
        <v>4173</v>
      </c>
    </row>
    <row r="106" customFormat="false" ht="14.25" hidden="false" customHeight="true" outlineLevel="0" collapsed="false">
      <c r="A106" s="1" t="s">
        <v>696</v>
      </c>
      <c r="B106" s="1" t="s">
        <v>4270</v>
      </c>
      <c r="C106" s="1" t="s">
        <v>4175</v>
      </c>
      <c r="D106" s="6" t="n">
        <v>25706</v>
      </c>
      <c r="E106" s="1" t="s">
        <v>54</v>
      </c>
      <c r="F106" s="1" t="s">
        <v>4176</v>
      </c>
      <c r="G106" s="1" t="s">
        <v>4182</v>
      </c>
      <c r="H106" s="6" t="n">
        <v>45705</v>
      </c>
      <c r="I106" s="1" t="s">
        <v>4173</v>
      </c>
    </row>
    <row r="107" customFormat="false" ht="14.25" hidden="false" customHeight="true" outlineLevel="0" collapsed="false">
      <c r="A107" s="1" t="s">
        <v>1353</v>
      </c>
      <c r="B107" s="1" t="s">
        <v>4271</v>
      </c>
      <c r="C107" s="1" t="s">
        <v>4171</v>
      </c>
      <c r="D107" s="6" t="n">
        <v>24803</v>
      </c>
      <c r="E107" s="1" t="s">
        <v>140</v>
      </c>
      <c r="F107" s="1" t="s">
        <v>4190</v>
      </c>
      <c r="G107" s="1" t="s">
        <v>4184</v>
      </c>
      <c r="H107" s="6" t="n">
        <v>45918</v>
      </c>
      <c r="I107" s="1" t="s">
        <v>4173</v>
      </c>
    </row>
    <row r="108" customFormat="false" ht="14.25" hidden="false" customHeight="true" outlineLevel="0" collapsed="false">
      <c r="A108" s="1" t="s">
        <v>2697</v>
      </c>
      <c r="B108" s="1" t="s">
        <v>4241</v>
      </c>
      <c r="C108" s="1" t="s">
        <v>4171</v>
      </c>
      <c r="D108" s="6" t="n">
        <v>32978</v>
      </c>
      <c r="E108" s="1" t="s">
        <v>64</v>
      </c>
      <c r="F108" s="1" t="s">
        <v>4203</v>
      </c>
      <c r="G108" s="1" t="s">
        <v>4182</v>
      </c>
      <c r="H108" s="6" t="n">
        <v>45755</v>
      </c>
      <c r="I108" s="1" t="s">
        <v>4173</v>
      </c>
    </row>
    <row r="109" customFormat="false" ht="14.25" hidden="false" customHeight="true" outlineLevel="0" collapsed="false">
      <c r="A109" s="1" t="s">
        <v>533</v>
      </c>
      <c r="B109" s="1" t="s">
        <v>4227</v>
      </c>
      <c r="C109" s="1" t="s">
        <v>4175</v>
      </c>
      <c r="D109" s="6" t="n">
        <v>23522</v>
      </c>
      <c r="E109" s="1" t="s">
        <v>125</v>
      </c>
      <c r="F109" s="1" t="s">
        <v>4178</v>
      </c>
      <c r="G109" s="1" t="s">
        <v>4182</v>
      </c>
      <c r="H109" s="6" t="n">
        <v>45832</v>
      </c>
      <c r="I109" s="1" t="s">
        <v>4173</v>
      </c>
    </row>
    <row r="110" customFormat="false" ht="14.25" hidden="false" customHeight="true" outlineLevel="0" collapsed="false">
      <c r="A110" s="1" t="s">
        <v>1376</v>
      </c>
      <c r="B110" s="1" t="s">
        <v>4272</v>
      </c>
      <c r="C110" s="1" t="s">
        <v>4175</v>
      </c>
      <c r="D110" s="6" t="n">
        <v>28834</v>
      </c>
      <c r="E110" s="1" t="s">
        <v>125</v>
      </c>
      <c r="F110" s="1" t="s">
        <v>4176</v>
      </c>
      <c r="G110" s="1" t="s">
        <v>4182</v>
      </c>
      <c r="H110" s="6" t="n">
        <v>45734</v>
      </c>
      <c r="I110" s="1" t="s">
        <v>4173</v>
      </c>
    </row>
    <row r="111" customFormat="false" ht="14.25" hidden="false" customHeight="true" outlineLevel="0" collapsed="false">
      <c r="A111" s="1" t="s">
        <v>3168</v>
      </c>
      <c r="B111" s="1" t="s">
        <v>4273</v>
      </c>
      <c r="C111" s="1" t="s">
        <v>4171</v>
      </c>
      <c r="D111" s="6" t="n">
        <v>30120</v>
      </c>
      <c r="E111" s="1" t="s">
        <v>125</v>
      </c>
      <c r="F111" s="1" t="s">
        <v>4176</v>
      </c>
      <c r="G111" s="1" t="s">
        <v>4182</v>
      </c>
      <c r="H111" s="6" t="n">
        <v>45891</v>
      </c>
      <c r="I111" s="1" t="s">
        <v>4173</v>
      </c>
    </row>
    <row r="112" customFormat="false" ht="14.25" hidden="false" customHeight="true" outlineLevel="0" collapsed="false">
      <c r="A112" s="1" t="s">
        <v>818</v>
      </c>
      <c r="B112" s="1" t="s">
        <v>4274</v>
      </c>
      <c r="C112" s="1" t="s">
        <v>4175</v>
      </c>
      <c r="D112" s="6" t="n">
        <v>35254</v>
      </c>
      <c r="E112" s="1" t="s">
        <v>125</v>
      </c>
      <c r="F112" s="1" t="s">
        <v>4178</v>
      </c>
      <c r="G112" s="1" t="s">
        <v>4182</v>
      </c>
      <c r="H112" s="6" t="n">
        <v>45680</v>
      </c>
      <c r="I112" s="1" t="s">
        <v>4173</v>
      </c>
    </row>
    <row r="113" customFormat="false" ht="14.25" hidden="false" customHeight="true" outlineLevel="0" collapsed="false">
      <c r="A113" s="1" t="s">
        <v>1733</v>
      </c>
      <c r="B113" s="1" t="s">
        <v>4198</v>
      </c>
      <c r="C113" s="1" t="s">
        <v>4171</v>
      </c>
      <c r="D113" s="6" t="n">
        <v>31012</v>
      </c>
      <c r="E113" s="1" t="s">
        <v>125</v>
      </c>
      <c r="F113" s="1" t="s">
        <v>4181</v>
      </c>
      <c r="G113" s="1" t="s">
        <v>4186</v>
      </c>
      <c r="H113" s="6" t="n">
        <v>45911</v>
      </c>
      <c r="I113" s="1" t="s">
        <v>4173</v>
      </c>
    </row>
    <row r="114" customFormat="false" ht="14.25" hidden="false" customHeight="true" outlineLevel="0" collapsed="false">
      <c r="A114" s="1" t="s">
        <v>1789</v>
      </c>
      <c r="B114" s="1" t="s">
        <v>4208</v>
      </c>
      <c r="C114" s="1" t="s">
        <v>4171</v>
      </c>
      <c r="D114" s="6" t="n">
        <v>24323</v>
      </c>
      <c r="E114" s="1" t="s">
        <v>64</v>
      </c>
      <c r="F114" s="1" t="s">
        <v>4190</v>
      </c>
      <c r="G114" s="1" t="s">
        <v>4172</v>
      </c>
      <c r="H114" s="6" t="n">
        <v>45731</v>
      </c>
      <c r="I114" s="1" t="s">
        <v>4173</v>
      </c>
    </row>
    <row r="115" customFormat="false" ht="14.25" hidden="false" customHeight="true" outlineLevel="0" collapsed="false">
      <c r="A115" s="1" t="s">
        <v>77</v>
      </c>
      <c r="B115" s="1" t="s">
        <v>4206</v>
      </c>
      <c r="C115" s="1" t="s">
        <v>4175</v>
      </c>
      <c r="D115" s="6" t="n">
        <v>33004</v>
      </c>
      <c r="E115" s="1" t="s">
        <v>64</v>
      </c>
      <c r="F115" s="1" t="s">
        <v>4181</v>
      </c>
      <c r="G115" s="1" t="s">
        <v>4182</v>
      </c>
      <c r="H115" s="6" t="n">
        <v>45990</v>
      </c>
      <c r="I115" s="1" t="s">
        <v>4173</v>
      </c>
    </row>
    <row r="116" customFormat="false" ht="14.25" hidden="false" customHeight="true" outlineLevel="0" collapsed="false">
      <c r="A116" s="1" t="s">
        <v>84</v>
      </c>
      <c r="B116" s="1" t="s">
        <v>4267</v>
      </c>
      <c r="C116" s="1" t="s">
        <v>4171</v>
      </c>
      <c r="D116" s="6" t="n">
        <v>29548</v>
      </c>
      <c r="E116" s="1" t="s">
        <v>125</v>
      </c>
      <c r="F116" s="1" t="s">
        <v>4190</v>
      </c>
      <c r="G116" s="1" t="s">
        <v>4172</v>
      </c>
      <c r="H116" s="6" t="n">
        <v>45974</v>
      </c>
      <c r="I116" s="1" t="s">
        <v>4173</v>
      </c>
    </row>
    <row r="117" customFormat="false" ht="14.25" hidden="false" customHeight="true" outlineLevel="0" collapsed="false">
      <c r="A117" s="1" t="s">
        <v>739</v>
      </c>
      <c r="B117" s="1" t="s">
        <v>4275</v>
      </c>
      <c r="C117" s="1" t="s">
        <v>4171</v>
      </c>
      <c r="D117" s="6" t="n">
        <v>27366</v>
      </c>
      <c r="E117" s="1" t="s">
        <v>43</v>
      </c>
      <c r="F117" s="1" t="s">
        <v>54</v>
      </c>
      <c r="G117" s="1" t="s">
        <v>4172</v>
      </c>
      <c r="H117" s="6" t="n">
        <v>45885</v>
      </c>
      <c r="I117" s="1" t="s">
        <v>4173</v>
      </c>
    </row>
    <row r="118" customFormat="false" ht="14.25" hidden="false" customHeight="true" outlineLevel="0" collapsed="false">
      <c r="A118" s="1" t="s">
        <v>1343</v>
      </c>
      <c r="B118" s="1" t="s">
        <v>4276</v>
      </c>
      <c r="C118" s="1" t="s">
        <v>4175</v>
      </c>
      <c r="D118" s="6" t="n">
        <v>22823</v>
      </c>
      <c r="E118" s="1" t="s">
        <v>54</v>
      </c>
      <c r="F118" s="1" t="s">
        <v>4188</v>
      </c>
      <c r="G118" s="1" t="s">
        <v>4184</v>
      </c>
      <c r="H118" s="6" t="n">
        <v>45849</v>
      </c>
      <c r="I118" s="1" t="s">
        <v>4173</v>
      </c>
    </row>
    <row r="119" customFormat="false" ht="14.25" hidden="false" customHeight="true" outlineLevel="0" collapsed="false">
      <c r="A119" s="1" t="s">
        <v>1000</v>
      </c>
      <c r="B119" s="1" t="s">
        <v>4206</v>
      </c>
      <c r="C119" s="1" t="s">
        <v>4175</v>
      </c>
      <c r="D119" s="6" t="n">
        <v>34169</v>
      </c>
      <c r="E119" s="1" t="s">
        <v>74</v>
      </c>
      <c r="F119" s="1" t="s">
        <v>4178</v>
      </c>
      <c r="G119" s="1" t="s">
        <v>4186</v>
      </c>
      <c r="H119" s="6" t="n">
        <v>45745</v>
      </c>
      <c r="I119" s="1" t="s">
        <v>4173</v>
      </c>
    </row>
    <row r="120" customFormat="false" ht="14.25" hidden="false" customHeight="true" outlineLevel="0" collapsed="false">
      <c r="A120" s="1" t="s">
        <v>582</v>
      </c>
      <c r="B120" s="1" t="s">
        <v>4223</v>
      </c>
      <c r="C120" s="1" t="s">
        <v>4171</v>
      </c>
      <c r="D120" s="6" t="n">
        <v>36472</v>
      </c>
      <c r="E120" s="1" t="s">
        <v>43</v>
      </c>
      <c r="F120" s="1" t="s">
        <v>4176</v>
      </c>
      <c r="G120" s="1" t="s">
        <v>4186</v>
      </c>
      <c r="H120" s="6" t="n">
        <v>45776</v>
      </c>
      <c r="I120" s="1" t="s">
        <v>4173</v>
      </c>
    </row>
    <row r="121" customFormat="false" ht="14.25" hidden="false" customHeight="true" outlineLevel="0" collapsed="false">
      <c r="A121" s="1" t="s">
        <v>1432</v>
      </c>
      <c r="B121" s="1" t="s">
        <v>4252</v>
      </c>
      <c r="C121" s="1" t="s">
        <v>4171</v>
      </c>
      <c r="D121" s="6" t="n">
        <v>28065</v>
      </c>
      <c r="E121" s="1" t="s">
        <v>125</v>
      </c>
      <c r="F121" s="1" t="s">
        <v>4190</v>
      </c>
      <c r="G121" s="1" t="s">
        <v>4184</v>
      </c>
      <c r="H121" s="6" t="n">
        <v>46004</v>
      </c>
      <c r="I121" s="1" t="s">
        <v>4173</v>
      </c>
    </row>
    <row r="122" customFormat="false" ht="14.25" hidden="false" customHeight="true" outlineLevel="0" collapsed="false">
      <c r="A122" s="1" t="s">
        <v>537</v>
      </c>
      <c r="B122" s="1" t="s">
        <v>4253</v>
      </c>
      <c r="C122" s="1" t="s">
        <v>4175</v>
      </c>
      <c r="D122" s="6" t="n">
        <v>32313</v>
      </c>
      <c r="E122" s="1" t="s">
        <v>102</v>
      </c>
      <c r="F122" s="1" t="s">
        <v>4181</v>
      </c>
      <c r="G122" s="1" t="s">
        <v>4182</v>
      </c>
      <c r="H122" s="6" t="n">
        <v>46011</v>
      </c>
      <c r="I122" s="1" t="s">
        <v>4173</v>
      </c>
    </row>
    <row r="123" customFormat="false" ht="14.25" hidden="false" customHeight="true" outlineLevel="0" collapsed="false">
      <c r="A123" s="1" t="s">
        <v>1574</v>
      </c>
      <c r="B123" s="1" t="s">
        <v>4277</v>
      </c>
      <c r="C123" s="1" t="s">
        <v>4171</v>
      </c>
      <c r="D123" s="6" t="n">
        <v>26508</v>
      </c>
      <c r="E123" s="1" t="s">
        <v>43</v>
      </c>
      <c r="F123" s="1" t="s">
        <v>54</v>
      </c>
      <c r="G123" s="1" t="s">
        <v>4186</v>
      </c>
      <c r="H123" s="6" t="n">
        <v>45853</v>
      </c>
      <c r="I123" s="1" t="s">
        <v>4173</v>
      </c>
    </row>
    <row r="124" customFormat="false" ht="14.25" hidden="false" customHeight="true" outlineLevel="0" collapsed="false">
      <c r="A124" s="1" t="s">
        <v>1036</v>
      </c>
      <c r="B124" s="1" t="s">
        <v>4251</v>
      </c>
      <c r="C124" s="1" t="s">
        <v>4171</v>
      </c>
      <c r="D124" s="6" t="n">
        <v>28517</v>
      </c>
      <c r="E124" s="1" t="s">
        <v>74</v>
      </c>
      <c r="F124" s="1" t="s">
        <v>4190</v>
      </c>
      <c r="G124" s="1" t="s">
        <v>4184</v>
      </c>
      <c r="H124" s="6" t="n">
        <v>45662</v>
      </c>
      <c r="I124" s="1" t="s">
        <v>4173</v>
      </c>
    </row>
    <row r="125" customFormat="false" ht="14.25" hidden="false" customHeight="true" outlineLevel="0" collapsed="false">
      <c r="A125" s="1" t="s">
        <v>921</v>
      </c>
      <c r="B125" s="1" t="s">
        <v>4240</v>
      </c>
      <c r="C125" s="1" t="s">
        <v>4171</v>
      </c>
      <c r="D125" s="6" t="n">
        <v>28600</v>
      </c>
      <c r="E125" s="1" t="s">
        <v>125</v>
      </c>
      <c r="F125" s="1" t="s">
        <v>4188</v>
      </c>
      <c r="G125" s="1" t="s">
        <v>4186</v>
      </c>
      <c r="H125" s="6" t="n">
        <v>45983</v>
      </c>
      <c r="I125" s="1" t="s">
        <v>4173</v>
      </c>
    </row>
    <row r="126" customFormat="false" ht="14.25" hidden="false" customHeight="true" outlineLevel="0" collapsed="false">
      <c r="A126" s="1" t="s">
        <v>685</v>
      </c>
      <c r="B126" s="1" t="s">
        <v>4278</v>
      </c>
      <c r="C126" s="1" t="s">
        <v>4171</v>
      </c>
      <c r="D126" s="6" t="n">
        <v>37587</v>
      </c>
      <c r="E126" s="1" t="s">
        <v>140</v>
      </c>
      <c r="F126" s="1" t="s">
        <v>4181</v>
      </c>
      <c r="G126" s="1" t="s">
        <v>4172</v>
      </c>
      <c r="H126" s="6" t="n">
        <v>45979</v>
      </c>
      <c r="I126" s="1" t="s">
        <v>4173</v>
      </c>
    </row>
    <row r="127" customFormat="false" ht="14.25" hidden="false" customHeight="true" outlineLevel="0" collapsed="false">
      <c r="A127" s="1" t="s">
        <v>1421</v>
      </c>
      <c r="B127" s="1" t="s">
        <v>4279</v>
      </c>
      <c r="C127" s="1" t="s">
        <v>4171</v>
      </c>
      <c r="D127" s="6" t="n">
        <v>22931</v>
      </c>
      <c r="E127" s="1" t="s">
        <v>74</v>
      </c>
      <c r="F127" s="1" t="s">
        <v>4203</v>
      </c>
      <c r="G127" s="1" t="s">
        <v>4172</v>
      </c>
      <c r="H127" s="6" t="n">
        <v>45809</v>
      </c>
      <c r="I127" s="1" t="s">
        <v>4173</v>
      </c>
    </row>
    <row r="128" customFormat="false" ht="14.25" hidden="false" customHeight="true" outlineLevel="0" collapsed="false">
      <c r="A128" s="1" t="s">
        <v>1013</v>
      </c>
      <c r="B128" s="1" t="s">
        <v>4239</v>
      </c>
      <c r="C128" s="1" t="s">
        <v>4175</v>
      </c>
      <c r="D128" s="6" t="n">
        <v>26384</v>
      </c>
      <c r="E128" s="1" t="s">
        <v>64</v>
      </c>
      <c r="F128" s="1" t="s">
        <v>4188</v>
      </c>
      <c r="G128" s="1" t="s">
        <v>4184</v>
      </c>
      <c r="H128" s="6" t="n">
        <v>45742</v>
      </c>
      <c r="I128" s="1" t="s">
        <v>4173</v>
      </c>
    </row>
    <row r="129" customFormat="false" ht="14.25" hidden="false" customHeight="true" outlineLevel="0" collapsed="false">
      <c r="A129" s="1" t="s">
        <v>515</v>
      </c>
      <c r="B129" s="1" t="s">
        <v>4277</v>
      </c>
      <c r="C129" s="1" t="s">
        <v>4171</v>
      </c>
      <c r="D129" s="6" t="n">
        <v>29632</v>
      </c>
      <c r="E129" s="1" t="s">
        <v>54</v>
      </c>
      <c r="F129" s="1" t="s">
        <v>4203</v>
      </c>
      <c r="G129" s="1" t="s">
        <v>4186</v>
      </c>
      <c r="H129" s="6" t="n">
        <v>46004</v>
      </c>
      <c r="I129" s="1" t="s">
        <v>4173</v>
      </c>
    </row>
    <row r="130" customFormat="false" ht="14.25" hidden="false" customHeight="true" outlineLevel="0" collapsed="false">
      <c r="A130" s="1" t="s">
        <v>1452</v>
      </c>
      <c r="B130" s="1" t="s">
        <v>4280</v>
      </c>
      <c r="C130" s="1" t="s">
        <v>4171</v>
      </c>
      <c r="D130" s="6" t="n">
        <v>23924</v>
      </c>
      <c r="E130" s="1" t="s">
        <v>102</v>
      </c>
      <c r="F130" s="1" t="s">
        <v>4176</v>
      </c>
      <c r="G130" s="1" t="s">
        <v>4172</v>
      </c>
      <c r="H130" s="6" t="n">
        <v>45890</v>
      </c>
      <c r="I130" s="1" t="s">
        <v>4173</v>
      </c>
    </row>
    <row r="131" customFormat="false" ht="14.25" hidden="false" customHeight="true" outlineLevel="0" collapsed="false">
      <c r="A131" s="1" t="s">
        <v>463</v>
      </c>
      <c r="B131" s="1" t="s">
        <v>4281</v>
      </c>
      <c r="C131" s="1" t="s">
        <v>4171</v>
      </c>
      <c r="D131" s="6" t="n">
        <v>36681</v>
      </c>
      <c r="E131" s="1" t="s">
        <v>74</v>
      </c>
      <c r="F131" s="1" t="s">
        <v>4203</v>
      </c>
      <c r="G131" s="1" t="s">
        <v>4182</v>
      </c>
      <c r="H131" s="6" t="n">
        <v>45670</v>
      </c>
      <c r="I131" s="1" t="s">
        <v>4173</v>
      </c>
    </row>
    <row r="132" customFormat="false" ht="14.25" hidden="false" customHeight="true" outlineLevel="0" collapsed="false">
      <c r="A132" s="1" t="s">
        <v>3057</v>
      </c>
      <c r="B132" s="1" t="s">
        <v>4227</v>
      </c>
      <c r="C132" s="1" t="s">
        <v>4171</v>
      </c>
      <c r="D132" s="6" t="n">
        <v>36271</v>
      </c>
      <c r="E132" s="1" t="s">
        <v>54</v>
      </c>
      <c r="F132" s="1" t="s">
        <v>4181</v>
      </c>
      <c r="G132" s="1" t="s">
        <v>4182</v>
      </c>
      <c r="H132" s="6" t="n">
        <v>46016</v>
      </c>
      <c r="I132" s="1" t="s">
        <v>4173</v>
      </c>
    </row>
    <row r="133" customFormat="false" ht="14.25" hidden="false" customHeight="true" outlineLevel="0" collapsed="false">
      <c r="A133" s="1" t="s">
        <v>202</v>
      </c>
      <c r="B133" s="1" t="s">
        <v>4196</v>
      </c>
      <c r="C133" s="1" t="s">
        <v>4175</v>
      </c>
      <c r="D133" s="6" t="n">
        <v>24839</v>
      </c>
      <c r="E133" s="1" t="s">
        <v>102</v>
      </c>
      <c r="F133" s="1" t="s">
        <v>4190</v>
      </c>
      <c r="G133" s="1" t="s">
        <v>4172</v>
      </c>
      <c r="H133" s="6" t="n">
        <v>45707</v>
      </c>
      <c r="I133" s="1" t="s">
        <v>4173</v>
      </c>
    </row>
    <row r="134" customFormat="false" ht="14.25" hidden="false" customHeight="true" outlineLevel="0" collapsed="false">
      <c r="A134" s="1" t="s">
        <v>846</v>
      </c>
      <c r="B134" s="1" t="s">
        <v>4282</v>
      </c>
      <c r="C134" s="1" t="s">
        <v>4175</v>
      </c>
      <c r="D134" s="6" t="n">
        <v>30906</v>
      </c>
      <c r="E134" s="1" t="s">
        <v>74</v>
      </c>
      <c r="F134" s="1" t="s">
        <v>4181</v>
      </c>
      <c r="G134" s="1" t="s">
        <v>4182</v>
      </c>
      <c r="H134" s="6" t="n">
        <v>45958</v>
      </c>
      <c r="I134" s="1" t="s">
        <v>4173</v>
      </c>
    </row>
    <row r="135" customFormat="false" ht="14.25" hidden="false" customHeight="true" outlineLevel="0" collapsed="false">
      <c r="A135" s="1" t="s">
        <v>547</v>
      </c>
      <c r="B135" s="1" t="s">
        <v>4247</v>
      </c>
      <c r="C135" s="1" t="s">
        <v>4175</v>
      </c>
      <c r="D135" s="6" t="n">
        <v>33525</v>
      </c>
      <c r="E135" s="1" t="s">
        <v>102</v>
      </c>
      <c r="F135" s="1" t="s">
        <v>54</v>
      </c>
      <c r="G135" s="1" t="s">
        <v>4184</v>
      </c>
      <c r="H135" s="6" t="n">
        <v>45769</v>
      </c>
      <c r="I135" s="1" t="s">
        <v>4173</v>
      </c>
    </row>
    <row r="136" customFormat="false" ht="14.25" hidden="false" customHeight="true" outlineLevel="0" collapsed="false">
      <c r="A136" s="1" t="s">
        <v>682</v>
      </c>
      <c r="B136" s="1" t="s">
        <v>4231</v>
      </c>
      <c r="C136" s="1" t="s">
        <v>4175</v>
      </c>
      <c r="D136" s="6" t="n">
        <v>30369</v>
      </c>
      <c r="E136" s="1" t="s">
        <v>102</v>
      </c>
      <c r="F136" s="1" t="s">
        <v>4176</v>
      </c>
      <c r="G136" s="1" t="s">
        <v>4184</v>
      </c>
      <c r="H136" s="6" t="n">
        <v>45689</v>
      </c>
      <c r="I136" s="1" t="s">
        <v>4173</v>
      </c>
    </row>
    <row r="137" customFormat="false" ht="14.25" hidden="false" customHeight="true" outlineLevel="0" collapsed="false">
      <c r="A137" s="1" t="s">
        <v>1372</v>
      </c>
      <c r="B137" s="1" t="s">
        <v>4187</v>
      </c>
      <c r="C137" s="1" t="s">
        <v>4175</v>
      </c>
      <c r="D137" s="6" t="n">
        <v>24687</v>
      </c>
      <c r="E137" s="1" t="s">
        <v>74</v>
      </c>
      <c r="F137" s="1" t="s">
        <v>4203</v>
      </c>
      <c r="G137" s="1" t="s">
        <v>4172</v>
      </c>
      <c r="H137" s="6" t="n">
        <v>45683</v>
      </c>
      <c r="I137" s="1" t="s">
        <v>4173</v>
      </c>
    </row>
    <row r="138" customFormat="false" ht="14.25" hidden="false" customHeight="true" outlineLevel="0" collapsed="false">
      <c r="A138" s="1" t="s">
        <v>643</v>
      </c>
      <c r="B138" s="1" t="s">
        <v>4274</v>
      </c>
      <c r="C138" s="1" t="s">
        <v>4175</v>
      </c>
      <c r="D138" s="6" t="n">
        <v>35158</v>
      </c>
      <c r="E138" s="1" t="s">
        <v>125</v>
      </c>
      <c r="F138" s="1" t="s">
        <v>4178</v>
      </c>
      <c r="G138" s="1" t="s">
        <v>4186</v>
      </c>
      <c r="H138" s="6" t="n">
        <v>45958</v>
      </c>
      <c r="I138" s="1" t="s">
        <v>4173</v>
      </c>
    </row>
    <row r="139" customFormat="false" ht="14.25" hidden="false" customHeight="true" outlineLevel="0" collapsed="false">
      <c r="A139" s="1" t="s">
        <v>2785</v>
      </c>
      <c r="B139" s="1" t="s">
        <v>4283</v>
      </c>
      <c r="C139" s="1" t="s">
        <v>4171</v>
      </c>
      <c r="D139" s="6" t="n">
        <v>25477</v>
      </c>
      <c r="E139" s="1" t="s">
        <v>102</v>
      </c>
      <c r="F139" s="1" t="s">
        <v>4178</v>
      </c>
      <c r="G139" s="1" t="s">
        <v>4186</v>
      </c>
      <c r="H139" s="6" t="n">
        <v>45724</v>
      </c>
      <c r="I139" s="1" t="s">
        <v>4173</v>
      </c>
    </row>
    <row r="140" customFormat="false" ht="14.25" hidden="false" customHeight="true" outlineLevel="0" collapsed="false">
      <c r="A140" s="1" t="s">
        <v>557</v>
      </c>
      <c r="B140" s="1" t="s">
        <v>4284</v>
      </c>
      <c r="C140" s="1" t="s">
        <v>4175</v>
      </c>
      <c r="D140" s="6" t="n">
        <v>24804</v>
      </c>
      <c r="E140" s="1" t="s">
        <v>54</v>
      </c>
      <c r="F140" s="1" t="s">
        <v>4203</v>
      </c>
      <c r="G140" s="1" t="s">
        <v>4172</v>
      </c>
      <c r="H140" s="6" t="n">
        <v>45841</v>
      </c>
      <c r="I140" s="1" t="s">
        <v>4173</v>
      </c>
    </row>
    <row r="141" customFormat="false" ht="14.25" hidden="false" customHeight="true" outlineLevel="0" collapsed="false">
      <c r="A141" s="1" t="s">
        <v>1415</v>
      </c>
      <c r="B141" s="1" t="s">
        <v>4199</v>
      </c>
      <c r="C141" s="1" t="s">
        <v>4171</v>
      </c>
      <c r="D141" s="6" t="n">
        <v>22349</v>
      </c>
      <c r="E141" s="1" t="s">
        <v>54</v>
      </c>
      <c r="F141" s="1" t="s">
        <v>4203</v>
      </c>
      <c r="G141" s="1" t="s">
        <v>4182</v>
      </c>
      <c r="H141" s="6" t="n">
        <v>45927</v>
      </c>
      <c r="I141" s="1" t="s">
        <v>4173</v>
      </c>
    </row>
    <row r="142" customFormat="false" ht="14.25" hidden="false" customHeight="true" outlineLevel="0" collapsed="false">
      <c r="A142" s="1" t="s">
        <v>1957</v>
      </c>
      <c r="B142" s="1" t="s">
        <v>4255</v>
      </c>
      <c r="C142" s="1" t="s">
        <v>4171</v>
      </c>
      <c r="D142" s="6" t="n">
        <v>32311</v>
      </c>
      <c r="E142" s="1" t="s">
        <v>64</v>
      </c>
      <c r="F142" s="1" t="s">
        <v>54</v>
      </c>
      <c r="G142" s="1" t="s">
        <v>4182</v>
      </c>
      <c r="H142" s="6" t="n">
        <v>45915</v>
      </c>
      <c r="I142" s="1" t="s">
        <v>4173</v>
      </c>
    </row>
    <row r="143" customFormat="false" ht="14.25" hidden="false" customHeight="true" outlineLevel="0" collapsed="false">
      <c r="A143" s="1" t="s">
        <v>936</v>
      </c>
      <c r="B143" s="1" t="s">
        <v>4199</v>
      </c>
      <c r="C143" s="1" t="s">
        <v>4175</v>
      </c>
      <c r="D143" s="6" t="n">
        <v>37509</v>
      </c>
      <c r="E143" s="1" t="s">
        <v>43</v>
      </c>
      <c r="F143" s="1" t="s">
        <v>4181</v>
      </c>
      <c r="G143" s="1" t="s">
        <v>4172</v>
      </c>
      <c r="H143" s="6" t="n">
        <v>45689</v>
      </c>
      <c r="I143" s="1" t="s">
        <v>4173</v>
      </c>
    </row>
    <row r="144" customFormat="false" ht="14.25" hidden="false" customHeight="true" outlineLevel="0" collapsed="false">
      <c r="A144" s="1" t="s">
        <v>1562</v>
      </c>
      <c r="B144" s="1" t="s">
        <v>4285</v>
      </c>
      <c r="C144" s="1" t="s">
        <v>4171</v>
      </c>
      <c r="D144" s="6" t="n">
        <v>24342</v>
      </c>
      <c r="E144" s="1" t="s">
        <v>43</v>
      </c>
      <c r="F144" s="1" t="s">
        <v>54</v>
      </c>
      <c r="G144" s="1" t="s">
        <v>4172</v>
      </c>
      <c r="H144" s="6" t="n">
        <v>45822</v>
      </c>
      <c r="I144" s="1" t="s">
        <v>4173</v>
      </c>
    </row>
    <row r="145" customFormat="false" ht="14.25" hidden="false" customHeight="true" outlineLevel="0" collapsed="false">
      <c r="A145" s="1" t="s">
        <v>1751</v>
      </c>
      <c r="B145" s="1" t="s">
        <v>4286</v>
      </c>
      <c r="C145" s="1" t="s">
        <v>4175</v>
      </c>
      <c r="D145" s="6" t="n">
        <v>24978</v>
      </c>
      <c r="E145" s="1" t="s">
        <v>74</v>
      </c>
      <c r="F145" s="1" t="s">
        <v>4176</v>
      </c>
      <c r="G145" s="1" t="s">
        <v>4184</v>
      </c>
      <c r="H145" s="6" t="n">
        <v>45853</v>
      </c>
      <c r="I145" s="1" t="s">
        <v>4173</v>
      </c>
    </row>
    <row r="146" customFormat="false" ht="14.25" hidden="false" customHeight="true" outlineLevel="0" collapsed="false">
      <c r="A146" s="1" t="s">
        <v>3603</v>
      </c>
      <c r="B146" s="1" t="s">
        <v>4227</v>
      </c>
      <c r="C146" s="1" t="s">
        <v>4171</v>
      </c>
      <c r="D146" s="6" t="n">
        <v>32771</v>
      </c>
      <c r="E146" s="1" t="s">
        <v>43</v>
      </c>
      <c r="F146" s="1" t="s">
        <v>54</v>
      </c>
      <c r="G146" s="1" t="s">
        <v>4172</v>
      </c>
      <c r="H146" s="6" t="n">
        <v>45993</v>
      </c>
      <c r="I146" s="1" t="s">
        <v>4173</v>
      </c>
    </row>
    <row r="147" customFormat="false" ht="14.25" hidden="false" customHeight="true" outlineLevel="0" collapsed="false">
      <c r="A147" s="1" t="s">
        <v>435</v>
      </c>
      <c r="B147" s="1" t="s">
        <v>4191</v>
      </c>
      <c r="C147" s="1" t="s">
        <v>4171</v>
      </c>
      <c r="D147" s="6" t="n">
        <v>32247</v>
      </c>
      <c r="E147" s="1" t="s">
        <v>102</v>
      </c>
      <c r="F147" s="1" t="s">
        <v>4178</v>
      </c>
      <c r="G147" s="1" t="s">
        <v>4182</v>
      </c>
      <c r="H147" s="6" t="n">
        <v>45862</v>
      </c>
      <c r="I147" s="1" t="s">
        <v>4173</v>
      </c>
    </row>
    <row r="148" customFormat="false" ht="14.25" hidden="false" customHeight="true" outlineLevel="0" collapsed="false">
      <c r="A148" s="1" t="s">
        <v>899</v>
      </c>
      <c r="B148" s="1" t="s">
        <v>4287</v>
      </c>
      <c r="C148" s="1" t="s">
        <v>4171</v>
      </c>
      <c r="D148" s="6" t="n">
        <v>31950</v>
      </c>
      <c r="E148" s="1" t="s">
        <v>102</v>
      </c>
      <c r="F148" s="1" t="s">
        <v>4188</v>
      </c>
      <c r="G148" s="1" t="s">
        <v>4186</v>
      </c>
      <c r="H148" s="6" t="n">
        <v>46009</v>
      </c>
      <c r="I148" s="1" t="s">
        <v>4173</v>
      </c>
    </row>
    <row r="149" customFormat="false" ht="14.25" hidden="false" customHeight="true" outlineLevel="0" collapsed="false">
      <c r="A149" s="1" t="s">
        <v>2318</v>
      </c>
      <c r="B149" s="1" t="s">
        <v>4288</v>
      </c>
      <c r="C149" s="1" t="s">
        <v>4175</v>
      </c>
      <c r="D149" s="6" t="n">
        <v>23787</v>
      </c>
      <c r="E149" s="1" t="s">
        <v>54</v>
      </c>
      <c r="F149" s="1" t="s">
        <v>4181</v>
      </c>
      <c r="G149" s="1" t="s">
        <v>4184</v>
      </c>
      <c r="H149" s="6" t="n">
        <v>45724</v>
      </c>
      <c r="I149" s="1" t="s">
        <v>4173</v>
      </c>
    </row>
    <row r="150" customFormat="false" ht="14.25" hidden="false" customHeight="true" outlineLevel="0" collapsed="false">
      <c r="A150" s="1" t="s">
        <v>589</v>
      </c>
      <c r="B150" s="1" t="s">
        <v>4207</v>
      </c>
      <c r="C150" s="1" t="s">
        <v>4171</v>
      </c>
      <c r="D150" s="6" t="n">
        <v>37301</v>
      </c>
      <c r="E150" s="1" t="s">
        <v>102</v>
      </c>
      <c r="F150" s="1" t="s">
        <v>4178</v>
      </c>
      <c r="G150" s="1" t="s">
        <v>4182</v>
      </c>
      <c r="H150" s="6" t="n">
        <v>45684</v>
      </c>
      <c r="I150" s="1" t="s">
        <v>4173</v>
      </c>
    </row>
    <row r="151" customFormat="false" ht="14.25" hidden="false" customHeight="true" outlineLevel="0" collapsed="false">
      <c r="A151" s="1" t="s">
        <v>4289</v>
      </c>
      <c r="B151" s="1" t="s">
        <v>4245</v>
      </c>
      <c r="C151" s="1" t="s">
        <v>4171</v>
      </c>
      <c r="D151" s="6" t="n">
        <v>30001</v>
      </c>
      <c r="E151" s="1" t="s">
        <v>64</v>
      </c>
      <c r="F151" s="1" t="s">
        <v>4203</v>
      </c>
      <c r="G151" s="1" t="s">
        <v>4186</v>
      </c>
      <c r="H151" s="6" t="n">
        <v>45994</v>
      </c>
      <c r="I151" s="1" t="s">
        <v>4173</v>
      </c>
    </row>
    <row r="152" customFormat="false" ht="14.25" hidden="false" customHeight="true" outlineLevel="0" collapsed="false">
      <c r="A152" s="1" t="s">
        <v>932</v>
      </c>
      <c r="B152" s="1" t="s">
        <v>4205</v>
      </c>
      <c r="C152" s="1" t="s">
        <v>4175</v>
      </c>
      <c r="D152" s="6" t="n">
        <v>30206</v>
      </c>
      <c r="E152" s="1" t="s">
        <v>54</v>
      </c>
      <c r="F152" s="1" t="s">
        <v>4178</v>
      </c>
      <c r="G152" s="1" t="s">
        <v>4184</v>
      </c>
      <c r="H152" s="6" t="n">
        <v>45951</v>
      </c>
      <c r="I152" s="1" t="s">
        <v>4173</v>
      </c>
    </row>
    <row r="153" customFormat="false" ht="14.25" hidden="false" customHeight="true" outlineLevel="0" collapsed="false">
      <c r="A153" s="1" t="s">
        <v>1021</v>
      </c>
      <c r="B153" s="1" t="s">
        <v>4290</v>
      </c>
      <c r="C153" s="1" t="s">
        <v>4175</v>
      </c>
      <c r="D153" s="6" t="n">
        <v>36126</v>
      </c>
      <c r="E153" s="1" t="s">
        <v>74</v>
      </c>
      <c r="F153" s="1" t="s">
        <v>4188</v>
      </c>
      <c r="G153" s="1" t="s">
        <v>4172</v>
      </c>
      <c r="H153" s="6" t="n">
        <v>45750</v>
      </c>
      <c r="I153" s="1" t="s">
        <v>4173</v>
      </c>
    </row>
    <row r="154" customFormat="false" ht="14.25" hidden="false" customHeight="true" outlineLevel="0" collapsed="false">
      <c r="A154" s="1" t="s">
        <v>98</v>
      </c>
      <c r="B154" s="1" t="s">
        <v>4291</v>
      </c>
      <c r="C154" s="1" t="s">
        <v>4171</v>
      </c>
      <c r="D154" s="6" t="n">
        <v>29957</v>
      </c>
      <c r="E154" s="1" t="s">
        <v>125</v>
      </c>
      <c r="F154" s="1" t="s">
        <v>4203</v>
      </c>
      <c r="G154" s="1" t="s">
        <v>4182</v>
      </c>
      <c r="H154" s="6" t="n">
        <v>45693</v>
      </c>
      <c r="I154" s="1" t="s">
        <v>4173</v>
      </c>
    </row>
    <row r="155" customFormat="false" ht="14.25" hidden="false" customHeight="true" outlineLevel="0" collapsed="false">
      <c r="A155" s="1" t="s">
        <v>670</v>
      </c>
      <c r="B155" s="1" t="s">
        <v>4222</v>
      </c>
      <c r="C155" s="1" t="s">
        <v>4175</v>
      </c>
      <c r="D155" s="6" t="n">
        <v>34072</v>
      </c>
      <c r="E155" s="1" t="s">
        <v>43</v>
      </c>
      <c r="F155" s="1" t="s">
        <v>4190</v>
      </c>
      <c r="G155" s="1" t="s">
        <v>4184</v>
      </c>
      <c r="H155" s="6" t="n">
        <v>45738</v>
      </c>
      <c r="I155" s="1" t="s">
        <v>4173</v>
      </c>
    </row>
    <row r="156" customFormat="false" ht="14.25" hidden="false" customHeight="true" outlineLevel="0" collapsed="false">
      <c r="A156" s="1" t="s">
        <v>1221</v>
      </c>
      <c r="B156" s="1" t="s">
        <v>4281</v>
      </c>
      <c r="C156" s="1" t="s">
        <v>4171</v>
      </c>
      <c r="D156" s="6" t="n">
        <v>35341</v>
      </c>
      <c r="E156" s="1" t="s">
        <v>54</v>
      </c>
      <c r="F156" s="1" t="s">
        <v>4203</v>
      </c>
      <c r="G156" s="1" t="s">
        <v>4186</v>
      </c>
      <c r="H156" s="6" t="n">
        <v>45974</v>
      </c>
      <c r="I156" s="1" t="s">
        <v>4173</v>
      </c>
    </row>
    <row r="157" customFormat="false" ht="14.25" hidden="false" customHeight="true" outlineLevel="0" collapsed="false">
      <c r="A157" s="1" t="s">
        <v>1052</v>
      </c>
      <c r="B157" s="1" t="s">
        <v>4292</v>
      </c>
      <c r="C157" s="1" t="s">
        <v>4171</v>
      </c>
      <c r="D157" s="6" t="n">
        <v>32461</v>
      </c>
      <c r="E157" s="1" t="s">
        <v>43</v>
      </c>
      <c r="F157" s="1" t="s">
        <v>4176</v>
      </c>
      <c r="G157" s="1" t="s">
        <v>4182</v>
      </c>
      <c r="H157" s="6" t="n">
        <v>45870</v>
      </c>
      <c r="I157" s="1" t="s">
        <v>4173</v>
      </c>
    </row>
    <row r="158" customFormat="false" ht="14.25" hidden="false" customHeight="true" outlineLevel="0" collapsed="false">
      <c r="A158" s="1" t="s">
        <v>1514</v>
      </c>
      <c r="B158" s="1" t="s">
        <v>4293</v>
      </c>
      <c r="C158" s="1" t="s">
        <v>4175</v>
      </c>
      <c r="D158" s="6" t="n">
        <v>30136</v>
      </c>
      <c r="E158" s="1" t="s">
        <v>102</v>
      </c>
      <c r="F158" s="1" t="s">
        <v>4181</v>
      </c>
      <c r="G158" s="1" t="s">
        <v>4182</v>
      </c>
      <c r="H158" s="6" t="n">
        <v>45927</v>
      </c>
      <c r="I158" s="1" t="s">
        <v>4173</v>
      </c>
    </row>
    <row r="159" customFormat="false" ht="14.25" hidden="false" customHeight="true" outlineLevel="0" collapsed="false">
      <c r="A159" s="1" t="s">
        <v>1553</v>
      </c>
      <c r="B159" s="1" t="s">
        <v>4294</v>
      </c>
      <c r="C159" s="1" t="s">
        <v>4175</v>
      </c>
      <c r="D159" s="6" t="n">
        <v>31322</v>
      </c>
      <c r="E159" s="1" t="s">
        <v>54</v>
      </c>
      <c r="F159" s="1" t="s">
        <v>4203</v>
      </c>
      <c r="G159" s="1" t="s">
        <v>4184</v>
      </c>
      <c r="H159" s="6" t="n">
        <v>45766</v>
      </c>
      <c r="I159" s="1" t="s">
        <v>4173</v>
      </c>
    </row>
    <row r="160" customFormat="false" ht="14.25" hidden="false" customHeight="true" outlineLevel="0" collapsed="false">
      <c r="A160" s="1" t="s">
        <v>770</v>
      </c>
      <c r="B160" s="1" t="s">
        <v>4218</v>
      </c>
      <c r="C160" s="1" t="s">
        <v>4171</v>
      </c>
      <c r="D160" s="6" t="n">
        <v>29252</v>
      </c>
      <c r="E160" s="1" t="s">
        <v>43</v>
      </c>
      <c r="F160" s="1" t="s">
        <v>4181</v>
      </c>
      <c r="G160" s="1" t="s">
        <v>4182</v>
      </c>
      <c r="H160" s="6" t="n">
        <v>45747</v>
      </c>
      <c r="I160" s="1" t="s">
        <v>4173</v>
      </c>
    </row>
    <row r="161" customFormat="false" ht="14.25" hidden="false" customHeight="true" outlineLevel="0" collapsed="false">
      <c r="A161" s="1" t="s">
        <v>46</v>
      </c>
      <c r="B161" s="1" t="s">
        <v>4247</v>
      </c>
      <c r="C161" s="1" t="s">
        <v>4175</v>
      </c>
      <c r="D161" s="6" t="n">
        <v>33874</v>
      </c>
      <c r="E161" s="1" t="s">
        <v>74</v>
      </c>
      <c r="F161" s="1" t="s">
        <v>4178</v>
      </c>
      <c r="G161" s="1" t="s">
        <v>4184</v>
      </c>
      <c r="H161" s="6" t="n">
        <v>45694</v>
      </c>
      <c r="I161" s="1" t="s">
        <v>4173</v>
      </c>
    </row>
    <row r="162" customFormat="false" ht="14.25" hidden="false" customHeight="true" outlineLevel="0" collapsed="false">
      <c r="A162" s="1" t="s">
        <v>4030</v>
      </c>
      <c r="B162" s="1" t="s">
        <v>4295</v>
      </c>
      <c r="C162" s="1" t="s">
        <v>4171</v>
      </c>
      <c r="D162" s="6" t="n">
        <v>22496</v>
      </c>
      <c r="E162" s="1" t="s">
        <v>125</v>
      </c>
      <c r="F162" s="1" t="s">
        <v>4188</v>
      </c>
      <c r="G162" s="1" t="s">
        <v>4182</v>
      </c>
      <c r="H162" s="6" t="n">
        <v>45951</v>
      </c>
      <c r="I162" s="1" t="s">
        <v>4173</v>
      </c>
    </row>
    <row r="163" customFormat="false" ht="14.25" hidden="false" customHeight="true" outlineLevel="0" collapsed="false">
      <c r="A163" s="1" t="s">
        <v>1699</v>
      </c>
      <c r="B163" s="1" t="s">
        <v>4244</v>
      </c>
      <c r="C163" s="1" t="s">
        <v>4171</v>
      </c>
      <c r="D163" s="6" t="n">
        <v>24654</v>
      </c>
      <c r="E163" s="1" t="s">
        <v>102</v>
      </c>
      <c r="F163" s="1" t="s">
        <v>4203</v>
      </c>
      <c r="G163" s="1" t="s">
        <v>4182</v>
      </c>
      <c r="H163" s="6" t="n">
        <v>46011</v>
      </c>
      <c r="I163" s="1" t="s">
        <v>4173</v>
      </c>
    </row>
    <row r="164" customFormat="false" ht="14.25" hidden="false" customHeight="true" outlineLevel="0" collapsed="false">
      <c r="A164" s="1" t="s">
        <v>1177</v>
      </c>
      <c r="B164" s="1" t="s">
        <v>4296</v>
      </c>
      <c r="C164" s="1" t="s">
        <v>4171</v>
      </c>
      <c r="D164" s="6" t="n">
        <v>24211</v>
      </c>
      <c r="E164" s="1" t="s">
        <v>64</v>
      </c>
      <c r="F164" s="1" t="s">
        <v>4190</v>
      </c>
      <c r="G164" s="1" t="s">
        <v>4172</v>
      </c>
      <c r="H164" s="6" t="n">
        <v>45860</v>
      </c>
      <c r="I164" s="1" t="s">
        <v>4173</v>
      </c>
    </row>
    <row r="165" customFormat="false" ht="14.25" hidden="false" customHeight="true" outlineLevel="0" collapsed="false">
      <c r="A165" s="1" t="s">
        <v>2637</v>
      </c>
      <c r="B165" s="1" t="s">
        <v>4297</v>
      </c>
      <c r="C165" s="1" t="s">
        <v>4175</v>
      </c>
      <c r="D165" s="6" t="n">
        <v>29648</v>
      </c>
      <c r="E165" s="1" t="s">
        <v>64</v>
      </c>
      <c r="F165" s="1" t="s">
        <v>4181</v>
      </c>
      <c r="G165" s="1" t="s">
        <v>4172</v>
      </c>
      <c r="H165" s="6" t="n">
        <v>45929</v>
      </c>
      <c r="I165" s="1" t="s">
        <v>4173</v>
      </c>
    </row>
    <row r="166" customFormat="false" ht="14.25" hidden="false" customHeight="true" outlineLevel="0" collapsed="false">
      <c r="A166" s="1" t="s">
        <v>1165</v>
      </c>
      <c r="B166" s="1" t="s">
        <v>4298</v>
      </c>
      <c r="C166" s="1" t="s">
        <v>4171</v>
      </c>
      <c r="D166" s="6" t="n">
        <v>30312</v>
      </c>
      <c r="E166" s="1" t="s">
        <v>74</v>
      </c>
      <c r="F166" s="1" t="s">
        <v>4178</v>
      </c>
      <c r="G166" s="1" t="s">
        <v>4186</v>
      </c>
      <c r="H166" s="6" t="n">
        <v>45778</v>
      </c>
      <c r="I166" s="1" t="s">
        <v>4173</v>
      </c>
    </row>
    <row r="167" customFormat="false" ht="14.25" hidden="false" customHeight="true" outlineLevel="0" collapsed="false">
      <c r="A167" s="1" t="s">
        <v>622</v>
      </c>
      <c r="B167" s="1" t="s">
        <v>4194</v>
      </c>
      <c r="C167" s="1" t="s">
        <v>4171</v>
      </c>
      <c r="D167" s="6" t="n">
        <v>26378</v>
      </c>
      <c r="E167" s="1" t="s">
        <v>140</v>
      </c>
      <c r="F167" s="1" t="s">
        <v>4178</v>
      </c>
      <c r="G167" s="1" t="s">
        <v>4172</v>
      </c>
      <c r="H167" s="6" t="n">
        <v>45748</v>
      </c>
      <c r="I167" s="1" t="s">
        <v>4173</v>
      </c>
    </row>
    <row r="168" customFormat="false" ht="14.25" hidden="false" customHeight="true" outlineLevel="0" collapsed="false">
      <c r="A168" s="1" t="s">
        <v>528</v>
      </c>
      <c r="B168" s="1" t="s">
        <v>4250</v>
      </c>
      <c r="C168" s="1" t="s">
        <v>4171</v>
      </c>
      <c r="D168" s="6" t="n">
        <v>35390</v>
      </c>
      <c r="E168" s="1" t="s">
        <v>64</v>
      </c>
      <c r="F168" s="1" t="s">
        <v>4188</v>
      </c>
      <c r="G168" s="1" t="s">
        <v>4184</v>
      </c>
      <c r="H168" s="6" t="n">
        <v>45735</v>
      </c>
      <c r="I168" s="1" t="s">
        <v>4173</v>
      </c>
    </row>
    <row r="169" customFormat="false" ht="14.25" hidden="false" customHeight="true" outlineLevel="0" collapsed="false">
      <c r="A169" s="1" t="s">
        <v>2845</v>
      </c>
      <c r="B169" s="1" t="s">
        <v>4299</v>
      </c>
      <c r="C169" s="1" t="s">
        <v>4171</v>
      </c>
      <c r="D169" s="6" t="n">
        <v>32457</v>
      </c>
      <c r="E169" s="1" t="s">
        <v>125</v>
      </c>
      <c r="F169" s="1" t="s">
        <v>4188</v>
      </c>
      <c r="G169" s="1" t="s">
        <v>4172</v>
      </c>
      <c r="H169" s="6" t="n">
        <v>45838</v>
      </c>
      <c r="I169" s="1" t="s">
        <v>4173</v>
      </c>
    </row>
    <row r="170" customFormat="false" ht="14.25" hidden="false" customHeight="true" outlineLevel="0" collapsed="false">
      <c r="A170" s="1" t="s">
        <v>3574</v>
      </c>
      <c r="B170" s="1" t="s">
        <v>4300</v>
      </c>
      <c r="C170" s="1" t="s">
        <v>4171</v>
      </c>
      <c r="D170" s="6" t="n">
        <v>32722</v>
      </c>
      <c r="E170" s="1" t="s">
        <v>54</v>
      </c>
      <c r="F170" s="1" t="s">
        <v>4188</v>
      </c>
      <c r="G170" s="1" t="s">
        <v>4184</v>
      </c>
      <c r="H170" s="6" t="n">
        <v>45697</v>
      </c>
      <c r="I170" s="1" t="s">
        <v>4173</v>
      </c>
    </row>
    <row r="171" customFormat="false" ht="14.25" hidden="false" customHeight="true" outlineLevel="0" collapsed="false">
      <c r="A171" s="1" t="s">
        <v>197</v>
      </c>
      <c r="B171" s="1" t="s">
        <v>4211</v>
      </c>
      <c r="C171" s="1" t="s">
        <v>4171</v>
      </c>
      <c r="D171" s="6" t="n">
        <v>32799</v>
      </c>
      <c r="E171" s="1" t="s">
        <v>125</v>
      </c>
      <c r="F171" s="1" t="s">
        <v>4181</v>
      </c>
      <c r="G171" s="1" t="s">
        <v>4172</v>
      </c>
      <c r="H171" s="6" t="n">
        <v>45888</v>
      </c>
      <c r="I171" s="1" t="s">
        <v>4173</v>
      </c>
    </row>
    <row r="172" customFormat="false" ht="14.25" hidden="false" customHeight="true" outlineLevel="0" collapsed="false">
      <c r="A172" s="1" t="s">
        <v>1703</v>
      </c>
      <c r="B172" s="1" t="s">
        <v>4234</v>
      </c>
      <c r="C172" s="1" t="s">
        <v>4171</v>
      </c>
      <c r="D172" s="6" t="n">
        <v>36024</v>
      </c>
      <c r="E172" s="1" t="s">
        <v>140</v>
      </c>
      <c r="F172" s="1" t="s">
        <v>54</v>
      </c>
      <c r="G172" s="1" t="s">
        <v>4182</v>
      </c>
      <c r="H172" s="6" t="n">
        <v>45710</v>
      </c>
      <c r="I172" s="1" t="s">
        <v>4173</v>
      </c>
    </row>
    <row r="173" customFormat="false" ht="14.25" hidden="false" customHeight="true" outlineLevel="0" collapsed="false">
      <c r="A173" s="1" t="s">
        <v>121</v>
      </c>
      <c r="B173" s="1" t="s">
        <v>4301</v>
      </c>
      <c r="C173" s="1" t="s">
        <v>4175</v>
      </c>
      <c r="D173" s="6" t="n">
        <v>22759</v>
      </c>
      <c r="E173" s="1" t="s">
        <v>43</v>
      </c>
      <c r="F173" s="1" t="s">
        <v>4190</v>
      </c>
      <c r="G173" s="1" t="s">
        <v>4186</v>
      </c>
      <c r="H173" s="6" t="n">
        <v>45844</v>
      </c>
      <c r="I173" s="1" t="s">
        <v>4173</v>
      </c>
    </row>
    <row r="174" customFormat="false" ht="14.25" hidden="false" customHeight="true" outlineLevel="0" collapsed="false">
      <c r="A174" s="1" t="s">
        <v>4302</v>
      </c>
      <c r="B174" s="1" t="s">
        <v>4281</v>
      </c>
      <c r="C174" s="1" t="s">
        <v>4171</v>
      </c>
      <c r="D174" s="6" t="n">
        <v>31585</v>
      </c>
      <c r="E174" s="1" t="s">
        <v>64</v>
      </c>
      <c r="F174" s="1" t="s">
        <v>54</v>
      </c>
      <c r="G174" s="1" t="s">
        <v>4184</v>
      </c>
      <c r="H174" s="6" t="n">
        <v>45691</v>
      </c>
      <c r="I174" s="1" t="s">
        <v>4173</v>
      </c>
    </row>
    <row r="175" customFormat="false" ht="14.25" hidden="false" customHeight="true" outlineLevel="0" collapsed="false">
      <c r="A175" s="1" t="s">
        <v>232</v>
      </c>
      <c r="B175" s="1" t="s">
        <v>4301</v>
      </c>
      <c r="C175" s="1" t="s">
        <v>4171</v>
      </c>
      <c r="D175" s="6" t="n">
        <v>28634</v>
      </c>
      <c r="E175" s="1" t="s">
        <v>125</v>
      </c>
      <c r="F175" s="1" t="s">
        <v>4181</v>
      </c>
      <c r="G175" s="1" t="s">
        <v>4186</v>
      </c>
      <c r="H175" s="6" t="n">
        <v>45828</v>
      </c>
      <c r="I175" s="1" t="s">
        <v>4173</v>
      </c>
    </row>
    <row r="176" customFormat="false" ht="14.25" hidden="false" customHeight="true" outlineLevel="0" collapsed="false">
      <c r="A176" s="1" t="s">
        <v>822</v>
      </c>
      <c r="B176" s="1" t="s">
        <v>4211</v>
      </c>
      <c r="C176" s="1" t="s">
        <v>4175</v>
      </c>
      <c r="D176" s="6" t="n">
        <v>30092</v>
      </c>
      <c r="E176" s="1" t="s">
        <v>74</v>
      </c>
      <c r="F176" s="1" t="s">
        <v>4181</v>
      </c>
      <c r="G176" s="1" t="s">
        <v>4182</v>
      </c>
      <c r="H176" s="6" t="n">
        <v>45724</v>
      </c>
      <c r="I176" s="1" t="s">
        <v>4173</v>
      </c>
    </row>
    <row r="177" customFormat="false" ht="14.25" hidden="false" customHeight="true" outlineLevel="0" collapsed="false">
      <c r="A177" s="1" t="s">
        <v>135</v>
      </c>
      <c r="B177" s="1" t="s">
        <v>4303</v>
      </c>
      <c r="C177" s="1" t="s">
        <v>4171</v>
      </c>
      <c r="D177" s="6" t="n">
        <v>34901</v>
      </c>
      <c r="E177" s="1" t="s">
        <v>125</v>
      </c>
      <c r="F177" s="1" t="s">
        <v>4188</v>
      </c>
      <c r="G177" s="1" t="s">
        <v>4186</v>
      </c>
      <c r="H177" s="6" t="n">
        <v>46001</v>
      </c>
      <c r="I177" s="1" t="s">
        <v>4173</v>
      </c>
    </row>
    <row r="178" customFormat="false" ht="14.25" hidden="false" customHeight="true" outlineLevel="0" collapsed="false">
      <c r="A178" s="1" t="s">
        <v>2228</v>
      </c>
      <c r="B178" s="1" t="s">
        <v>4300</v>
      </c>
      <c r="C178" s="1" t="s">
        <v>4171</v>
      </c>
      <c r="D178" s="6" t="n">
        <v>33756</v>
      </c>
      <c r="E178" s="1" t="s">
        <v>102</v>
      </c>
      <c r="F178" s="1" t="s">
        <v>4188</v>
      </c>
      <c r="G178" s="1" t="s">
        <v>4186</v>
      </c>
      <c r="H178" s="6" t="n">
        <v>45767</v>
      </c>
      <c r="I178" s="1" t="s">
        <v>4173</v>
      </c>
    </row>
    <row r="179" customFormat="false" ht="14.25" hidden="false" customHeight="true" outlineLevel="0" collapsed="false">
      <c r="A179" s="1" t="s">
        <v>493</v>
      </c>
      <c r="B179" s="1" t="s">
        <v>4198</v>
      </c>
      <c r="C179" s="1" t="s">
        <v>4175</v>
      </c>
      <c r="D179" s="6" t="n">
        <v>27093</v>
      </c>
      <c r="E179" s="1" t="s">
        <v>54</v>
      </c>
      <c r="F179" s="1" t="s">
        <v>4188</v>
      </c>
      <c r="G179" s="1" t="s">
        <v>4172</v>
      </c>
      <c r="H179" s="6" t="n">
        <v>45917</v>
      </c>
      <c r="I179" s="1" t="s">
        <v>4173</v>
      </c>
    </row>
    <row r="180" customFormat="false" ht="14.25" hidden="false" customHeight="true" outlineLevel="0" collapsed="false">
      <c r="A180" s="1" t="s">
        <v>850</v>
      </c>
      <c r="B180" s="1" t="s">
        <v>4304</v>
      </c>
      <c r="C180" s="1" t="s">
        <v>4175</v>
      </c>
      <c r="D180" s="6" t="n">
        <v>37432</v>
      </c>
      <c r="E180" s="1" t="s">
        <v>64</v>
      </c>
      <c r="F180" s="1" t="s">
        <v>4203</v>
      </c>
      <c r="G180" s="1" t="s">
        <v>4182</v>
      </c>
      <c r="H180" s="6" t="n">
        <v>45736</v>
      </c>
      <c r="I180" s="1" t="s">
        <v>4173</v>
      </c>
    </row>
    <row r="181" customFormat="false" ht="14.25" hidden="false" customHeight="true" outlineLevel="0" collapsed="false">
      <c r="A181" s="1" t="s">
        <v>2751</v>
      </c>
      <c r="B181" s="1" t="s">
        <v>4305</v>
      </c>
      <c r="C181" s="1" t="s">
        <v>4175</v>
      </c>
      <c r="D181" s="6" t="n">
        <v>32156</v>
      </c>
      <c r="E181" s="1" t="s">
        <v>102</v>
      </c>
      <c r="F181" s="1" t="s">
        <v>4181</v>
      </c>
      <c r="G181" s="1" t="s">
        <v>4186</v>
      </c>
      <c r="H181" s="6" t="n">
        <v>45885</v>
      </c>
      <c r="I181" s="1" t="s">
        <v>4173</v>
      </c>
    </row>
    <row r="182" customFormat="false" ht="14.25" hidden="false" customHeight="true" outlineLevel="0" collapsed="false">
      <c r="A182" s="1" t="s">
        <v>1896</v>
      </c>
      <c r="B182" s="1" t="s">
        <v>4306</v>
      </c>
      <c r="C182" s="1" t="s">
        <v>4171</v>
      </c>
      <c r="D182" s="6" t="n">
        <v>27280</v>
      </c>
      <c r="E182" s="1" t="s">
        <v>102</v>
      </c>
      <c r="F182" s="1" t="s">
        <v>4178</v>
      </c>
      <c r="G182" s="1" t="s">
        <v>4182</v>
      </c>
      <c r="H182" s="6" t="n">
        <v>45757</v>
      </c>
      <c r="I182" s="1" t="s">
        <v>4173</v>
      </c>
    </row>
    <row r="183" customFormat="false" ht="14.25" hidden="false" customHeight="true" outlineLevel="0" collapsed="false">
      <c r="A183" s="1" t="s">
        <v>509</v>
      </c>
      <c r="B183" s="1" t="s">
        <v>4307</v>
      </c>
      <c r="C183" s="1" t="s">
        <v>4171</v>
      </c>
      <c r="D183" s="6" t="n">
        <v>32653</v>
      </c>
      <c r="E183" s="1" t="s">
        <v>43</v>
      </c>
      <c r="F183" s="1" t="s">
        <v>4176</v>
      </c>
      <c r="G183" s="1" t="s">
        <v>4182</v>
      </c>
      <c r="H183" s="6" t="n">
        <v>45740</v>
      </c>
      <c r="I183" s="1" t="s">
        <v>4173</v>
      </c>
    </row>
    <row r="184" customFormat="false" ht="14.25" hidden="false" customHeight="true" outlineLevel="0" collapsed="false">
      <c r="A184" s="1" t="s">
        <v>1144</v>
      </c>
      <c r="B184" s="1" t="s">
        <v>4278</v>
      </c>
      <c r="C184" s="1" t="s">
        <v>4175</v>
      </c>
      <c r="D184" s="6" t="n">
        <v>27780</v>
      </c>
      <c r="E184" s="1" t="s">
        <v>43</v>
      </c>
      <c r="F184" s="1" t="s">
        <v>4178</v>
      </c>
      <c r="G184" s="1" t="s">
        <v>4184</v>
      </c>
      <c r="H184" s="6" t="n">
        <v>45941</v>
      </c>
      <c r="I184" s="1" t="s">
        <v>4173</v>
      </c>
    </row>
    <row r="185" customFormat="false" ht="14.25" hidden="false" customHeight="true" outlineLevel="0" collapsed="false">
      <c r="A185" s="1" t="s">
        <v>114</v>
      </c>
      <c r="B185" s="1" t="s">
        <v>4308</v>
      </c>
      <c r="C185" s="1" t="s">
        <v>4175</v>
      </c>
      <c r="D185" s="6" t="n">
        <v>28546</v>
      </c>
      <c r="E185" s="1" t="s">
        <v>140</v>
      </c>
      <c r="F185" s="1" t="s">
        <v>4188</v>
      </c>
      <c r="G185" s="1" t="s">
        <v>4182</v>
      </c>
      <c r="H185" s="6" t="n">
        <v>45920</v>
      </c>
      <c r="I185" s="1" t="s">
        <v>4173</v>
      </c>
    </row>
    <row r="186" customFormat="false" ht="14.25" hidden="false" customHeight="true" outlineLevel="0" collapsed="false">
      <c r="A186" s="1" t="s">
        <v>704</v>
      </c>
      <c r="B186" s="1" t="s">
        <v>4247</v>
      </c>
      <c r="C186" s="1" t="s">
        <v>4175</v>
      </c>
      <c r="D186" s="6" t="n">
        <v>27253</v>
      </c>
      <c r="E186" s="1" t="s">
        <v>54</v>
      </c>
      <c r="F186" s="1" t="s">
        <v>4190</v>
      </c>
      <c r="G186" s="1" t="s">
        <v>4172</v>
      </c>
      <c r="H186" s="6" t="n">
        <v>45860</v>
      </c>
      <c r="I186" s="1" t="s">
        <v>4173</v>
      </c>
    </row>
    <row r="187" customFormat="false" ht="14.25" hidden="false" customHeight="true" outlineLevel="0" collapsed="false">
      <c r="A187" s="1" t="s">
        <v>1671</v>
      </c>
      <c r="B187" s="1" t="s">
        <v>4246</v>
      </c>
      <c r="C187" s="1" t="s">
        <v>4175</v>
      </c>
      <c r="D187" s="6" t="n">
        <v>30724</v>
      </c>
      <c r="E187" s="1" t="s">
        <v>140</v>
      </c>
      <c r="F187" s="1" t="s">
        <v>54</v>
      </c>
      <c r="G187" s="1" t="s">
        <v>4184</v>
      </c>
      <c r="H187" s="6" t="n">
        <v>45708</v>
      </c>
      <c r="I187" s="1" t="s">
        <v>4173</v>
      </c>
    </row>
    <row r="188" customFormat="false" ht="14.25" hidden="false" customHeight="true" outlineLevel="0" collapsed="false">
      <c r="A188" s="1" t="s">
        <v>385</v>
      </c>
      <c r="B188" s="1" t="s">
        <v>4220</v>
      </c>
      <c r="C188" s="1" t="s">
        <v>4175</v>
      </c>
      <c r="D188" s="6" t="n">
        <v>22793</v>
      </c>
      <c r="E188" s="1" t="s">
        <v>43</v>
      </c>
      <c r="F188" s="1" t="s">
        <v>4181</v>
      </c>
      <c r="G188" s="1" t="s">
        <v>4186</v>
      </c>
      <c r="H188" s="6" t="n">
        <v>46019</v>
      </c>
      <c r="I188" s="1" t="s">
        <v>4173</v>
      </c>
    </row>
    <row r="189" customFormat="false" ht="14.25" hidden="false" customHeight="true" outlineLevel="0" collapsed="false">
      <c r="A189" s="1" t="s">
        <v>3191</v>
      </c>
      <c r="B189" s="1" t="s">
        <v>4250</v>
      </c>
      <c r="C189" s="1" t="s">
        <v>4175</v>
      </c>
      <c r="D189" s="6" t="n">
        <v>23751</v>
      </c>
      <c r="E189" s="1" t="s">
        <v>140</v>
      </c>
      <c r="F189" s="1" t="s">
        <v>4178</v>
      </c>
      <c r="G189" s="1" t="s">
        <v>4186</v>
      </c>
      <c r="H189" s="6" t="n">
        <v>45938</v>
      </c>
      <c r="I189" s="1" t="s">
        <v>4173</v>
      </c>
    </row>
    <row r="190" customFormat="false" ht="14.25" hidden="false" customHeight="true" outlineLevel="0" collapsed="false">
      <c r="A190" s="1" t="s">
        <v>1043</v>
      </c>
      <c r="B190" s="1" t="s">
        <v>4227</v>
      </c>
      <c r="C190" s="1" t="s">
        <v>4171</v>
      </c>
      <c r="D190" s="6" t="n">
        <v>24600</v>
      </c>
      <c r="E190" s="1" t="s">
        <v>102</v>
      </c>
      <c r="F190" s="1" t="s">
        <v>54</v>
      </c>
      <c r="G190" s="1" t="s">
        <v>4172</v>
      </c>
      <c r="H190" s="6" t="n">
        <v>45780</v>
      </c>
      <c r="I190" s="1" t="s">
        <v>4173</v>
      </c>
    </row>
    <row r="191" customFormat="false" ht="14.25" hidden="false" customHeight="true" outlineLevel="0" collapsed="false">
      <c r="A191" s="1" t="s">
        <v>467</v>
      </c>
      <c r="B191" s="1" t="s">
        <v>4193</v>
      </c>
      <c r="C191" s="1" t="s">
        <v>4171</v>
      </c>
      <c r="D191" s="6" t="n">
        <v>23434</v>
      </c>
      <c r="E191" s="1" t="s">
        <v>43</v>
      </c>
      <c r="F191" s="1" t="s">
        <v>4176</v>
      </c>
      <c r="G191" s="1" t="s">
        <v>4172</v>
      </c>
      <c r="H191" s="6" t="n">
        <v>45981</v>
      </c>
      <c r="I191" s="1" t="s">
        <v>4173</v>
      </c>
    </row>
    <row r="192" customFormat="false" ht="14.25" hidden="false" customHeight="true" outlineLevel="0" collapsed="false">
      <c r="A192" s="1" t="s">
        <v>214</v>
      </c>
      <c r="B192" s="1" t="s">
        <v>4309</v>
      </c>
      <c r="C192" s="1" t="s">
        <v>4175</v>
      </c>
      <c r="D192" s="6" t="n">
        <v>25337</v>
      </c>
      <c r="E192" s="1" t="s">
        <v>54</v>
      </c>
      <c r="F192" s="1" t="s">
        <v>4176</v>
      </c>
      <c r="G192" s="1" t="s">
        <v>4184</v>
      </c>
      <c r="H192" s="6" t="n">
        <v>45781</v>
      </c>
      <c r="I192" s="1" t="s">
        <v>4173</v>
      </c>
    </row>
    <row r="193" customFormat="false" ht="14.25" hidden="false" customHeight="true" outlineLevel="0" collapsed="false">
      <c r="A193" s="1" t="s">
        <v>1869</v>
      </c>
      <c r="B193" s="1" t="s">
        <v>4310</v>
      </c>
      <c r="C193" s="1" t="s">
        <v>4175</v>
      </c>
      <c r="D193" s="6" t="n">
        <v>37563</v>
      </c>
      <c r="E193" s="1" t="s">
        <v>64</v>
      </c>
      <c r="F193" s="1" t="s">
        <v>4188</v>
      </c>
      <c r="G193" s="1" t="s">
        <v>4172</v>
      </c>
      <c r="H193" s="6" t="n">
        <v>45927</v>
      </c>
      <c r="I193" s="1" t="s">
        <v>4173</v>
      </c>
    </row>
    <row r="194" customFormat="false" ht="14.25" hidden="false" customHeight="true" outlineLevel="0" collapsed="false">
      <c r="A194" s="1" t="s">
        <v>979</v>
      </c>
      <c r="B194" s="1" t="s">
        <v>4304</v>
      </c>
      <c r="C194" s="1" t="s">
        <v>4175</v>
      </c>
      <c r="D194" s="6" t="n">
        <v>30896</v>
      </c>
      <c r="E194" s="1" t="s">
        <v>74</v>
      </c>
      <c r="F194" s="1" t="s">
        <v>4190</v>
      </c>
      <c r="G194" s="1" t="s">
        <v>4184</v>
      </c>
      <c r="H194" s="6" t="n">
        <v>45787</v>
      </c>
      <c r="I194" s="1" t="s">
        <v>4173</v>
      </c>
    </row>
    <row r="195" customFormat="false" ht="14.25" hidden="false" customHeight="true" outlineLevel="0" collapsed="false">
      <c r="A195" s="1" t="s">
        <v>417</v>
      </c>
      <c r="B195" s="1" t="s">
        <v>4311</v>
      </c>
      <c r="C195" s="1" t="s">
        <v>4175</v>
      </c>
      <c r="D195" s="6" t="n">
        <v>30065</v>
      </c>
      <c r="E195" s="1" t="s">
        <v>74</v>
      </c>
      <c r="F195" s="1" t="s">
        <v>4181</v>
      </c>
      <c r="G195" s="1" t="s">
        <v>4172</v>
      </c>
      <c r="H195" s="6" t="n">
        <v>45955</v>
      </c>
      <c r="I195" s="1" t="s">
        <v>4173</v>
      </c>
    </row>
    <row r="196" customFormat="false" ht="14.25" hidden="false" customHeight="true" outlineLevel="0" collapsed="false">
      <c r="A196" s="1" t="s">
        <v>1729</v>
      </c>
      <c r="B196" s="1" t="s">
        <v>4220</v>
      </c>
      <c r="C196" s="1" t="s">
        <v>4175</v>
      </c>
      <c r="D196" s="6" t="n">
        <v>30205</v>
      </c>
      <c r="E196" s="1" t="s">
        <v>125</v>
      </c>
      <c r="F196" s="1" t="s">
        <v>4181</v>
      </c>
      <c r="G196" s="1" t="s">
        <v>4186</v>
      </c>
      <c r="H196" s="6" t="n">
        <v>46008</v>
      </c>
      <c r="I196" s="1" t="s">
        <v>4173</v>
      </c>
    </row>
    <row r="197" customFormat="false" ht="14.25" hidden="false" customHeight="true" outlineLevel="0" collapsed="false">
      <c r="A197" s="1" t="s">
        <v>295</v>
      </c>
      <c r="B197" s="1" t="s">
        <v>4231</v>
      </c>
      <c r="C197" s="1" t="s">
        <v>4175</v>
      </c>
      <c r="D197" s="6" t="n">
        <v>24891</v>
      </c>
      <c r="E197" s="1" t="s">
        <v>125</v>
      </c>
      <c r="F197" s="1" t="s">
        <v>4190</v>
      </c>
      <c r="G197" s="1" t="s">
        <v>4172</v>
      </c>
      <c r="H197" s="6" t="n">
        <v>45808</v>
      </c>
      <c r="I197" s="1" t="s">
        <v>4173</v>
      </c>
    </row>
    <row r="198" customFormat="false" ht="14.25" hidden="false" customHeight="true" outlineLevel="0" collapsed="false">
      <c r="A198" s="1" t="s">
        <v>150</v>
      </c>
      <c r="B198" s="1" t="s">
        <v>4312</v>
      </c>
      <c r="C198" s="1" t="s">
        <v>4175</v>
      </c>
      <c r="D198" s="6" t="n">
        <v>22807</v>
      </c>
      <c r="E198" s="1" t="s">
        <v>64</v>
      </c>
      <c r="F198" s="1" t="s">
        <v>4190</v>
      </c>
      <c r="G198" s="1" t="s">
        <v>4182</v>
      </c>
      <c r="H198" s="6" t="n">
        <v>45787</v>
      </c>
      <c r="I198" s="1" t="s">
        <v>4173</v>
      </c>
    </row>
    <row r="199" customFormat="false" ht="14.25" hidden="false" customHeight="true" outlineLevel="0" collapsed="false">
      <c r="A199" s="1" t="s">
        <v>1641</v>
      </c>
      <c r="B199" s="1" t="s">
        <v>4313</v>
      </c>
      <c r="C199" s="1" t="s">
        <v>4171</v>
      </c>
      <c r="D199" s="6" t="n">
        <v>29979</v>
      </c>
      <c r="E199" s="1" t="s">
        <v>74</v>
      </c>
      <c r="F199" s="1" t="s">
        <v>4188</v>
      </c>
      <c r="G199" s="1" t="s">
        <v>4184</v>
      </c>
      <c r="H199" s="6" t="n">
        <v>45721</v>
      </c>
      <c r="I199" s="1" t="s">
        <v>4173</v>
      </c>
    </row>
    <row r="200" customFormat="false" ht="14.25" hidden="false" customHeight="true" outlineLevel="0" collapsed="false">
      <c r="A200" s="1" t="s">
        <v>825</v>
      </c>
      <c r="B200" s="1" t="s">
        <v>4314</v>
      </c>
      <c r="C200" s="1" t="s">
        <v>4171</v>
      </c>
      <c r="D200" s="6" t="n">
        <v>32335</v>
      </c>
      <c r="E200" s="1" t="s">
        <v>140</v>
      </c>
      <c r="F200" s="1" t="s">
        <v>4190</v>
      </c>
      <c r="G200" s="1" t="s">
        <v>4182</v>
      </c>
      <c r="H200" s="6" t="n">
        <v>45846</v>
      </c>
      <c r="I200" s="1" t="s">
        <v>4173</v>
      </c>
    </row>
    <row r="201" customFormat="false" ht="14.25" hidden="false" customHeight="true" outlineLevel="0" collapsed="false">
      <c r="A201" s="1" t="s">
        <v>606</v>
      </c>
      <c r="B201" s="1" t="s">
        <v>4272</v>
      </c>
      <c r="C201" s="1" t="s">
        <v>4175</v>
      </c>
      <c r="D201" s="6" t="n">
        <v>31822</v>
      </c>
      <c r="E201" s="1" t="s">
        <v>64</v>
      </c>
      <c r="F201" s="1" t="s">
        <v>4178</v>
      </c>
      <c r="G201" s="1" t="s">
        <v>4186</v>
      </c>
      <c r="H201" s="6" t="n">
        <v>45937</v>
      </c>
      <c r="I201" s="1" t="s">
        <v>4173</v>
      </c>
    </row>
    <row r="202" customFormat="false" ht="14.25" hidden="false" customHeight="true" outlineLevel="0" collapsed="false">
      <c r="A202" s="1" t="s">
        <v>838</v>
      </c>
      <c r="B202" s="1" t="s">
        <v>4297</v>
      </c>
      <c r="C202" s="1" t="s">
        <v>4175</v>
      </c>
      <c r="D202" s="6" t="n">
        <v>23915</v>
      </c>
      <c r="E202" s="1" t="s">
        <v>102</v>
      </c>
      <c r="F202" s="1" t="s">
        <v>4188</v>
      </c>
      <c r="G202" s="1" t="s">
        <v>4182</v>
      </c>
      <c r="H202" s="6" t="n">
        <v>45966</v>
      </c>
      <c r="I202" s="1" t="s">
        <v>4173</v>
      </c>
    </row>
    <row r="203" customFormat="false" ht="14.25" hidden="false" customHeight="true" outlineLevel="0" collapsed="false">
      <c r="A203" s="1" t="s">
        <v>2202</v>
      </c>
      <c r="B203" s="1" t="s">
        <v>4206</v>
      </c>
      <c r="C203" s="1" t="s">
        <v>4171</v>
      </c>
      <c r="D203" s="6" t="n">
        <v>30165</v>
      </c>
      <c r="E203" s="1" t="s">
        <v>74</v>
      </c>
      <c r="F203" s="1" t="s">
        <v>4178</v>
      </c>
      <c r="G203" s="1" t="s">
        <v>4184</v>
      </c>
      <c r="H203" s="6" t="n">
        <v>45972</v>
      </c>
      <c r="I203" s="1" t="s">
        <v>4173</v>
      </c>
    </row>
    <row r="204" customFormat="false" ht="14.25" hidden="false" customHeight="true" outlineLevel="0" collapsed="false">
      <c r="A204" s="1" t="s">
        <v>1136</v>
      </c>
      <c r="B204" s="1" t="s">
        <v>4242</v>
      </c>
      <c r="C204" s="1" t="s">
        <v>4175</v>
      </c>
      <c r="D204" s="6" t="n">
        <v>23702</v>
      </c>
      <c r="E204" s="1" t="s">
        <v>43</v>
      </c>
      <c r="F204" s="1" t="s">
        <v>4188</v>
      </c>
      <c r="G204" s="1" t="s">
        <v>4186</v>
      </c>
      <c r="H204" s="6" t="n">
        <v>45673</v>
      </c>
      <c r="I204" s="1" t="s">
        <v>4173</v>
      </c>
    </row>
    <row r="205" customFormat="false" ht="14.25" hidden="false" customHeight="true" outlineLevel="0" collapsed="false">
      <c r="A205" s="1" t="s">
        <v>1073</v>
      </c>
      <c r="B205" s="1" t="s">
        <v>4256</v>
      </c>
      <c r="C205" s="1" t="s">
        <v>4171</v>
      </c>
      <c r="D205" s="6" t="n">
        <v>22708</v>
      </c>
      <c r="E205" s="1" t="s">
        <v>140</v>
      </c>
      <c r="F205" s="1" t="s">
        <v>4178</v>
      </c>
      <c r="G205" s="1" t="s">
        <v>4184</v>
      </c>
      <c r="H205" s="6" t="n">
        <v>45843</v>
      </c>
      <c r="I205" s="1" t="s">
        <v>4173</v>
      </c>
    </row>
    <row r="206" customFormat="false" ht="14.25" hidden="false" customHeight="true" outlineLevel="0" collapsed="false">
      <c r="A206" s="1" t="s">
        <v>489</v>
      </c>
      <c r="B206" s="1" t="s">
        <v>4315</v>
      </c>
      <c r="C206" s="1" t="s">
        <v>4175</v>
      </c>
      <c r="D206" s="6" t="n">
        <v>35876</v>
      </c>
      <c r="E206" s="1" t="s">
        <v>43</v>
      </c>
      <c r="F206" s="1" t="s">
        <v>4188</v>
      </c>
      <c r="G206" s="1" t="s">
        <v>4184</v>
      </c>
      <c r="H206" s="6" t="n">
        <v>45885</v>
      </c>
      <c r="I206" s="1" t="s">
        <v>4173</v>
      </c>
    </row>
    <row r="207" customFormat="false" ht="14.25" hidden="false" customHeight="true" outlineLevel="0" collapsed="false">
      <c r="A207" s="1" t="s">
        <v>1066</v>
      </c>
      <c r="B207" s="1" t="s">
        <v>4211</v>
      </c>
      <c r="C207" s="1" t="s">
        <v>4175</v>
      </c>
      <c r="D207" s="6" t="n">
        <v>34133</v>
      </c>
      <c r="E207" s="1" t="s">
        <v>102</v>
      </c>
      <c r="F207" s="1" t="s">
        <v>4181</v>
      </c>
      <c r="G207" s="1" t="s">
        <v>4184</v>
      </c>
      <c r="H207" s="6" t="n">
        <v>45785</v>
      </c>
      <c r="I207" s="1" t="s">
        <v>4173</v>
      </c>
    </row>
    <row r="208" customFormat="false" ht="14.25" hidden="false" customHeight="true" outlineLevel="0" collapsed="false">
      <c r="A208" s="1" t="s">
        <v>2963</v>
      </c>
      <c r="B208" s="1" t="s">
        <v>4170</v>
      </c>
      <c r="C208" s="1" t="s">
        <v>4175</v>
      </c>
      <c r="D208" s="6" t="n">
        <v>33494</v>
      </c>
      <c r="E208" s="1" t="s">
        <v>64</v>
      </c>
      <c r="F208" s="1" t="s">
        <v>54</v>
      </c>
      <c r="G208" s="1" t="s">
        <v>4184</v>
      </c>
      <c r="H208" s="6" t="n">
        <v>45791</v>
      </c>
      <c r="I208" s="1" t="s">
        <v>4173</v>
      </c>
    </row>
    <row r="209" customFormat="false" ht="14.25" hidden="false" customHeight="true" outlineLevel="0" collapsed="false">
      <c r="A209" s="1" t="s">
        <v>872</v>
      </c>
      <c r="B209" s="1" t="s">
        <v>4316</v>
      </c>
      <c r="C209" s="1" t="s">
        <v>4171</v>
      </c>
      <c r="D209" s="6" t="n">
        <v>33332</v>
      </c>
      <c r="E209" s="1" t="s">
        <v>140</v>
      </c>
      <c r="F209" s="1" t="s">
        <v>4178</v>
      </c>
      <c r="G209" s="1" t="s">
        <v>4172</v>
      </c>
      <c r="H209" s="6" t="n">
        <v>45889</v>
      </c>
      <c r="I209" s="1" t="s">
        <v>4173</v>
      </c>
    </row>
    <row r="210" customFormat="false" ht="14.25" hidden="false" customHeight="true" outlineLevel="0" collapsed="false">
      <c r="A210" s="1" t="s">
        <v>1852</v>
      </c>
      <c r="B210" s="1" t="s">
        <v>4317</v>
      </c>
      <c r="C210" s="1" t="s">
        <v>4175</v>
      </c>
      <c r="D210" s="6" t="n">
        <v>29537</v>
      </c>
      <c r="E210" s="1" t="s">
        <v>74</v>
      </c>
      <c r="F210" s="1" t="s">
        <v>54</v>
      </c>
      <c r="G210" s="1" t="s">
        <v>4184</v>
      </c>
      <c r="H210" s="6" t="n">
        <v>45811</v>
      </c>
      <c r="I210" s="1" t="s">
        <v>4173</v>
      </c>
    </row>
    <row r="211" customFormat="false" ht="14.25" hidden="false" customHeight="true" outlineLevel="0" collapsed="false">
      <c r="A211" s="1" t="s">
        <v>1387</v>
      </c>
      <c r="B211" s="1" t="s">
        <v>4305</v>
      </c>
      <c r="C211" s="1" t="s">
        <v>4171</v>
      </c>
      <c r="D211" s="6" t="n">
        <v>33698</v>
      </c>
      <c r="E211" s="1" t="s">
        <v>140</v>
      </c>
      <c r="F211" s="1" t="s">
        <v>4178</v>
      </c>
      <c r="G211" s="1" t="s">
        <v>4186</v>
      </c>
      <c r="H211" s="6" t="n">
        <v>45779</v>
      </c>
      <c r="I211" s="1" t="s">
        <v>4173</v>
      </c>
    </row>
    <row r="212" customFormat="false" ht="14.25" hidden="false" customHeight="true" outlineLevel="0" collapsed="false">
      <c r="A212" s="1" t="s">
        <v>885</v>
      </c>
      <c r="B212" s="1" t="s">
        <v>4318</v>
      </c>
      <c r="C212" s="1" t="s">
        <v>4171</v>
      </c>
      <c r="D212" s="6" t="n">
        <v>34984</v>
      </c>
      <c r="E212" s="1" t="s">
        <v>43</v>
      </c>
      <c r="F212" s="1" t="s">
        <v>4178</v>
      </c>
      <c r="G212" s="1" t="s">
        <v>4186</v>
      </c>
      <c r="H212" s="6" t="n">
        <v>45971</v>
      </c>
      <c r="I212" s="1" t="s">
        <v>4173</v>
      </c>
    </row>
    <row r="213" customFormat="false" ht="14.25" hidden="false" customHeight="true" outlineLevel="0" collapsed="false">
      <c r="A213" s="1" t="s">
        <v>798</v>
      </c>
      <c r="B213" s="1" t="s">
        <v>4319</v>
      </c>
      <c r="C213" s="1" t="s">
        <v>4171</v>
      </c>
      <c r="D213" s="6" t="n">
        <v>31405</v>
      </c>
      <c r="E213" s="1" t="s">
        <v>43</v>
      </c>
      <c r="F213" s="1" t="s">
        <v>4176</v>
      </c>
      <c r="G213" s="1" t="s">
        <v>4182</v>
      </c>
      <c r="H213" s="6" t="n">
        <v>45867</v>
      </c>
      <c r="I213" s="1" t="s">
        <v>4173</v>
      </c>
    </row>
    <row r="214" customFormat="false" ht="14.25" hidden="false" customHeight="true" outlineLevel="0" collapsed="false">
      <c r="A214" s="1" t="s">
        <v>324</v>
      </c>
      <c r="B214" s="1" t="s">
        <v>4214</v>
      </c>
      <c r="C214" s="1" t="s">
        <v>4175</v>
      </c>
      <c r="D214" s="6" t="n">
        <v>29528</v>
      </c>
      <c r="E214" s="1" t="s">
        <v>43</v>
      </c>
      <c r="F214" s="1" t="s">
        <v>4190</v>
      </c>
      <c r="G214" s="1" t="s">
        <v>4184</v>
      </c>
      <c r="H214" s="6" t="n">
        <v>45723</v>
      </c>
      <c r="I214" s="1" t="s">
        <v>4173</v>
      </c>
    </row>
    <row r="215" customFormat="false" ht="14.25" hidden="false" customHeight="true" outlineLevel="0" collapsed="false">
      <c r="A215" s="1" t="s">
        <v>2392</v>
      </c>
      <c r="B215" s="1" t="s">
        <v>4320</v>
      </c>
      <c r="C215" s="1" t="s">
        <v>4175</v>
      </c>
      <c r="D215" s="6" t="n">
        <v>25036</v>
      </c>
      <c r="E215" s="1" t="s">
        <v>125</v>
      </c>
      <c r="F215" s="1" t="s">
        <v>54</v>
      </c>
      <c r="G215" s="1" t="s">
        <v>4172</v>
      </c>
      <c r="H215" s="6" t="n">
        <v>45923</v>
      </c>
      <c r="I215" s="1" t="s">
        <v>4173</v>
      </c>
    </row>
    <row r="216" customFormat="false" ht="14.25" hidden="false" customHeight="true" outlineLevel="0" collapsed="false">
      <c r="A216" s="1" t="s">
        <v>105</v>
      </c>
      <c r="B216" s="1" t="s">
        <v>4218</v>
      </c>
      <c r="C216" s="1" t="s">
        <v>4175</v>
      </c>
      <c r="D216" s="6" t="n">
        <v>25742</v>
      </c>
      <c r="E216" s="1" t="s">
        <v>140</v>
      </c>
      <c r="F216" s="1" t="s">
        <v>4188</v>
      </c>
      <c r="G216" s="1" t="s">
        <v>4184</v>
      </c>
      <c r="H216" s="6" t="n">
        <v>45698</v>
      </c>
      <c r="I216" s="1" t="s">
        <v>4173</v>
      </c>
    </row>
    <row r="217" customFormat="false" ht="14.25" hidden="false" customHeight="true" outlineLevel="0" collapsed="false">
      <c r="A217" s="1" t="s">
        <v>187</v>
      </c>
      <c r="B217" s="1" t="s">
        <v>4293</v>
      </c>
      <c r="C217" s="1" t="s">
        <v>4171</v>
      </c>
      <c r="D217" s="6" t="n">
        <v>25152</v>
      </c>
      <c r="E217" s="1" t="s">
        <v>64</v>
      </c>
      <c r="F217" s="1" t="s">
        <v>4176</v>
      </c>
      <c r="G217" s="1" t="s">
        <v>4172</v>
      </c>
      <c r="H217" s="6" t="n">
        <v>45915</v>
      </c>
      <c r="I217" s="1" t="s">
        <v>4173</v>
      </c>
    </row>
    <row r="218" customFormat="false" ht="14.25" hidden="false" customHeight="true" outlineLevel="0" collapsed="false">
      <c r="A218" s="1" t="s">
        <v>1197</v>
      </c>
      <c r="B218" s="1" t="s">
        <v>4321</v>
      </c>
      <c r="C218" s="1" t="s">
        <v>4175</v>
      </c>
      <c r="D218" s="6" t="n">
        <v>25892</v>
      </c>
      <c r="E218" s="1" t="s">
        <v>74</v>
      </c>
      <c r="F218" s="1" t="s">
        <v>4176</v>
      </c>
      <c r="G218" s="1" t="s">
        <v>4184</v>
      </c>
      <c r="H218" s="6" t="n">
        <v>45946</v>
      </c>
      <c r="I218" s="1" t="s">
        <v>4173</v>
      </c>
    </row>
    <row r="219" customFormat="false" ht="14.25" hidden="false" customHeight="true" outlineLevel="0" collapsed="false">
      <c r="A219" s="1" t="s">
        <v>2215</v>
      </c>
      <c r="B219" s="1" t="s">
        <v>4210</v>
      </c>
      <c r="C219" s="1" t="s">
        <v>4175</v>
      </c>
      <c r="D219" s="6" t="n">
        <v>22975</v>
      </c>
      <c r="E219" s="1" t="s">
        <v>64</v>
      </c>
      <c r="F219" s="1" t="s">
        <v>4188</v>
      </c>
      <c r="G219" s="1" t="s">
        <v>4186</v>
      </c>
      <c r="H219" s="6" t="n">
        <v>45950</v>
      </c>
      <c r="I219" s="1" t="s">
        <v>4173</v>
      </c>
    </row>
    <row r="220" customFormat="false" ht="14.25" hidden="false" customHeight="true" outlineLevel="0" collapsed="false">
      <c r="A220" s="1" t="s">
        <v>2086</v>
      </c>
      <c r="B220" s="1" t="s">
        <v>4193</v>
      </c>
      <c r="C220" s="1" t="s">
        <v>4175</v>
      </c>
      <c r="D220" s="6" t="n">
        <v>33560</v>
      </c>
      <c r="E220" s="1" t="s">
        <v>102</v>
      </c>
      <c r="F220" s="1" t="s">
        <v>4181</v>
      </c>
      <c r="G220" s="1" t="s">
        <v>4184</v>
      </c>
      <c r="H220" s="6" t="n">
        <v>45905</v>
      </c>
      <c r="I220" s="1" t="s">
        <v>4173</v>
      </c>
    </row>
    <row r="221" customFormat="false" ht="14.25" hidden="false" customHeight="true" outlineLevel="0" collapsed="false">
      <c r="A221" s="1" t="s">
        <v>314</v>
      </c>
      <c r="B221" s="1" t="s">
        <v>4290</v>
      </c>
      <c r="C221" s="1" t="s">
        <v>4171</v>
      </c>
      <c r="D221" s="6" t="n">
        <v>32562</v>
      </c>
      <c r="E221" s="1" t="s">
        <v>54</v>
      </c>
      <c r="F221" s="1" t="s">
        <v>4203</v>
      </c>
      <c r="G221" s="1" t="s">
        <v>4182</v>
      </c>
      <c r="H221" s="6" t="n">
        <v>45870</v>
      </c>
      <c r="I221" s="1" t="s">
        <v>4173</v>
      </c>
    </row>
    <row r="222" customFormat="false" ht="14.25" hidden="false" customHeight="true" outlineLevel="0" collapsed="false">
      <c r="A222" s="1" t="s">
        <v>450</v>
      </c>
      <c r="B222" s="1" t="s">
        <v>4250</v>
      </c>
      <c r="C222" s="1" t="s">
        <v>4175</v>
      </c>
      <c r="D222" s="6" t="n">
        <v>29864</v>
      </c>
      <c r="E222" s="1" t="s">
        <v>102</v>
      </c>
      <c r="F222" s="1" t="s">
        <v>4178</v>
      </c>
      <c r="G222" s="1" t="s">
        <v>4184</v>
      </c>
      <c r="H222" s="6" t="n">
        <v>45834</v>
      </c>
      <c r="I222" s="1" t="s">
        <v>4173</v>
      </c>
    </row>
    <row r="223" customFormat="false" ht="14.25" hidden="false" customHeight="true" outlineLevel="0" collapsed="false">
      <c r="A223" s="1" t="s">
        <v>917</v>
      </c>
      <c r="B223" s="1" t="s">
        <v>4213</v>
      </c>
      <c r="C223" s="1" t="s">
        <v>4171</v>
      </c>
      <c r="D223" s="6" t="n">
        <v>33851</v>
      </c>
      <c r="E223" s="1" t="s">
        <v>102</v>
      </c>
      <c r="F223" s="1" t="s">
        <v>4203</v>
      </c>
      <c r="G223" s="1" t="s">
        <v>4182</v>
      </c>
      <c r="H223" s="6" t="n">
        <v>45720</v>
      </c>
      <c r="I223" s="1" t="s">
        <v>4173</v>
      </c>
    </row>
    <row r="224" customFormat="false" ht="14.25" hidden="false" customHeight="true" outlineLevel="0" collapsed="false">
      <c r="A224" s="1" t="s">
        <v>163</v>
      </c>
      <c r="B224" s="1" t="s">
        <v>4277</v>
      </c>
      <c r="C224" s="1" t="s">
        <v>4175</v>
      </c>
      <c r="D224" s="6" t="n">
        <v>25236</v>
      </c>
      <c r="E224" s="1" t="s">
        <v>102</v>
      </c>
      <c r="F224" s="1" t="s">
        <v>4190</v>
      </c>
      <c r="G224" s="1" t="s">
        <v>4182</v>
      </c>
      <c r="H224" s="6" t="n">
        <v>45785</v>
      </c>
      <c r="I224" s="1" t="s">
        <v>4173</v>
      </c>
    </row>
    <row r="225" customFormat="false" ht="14.25" hidden="false" customHeight="true" outlineLevel="0" collapsed="false">
      <c r="A225" s="1" t="s">
        <v>1396</v>
      </c>
      <c r="B225" s="1" t="s">
        <v>4322</v>
      </c>
      <c r="C225" s="1" t="s">
        <v>4171</v>
      </c>
      <c r="D225" s="6" t="n">
        <v>26374</v>
      </c>
      <c r="E225" s="1" t="s">
        <v>64</v>
      </c>
      <c r="F225" s="1" t="s">
        <v>4190</v>
      </c>
      <c r="G225" s="1" t="s">
        <v>4182</v>
      </c>
      <c r="H225" s="6" t="n">
        <v>45815</v>
      </c>
      <c r="I225" s="1" t="s">
        <v>4173</v>
      </c>
    </row>
    <row r="226" customFormat="false" ht="14.25" hidden="false" customHeight="true" outlineLevel="0" collapsed="false">
      <c r="A226" s="1" t="s">
        <v>2527</v>
      </c>
      <c r="B226" s="1" t="s">
        <v>4318</v>
      </c>
      <c r="C226" s="1" t="s">
        <v>4175</v>
      </c>
      <c r="D226" s="6" t="n">
        <v>31305</v>
      </c>
      <c r="E226" s="1" t="s">
        <v>140</v>
      </c>
      <c r="F226" s="1" t="s">
        <v>4203</v>
      </c>
      <c r="G226" s="1" t="s">
        <v>4184</v>
      </c>
      <c r="H226" s="6" t="n">
        <v>45682</v>
      </c>
      <c r="I226" s="1" t="s">
        <v>4173</v>
      </c>
    </row>
    <row r="227" customFormat="false" ht="14.25" hidden="false" customHeight="true" outlineLevel="0" collapsed="false">
      <c r="A227" s="1" t="s">
        <v>2099</v>
      </c>
      <c r="B227" s="1" t="s">
        <v>4279</v>
      </c>
      <c r="C227" s="1" t="s">
        <v>4171</v>
      </c>
      <c r="D227" s="6" t="n">
        <v>36121</v>
      </c>
      <c r="E227" s="1" t="s">
        <v>43</v>
      </c>
      <c r="F227" s="1" t="s">
        <v>4188</v>
      </c>
      <c r="G227" s="1" t="s">
        <v>4172</v>
      </c>
      <c r="H227" s="6" t="n">
        <v>45713</v>
      </c>
      <c r="I227" s="1" t="s">
        <v>4173</v>
      </c>
    </row>
    <row r="228" customFormat="false" ht="14.25" hidden="false" customHeight="true" outlineLevel="0" collapsed="false">
      <c r="A228" s="1" t="s">
        <v>1108</v>
      </c>
      <c r="B228" s="1" t="s">
        <v>4206</v>
      </c>
      <c r="C228" s="1" t="s">
        <v>4171</v>
      </c>
      <c r="D228" s="6" t="n">
        <v>30509</v>
      </c>
      <c r="E228" s="1" t="s">
        <v>54</v>
      </c>
      <c r="F228" s="1" t="s">
        <v>4190</v>
      </c>
      <c r="G228" s="1" t="s">
        <v>4172</v>
      </c>
      <c r="H228" s="6" t="n">
        <v>45949</v>
      </c>
      <c r="I228" s="1" t="s">
        <v>4173</v>
      </c>
    </row>
    <row r="229" customFormat="false" ht="14.25" hidden="false" customHeight="true" outlineLevel="0" collapsed="false">
      <c r="A229" s="1" t="s">
        <v>1132</v>
      </c>
      <c r="B229" s="1" t="s">
        <v>4191</v>
      </c>
      <c r="C229" s="1" t="s">
        <v>4171</v>
      </c>
      <c r="D229" s="6" t="n">
        <v>34822</v>
      </c>
      <c r="E229" s="1" t="s">
        <v>43</v>
      </c>
      <c r="F229" s="1" t="s">
        <v>4176</v>
      </c>
      <c r="G229" s="1" t="s">
        <v>4182</v>
      </c>
      <c r="H229" s="6" t="n">
        <v>45939</v>
      </c>
      <c r="I229" s="1" t="s">
        <v>4173</v>
      </c>
    </row>
    <row r="230" customFormat="false" ht="14.25" hidden="false" customHeight="true" outlineLevel="0" collapsed="false">
      <c r="A230" s="1" t="s">
        <v>67</v>
      </c>
      <c r="B230" s="1" t="s">
        <v>4323</v>
      </c>
      <c r="C230" s="1" t="s">
        <v>4175</v>
      </c>
      <c r="D230" s="6" t="n">
        <v>24881</v>
      </c>
      <c r="E230" s="1" t="s">
        <v>102</v>
      </c>
      <c r="F230" s="1" t="s">
        <v>4178</v>
      </c>
      <c r="G230" s="1" t="s">
        <v>4184</v>
      </c>
      <c r="H230" s="6" t="n">
        <v>45943</v>
      </c>
      <c r="I230" s="1" t="s">
        <v>4173</v>
      </c>
    </row>
    <row r="231" customFormat="false" ht="14.25" hidden="false" customHeight="true" outlineLevel="0" collapsed="false">
      <c r="A231" s="1" t="s">
        <v>1318</v>
      </c>
      <c r="B231" s="1" t="s">
        <v>4324</v>
      </c>
      <c r="C231" s="1" t="s">
        <v>4175</v>
      </c>
      <c r="D231" s="6" t="n">
        <v>36051</v>
      </c>
      <c r="E231" s="1" t="s">
        <v>64</v>
      </c>
      <c r="F231" s="1" t="s">
        <v>54</v>
      </c>
      <c r="G231" s="1" t="s">
        <v>4172</v>
      </c>
      <c r="H231" s="6" t="n">
        <v>45677</v>
      </c>
      <c r="I231" s="1" t="s">
        <v>4173</v>
      </c>
    </row>
    <row r="232" customFormat="false" ht="14.25" hidden="false" customHeight="true" outlineLevel="0" collapsed="false">
      <c r="A232" s="1" t="s">
        <v>351</v>
      </c>
      <c r="B232" s="1" t="s">
        <v>4325</v>
      </c>
      <c r="C232" s="1" t="s">
        <v>4171</v>
      </c>
      <c r="D232" s="6" t="n">
        <v>34186</v>
      </c>
      <c r="E232" s="1" t="s">
        <v>64</v>
      </c>
      <c r="F232" s="1" t="s">
        <v>4176</v>
      </c>
      <c r="G232" s="1" t="s">
        <v>4186</v>
      </c>
      <c r="H232" s="6" t="n">
        <v>45825</v>
      </c>
      <c r="I232" s="1" t="s">
        <v>4173</v>
      </c>
    </row>
    <row r="233" customFormat="false" ht="14.25" hidden="false" customHeight="true" outlineLevel="0" collapsed="false">
      <c r="A233" s="1" t="s">
        <v>143</v>
      </c>
      <c r="B233" s="1" t="s">
        <v>4326</v>
      </c>
      <c r="C233" s="1" t="s">
        <v>4175</v>
      </c>
      <c r="D233" s="6" t="n">
        <v>31344</v>
      </c>
      <c r="E233" s="1" t="s">
        <v>125</v>
      </c>
      <c r="F233" s="1" t="s">
        <v>4188</v>
      </c>
      <c r="G233" s="1" t="s">
        <v>4184</v>
      </c>
      <c r="H233" s="6" t="n">
        <v>45917</v>
      </c>
      <c r="I233" s="1" t="s">
        <v>4173</v>
      </c>
    </row>
    <row r="234" customFormat="false" ht="14.25" hidden="false" customHeight="true" outlineLevel="0" collapsed="false">
      <c r="A234" s="1" t="s">
        <v>1462</v>
      </c>
      <c r="B234" s="1" t="s">
        <v>4228</v>
      </c>
      <c r="C234" s="1" t="s">
        <v>4171</v>
      </c>
      <c r="D234" s="6" t="n">
        <v>35201</v>
      </c>
      <c r="E234" s="1" t="s">
        <v>125</v>
      </c>
      <c r="F234" s="1" t="s">
        <v>54</v>
      </c>
      <c r="G234" s="1" t="s">
        <v>4184</v>
      </c>
      <c r="H234" s="6" t="n">
        <v>45827</v>
      </c>
      <c r="I234" s="1" t="s">
        <v>4173</v>
      </c>
    </row>
    <row r="235" customFormat="false" ht="14.25" hidden="false" customHeight="true" outlineLevel="0" collapsed="false">
      <c r="A235" s="1" t="s">
        <v>256</v>
      </c>
      <c r="B235" s="1" t="s">
        <v>4183</v>
      </c>
      <c r="C235" s="1" t="s">
        <v>4171</v>
      </c>
      <c r="D235" s="6" t="n">
        <v>36545</v>
      </c>
      <c r="E235" s="1" t="s">
        <v>43</v>
      </c>
      <c r="F235" s="1" t="s">
        <v>4188</v>
      </c>
      <c r="G235" s="1" t="s">
        <v>4186</v>
      </c>
      <c r="H235" s="6" t="n">
        <v>45684</v>
      </c>
      <c r="I235" s="1" t="s">
        <v>4173</v>
      </c>
    </row>
    <row r="236" customFormat="false" ht="14.25" hidden="false" customHeight="true" outlineLevel="0" collapsed="false">
      <c r="A236" s="1" t="s">
        <v>1251</v>
      </c>
      <c r="B236" s="1" t="s">
        <v>4327</v>
      </c>
      <c r="C236" s="1" t="s">
        <v>4175</v>
      </c>
      <c r="D236" s="6" t="n">
        <v>34297</v>
      </c>
      <c r="E236" s="1" t="s">
        <v>64</v>
      </c>
      <c r="F236" s="1" t="s">
        <v>4178</v>
      </c>
      <c r="G236" s="1" t="s">
        <v>4182</v>
      </c>
      <c r="H236" s="6" t="n">
        <v>45733</v>
      </c>
      <c r="I236" s="1" t="s">
        <v>4173</v>
      </c>
    </row>
    <row r="237" customFormat="false" ht="14.25" hidden="false" customHeight="true" outlineLevel="0" collapsed="false">
      <c r="A237" s="1" t="s">
        <v>2341</v>
      </c>
      <c r="B237" s="1" t="s">
        <v>4328</v>
      </c>
      <c r="C237" s="1" t="s">
        <v>4175</v>
      </c>
      <c r="D237" s="6" t="n">
        <v>26313</v>
      </c>
      <c r="E237" s="1" t="s">
        <v>102</v>
      </c>
      <c r="F237" s="1" t="s">
        <v>4190</v>
      </c>
      <c r="G237" s="1" t="s">
        <v>4186</v>
      </c>
      <c r="H237" s="6" t="n">
        <v>45869</v>
      </c>
      <c r="I237" s="1" t="s">
        <v>4173</v>
      </c>
    </row>
    <row r="238" customFormat="false" ht="14.25" hidden="false" customHeight="true" outlineLevel="0" collapsed="false">
      <c r="A238" s="1" t="s">
        <v>1192</v>
      </c>
      <c r="B238" s="1" t="s">
        <v>4329</v>
      </c>
      <c r="C238" s="1" t="s">
        <v>4171</v>
      </c>
      <c r="D238" s="6" t="n">
        <v>23350</v>
      </c>
      <c r="E238" s="1" t="s">
        <v>64</v>
      </c>
      <c r="F238" s="1" t="s">
        <v>4203</v>
      </c>
      <c r="G238" s="1" t="s">
        <v>4184</v>
      </c>
      <c r="H238" s="6" t="n">
        <v>45997</v>
      </c>
      <c r="I238" s="1" t="s">
        <v>4173</v>
      </c>
    </row>
    <row r="239" customFormat="false" ht="14.25" hidden="false" customHeight="true" outlineLevel="0" collapsed="false">
      <c r="A239" s="1" t="s">
        <v>756</v>
      </c>
      <c r="B239" s="1" t="s">
        <v>4200</v>
      </c>
      <c r="C239" s="1" t="s">
        <v>4171</v>
      </c>
      <c r="D239" s="6" t="n">
        <v>29295</v>
      </c>
      <c r="E239" s="1" t="s">
        <v>64</v>
      </c>
      <c r="F239" s="1" t="s">
        <v>4188</v>
      </c>
      <c r="G239" s="1" t="s">
        <v>4184</v>
      </c>
      <c r="H239" s="6" t="n">
        <v>46004</v>
      </c>
      <c r="I239" s="1" t="s">
        <v>4173</v>
      </c>
    </row>
    <row r="240" customFormat="false" ht="14.25" hidden="false" customHeight="true" outlineLevel="0" collapsed="false">
      <c r="A240" s="1" t="s">
        <v>889</v>
      </c>
      <c r="B240" s="1" t="s">
        <v>4323</v>
      </c>
      <c r="C240" s="1" t="s">
        <v>4171</v>
      </c>
      <c r="D240" s="6" t="n">
        <v>26398</v>
      </c>
      <c r="E240" s="1" t="s">
        <v>64</v>
      </c>
      <c r="F240" s="1" t="s">
        <v>4188</v>
      </c>
      <c r="G240" s="1" t="s">
        <v>4186</v>
      </c>
      <c r="H240" s="6" t="n">
        <v>45810</v>
      </c>
      <c r="I240" s="1" t="s">
        <v>4173</v>
      </c>
    </row>
    <row r="241" customFormat="false" ht="14.25" hidden="false" customHeight="true" outlineLevel="0" collapsed="false">
      <c r="A241" s="1" t="s">
        <v>1260</v>
      </c>
      <c r="B241" s="1" t="s">
        <v>4224</v>
      </c>
      <c r="C241" s="1" t="s">
        <v>4171</v>
      </c>
      <c r="D241" s="6" t="n">
        <v>29445</v>
      </c>
      <c r="E241" s="1" t="s">
        <v>64</v>
      </c>
      <c r="F241" s="1" t="s">
        <v>4178</v>
      </c>
      <c r="G241" s="1" t="s">
        <v>4184</v>
      </c>
      <c r="H241" s="6" t="n">
        <v>45805</v>
      </c>
      <c r="I241" s="1" t="s">
        <v>4173</v>
      </c>
    </row>
    <row r="242" customFormat="false" ht="14.25" hidden="false" customHeight="true" outlineLevel="0" collapsed="false">
      <c r="A242" s="1" t="s">
        <v>412</v>
      </c>
      <c r="B242" s="1" t="s">
        <v>4330</v>
      </c>
      <c r="C242" s="1" t="s">
        <v>4171</v>
      </c>
      <c r="D242" s="6" t="n">
        <v>31223</v>
      </c>
      <c r="E242" s="1" t="s">
        <v>125</v>
      </c>
      <c r="F242" s="1" t="s">
        <v>4203</v>
      </c>
      <c r="G242" s="1" t="s">
        <v>4184</v>
      </c>
      <c r="H242" s="6" t="n">
        <v>45679</v>
      </c>
      <c r="I242" s="1" t="s">
        <v>4173</v>
      </c>
    </row>
    <row r="243" customFormat="false" ht="14.25" hidden="false" customHeight="true" outlineLevel="0" collapsed="false">
      <c r="A243" s="1" t="s">
        <v>787</v>
      </c>
      <c r="B243" s="1" t="s">
        <v>4331</v>
      </c>
      <c r="C243" s="1" t="s">
        <v>4171</v>
      </c>
      <c r="D243" s="6" t="n">
        <v>32456</v>
      </c>
      <c r="E243" s="1" t="s">
        <v>74</v>
      </c>
      <c r="F243" s="1" t="s">
        <v>4190</v>
      </c>
      <c r="G243" s="1" t="s">
        <v>4186</v>
      </c>
      <c r="H243" s="6" t="n">
        <v>45761</v>
      </c>
      <c r="I243" s="1" t="s">
        <v>4173</v>
      </c>
    </row>
    <row r="244" customFormat="false" ht="14.25" hidden="false" customHeight="true" outlineLevel="0" collapsed="false">
      <c r="A244" s="1" t="s">
        <v>913</v>
      </c>
      <c r="B244" s="1" t="s">
        <v>4284</v>
      </c>
      <c r="C244" s="1" t="s">
        <v>4171</v>
      </c>
      <c r="D244" s="6" t="n">
        <v>24888</v>
      </c>
      <c r="E244" s="1" t="s">
        <v>74</v>
      </c>
      <c r="F244" s="1" t="s">
        <v>4176</v>
      </c>
      <c r="G244" s="1" t="s">
        <v>4186</v>
      </c>
      <c r="H244" s="6" t="n">
        <v>45782</v>
      </c>
      <c r="I244" s="1" t="s">
        <v>4173</v>
      </c>
    </row>
    <row r="245" customFormat="false" ht="14.25" hidden="false" customHeight="true" outlineLevel="0" collapsed="false">
      <c r="A245" s="1" t="s">
        <v>983</v>
      </c>
      <c r="B245" s="1" t="s">
        <v>4332</v>
      </c>
      <c r="C245" s="1" t="s">
        <v>4175</v>
      </c>
      <c r="D245" s="6" t="n">
        <v>36618</v>
      </c>
      <c r="E245" s="1" t="s">
        <v>54</v>
      </c>
      <c r="F245" s="1" t="s">
        <v>4190</v>
      </c>
      <c r="G245" s="1" t="s">
        <v>4184</v>
      </c>
      <c r="H245" s="6" t="n">
        <v>45899</v>
      </c>
      <c r="I245" s="1" t="s">
        <v>4173</v>
      </c>
    </row>
    <row r="246" customFormat="false" ht="14.25" hidden="false" customHeight="true" outlineLevel="0" collapsed="false">
      <c r="A246" s="1" t="s">
        <v>524</v>
      </c>
      <c r="B246" s="1" t="s">
        <v>4194</v>
      </c>
      <c r="C246" s="1" t="s">
        <v>4175</v>
      </c>
      <c r="D246" s="6" t="n">
        <v>34772</v>
      </c>
      <c r="E246" s="1" t="s">
        <v>74</v>
      </c>
      <c r="F246" s="1" t="s">
        <v>4190</v>
      </c>
      <c r="G246" s="1" t="s">
        <v>4182</v>
      </c>
      <c r="H246" s="6" t="n">
        <v>45991</v>
      </c>
      <c r="I246" s="1" t="s">
        <v>4173</v>
      </c>
    </row>
    <row r="247" customFormat="false" ht="14.25" hidden="false" customHeight="true" outlineLevel="0" collapsed="false">
      <c r="A247" s="1" t="s">
        <v>1017</v>
      </c>
      <c r="B247" s="1" t="s">
        <v>4201</v>
      </c>
      <c r="C247" s="1" t="s">
        <v>4171</v>
      </c>
      <c r="D247" s="6" t="n">
        <v>28796</v>
      </c>
      <c r="E247" s="1" t="s">
        <v>125</v>
      </c>
      <c r="F247" s="1" t="s">
        <v>54</v>
      </c>
      <c r="G247" s="1" t="s">
        <v>4186</v>
      </c>
      <c r="H247" s="6" t="n">
        <v>45931</v>
      </c>
      <c r="I247" s="1" t="s">
        <v>4173</v>
      </c>
    </row>
    <row r="248" customFormat="false" ht="14.25" hidden="false" customHeight="true" outlineLevel="0" collapsed="false">
      <c r="A248" s="1" t="s">
        <v>3705</v>
      </c>
      <c r="B248" s="1" t="s">
        <v>4208</v>
      </c>
      <c r="C248" s="1" t="s">
        <v>4171</v>
      </c>
      <c r="D248" s="6" t="n">
        <v>25960</v>
      </c>
      <c r="E248" s="1" t="s">
        <v>43</v>
      </c>
      <c r="F248" s="1" t="s">
        <v>4178</v>
      </c>
      <c r="G248" s="1" t="s">
        <v>4182</v>
      </c>
      <c r="H248" s="6" t="n">
        <v>45753</v>
      </c>
      <c r="I248" s="1" t="s">
        <v>4173</v>
      </c>
    </row>
    <row r="249" customFormat="false" ht="14.25" hidden="false" customHeight="true" outlineLevel="0" collapsed="false">
      <c r="A249" s="1" t="s">
        <v>408</v>
      </c>
      <c r="B249" s="1" t="s">
        <v>4294</v>
      </c>
      <c r="C249" s="1" t="s">
        <v>4175</v>
      </c>
      <c r="D249" s="6" t="n">
        <v>29148</v>
      </c>
      <c r="E249" s="1" t="s">
        <v>54</v>
      </c>
      <c r="F249" s="1" t="s">
        <v>4188</v>
      </c>
      <c r="G249" s="1" t="s">
        <v>4184</v>
      </c>
      <c r="H249" s="6" t="n">
        <v>45890</v>
      </c>
      <c r="I249" s="1" t="s">
        <v>4173</v>
      </c>
    </row>
    <row r="250" customFormat="false" ht="14.25" hidden="false" customHeight="true" outlineLevel="0" collapsed="false">
      <c r="A250" s="1" t="s">
        <v>1201</v>
      </c>
      <c r="B250" s="1" t="s">
        <v>4304</v>
      </c>
      <c r="C250" s="1" t="s">
        <v>4171</v>
      </c>
      <c r="D250" s="6" t="n">
        <v>25096</v>
      </c>
      <c r="E250" s="1" t="s">
        <v>102</v>
      </c>
      <c r="F250" s="1" t="s">
        <v>4203</v>
      </c>
      <c r="G250" s="1" t="s">
        <v>4172</v>
      </c>
      <c r="H250" s="6" t="n">
        <v>45827</v>
      </c>
      <c r="I250" s="1" t="s">
        <v>4173</v>
      </c>
    </row>
    <row r="251" customFormat="false" ht="14.25" hidden="false" customHeight="true" outlineLevel="0" collapsed="false">
      <c r="A251" s="1" t="s">
        <v>542</v>
      </c>
      <c r="B251" s="1" t="s">
        <v>4317</v>
      </c>
      <c r="C251" s="1" t="s">
        <v>4171</v>
      </c>
      <c r="D251" s="6" t="n">
        <v>25957</v>
      </c>
      <c r="E251" s="1" t="s">
        <v>102</v>
      </c>
      <c r="F251" s="1" t="s">
        <v>4178</v>
      </c>
      <c r="G251" s="1" t="s">
        <v>4184</v>
      </c>
      <c r="H251" s="6" t="n">
        <v>45948</v>
      </c>
      <c r="I251" s="1" t="s">
        <v>4173</v>
      </c>
    </row>
    <row r="252" customFormat="false" ht="14.25" hidden="false" customHeight="true" outlineLevel="0" collapsed="false">
      <c r="A252" s="1" t="s">
        <v>744</v>
      </c>
      <c r="B252" s="1" t="s">
        <v>4333</v>
      </c>
      <c r="C252" s="1" t="s">
        <v>4171</v>
      </c>
      <c r="D252" s="6" t="n">
        <v>32031</v>
      </c>
      <c r="E252" s="1" t="s">
        <v>54</v>
      </c>
      <c r="F252" s="1" t="s">
        <v>4190</v>
      </c>
      <c r="G252" s="1" t="s">
        <v>4172</v>
      </c>
      <c r="H252" s="6" t="n">
        <v>45752</v>
      </c>
      <c r="I252" s="1" t="s">
        <v>4173</v>
      </c>
    </row>
    <row r="253" customFormat="false" ht="14.25" hidden="false" customHeight="true" outlineLevel="0" collapsed="false">
      <c r="A253" s="1" t="s">
        <v>1159</v>
      </c>
      <c r="B253" s="1" t="s">
        <v>4236</v>
      </c>
      <c r="C253" s="1" t="s">
        <v>4171</v>
      </c>
      <c r="D253" s="6" t="n">
        <v>27403</v>
      </c>
      <c r="E253" s="1" t="s">
        <v>43</v>
      </c>
      <c r="F253" s="1" t="s">
        <v>4203</v>
      </c>
      <c r="G253" s="1" t="s">
        <v>4182</v>
      </c>
      <c r="H253" s="6" t="n">
        <v>45794</v>
      </c>
      <c r="I253" s="1" t="s">
        <v>4173</v>
      </c>
    </row>
    <row r="254" customFormat="false" ht="14.25" hidden="false" customHeight="true" outlineLevel="0" collapsed="false">
      <c r="A254" s="1" t="s">
        <v>794</v>
      </c>
      <c r="B254" s="1" t="s">
        <v>4334</v>
      </c>
      <c r="C254" s="1" t="s">
        <v>4175</v>
      </c>
      <c r="D254" s="6" t="n">
        <v>28076</v>
      </c>
      <c r="E254" s="1" t="s">
        <v>74</v>
      </c>
      <c r="F254" s="1" t="s">
        <v>4203</v>
      </c>
      <c r="G254" s="1" t="s">
        <v>4172</v>
      </c>
      <c r="H254" s="6" t="n">
        <v>45999</v>
      </c>
      <c r="I254" s="1" t="s">
        <v>4173</v>
      </c>
    </row>
    <row r="255" customFormat="false" ht="14.25" hidden="false" customHeight="true" outlineLevel="0" collapsed="false">
      <c r="A255" s="1" t="s">
        <v>1244</v>
      </c>
      <c r="B255" s="1" t="s">
        <v>4262</v>
      </c>
      <c r="C255" s="1" t="s">
        <v>4171</v>
      </c>
      <c r="D255" s="6" t="n">
        <v>25771</v>
      </c>
      <c r="E255" s="1" t="s">
        <v>64</v>
      </c>
      <c r="F255" s="1" t="s">
        <v>4181</v>
      </c>
      <c r="G255" s="1" t="s">
        <v>4184</v>
      </c>
      <c r="H255" s="6" t="n">
        <v>46011</v>
      </c>
      <c r="I255" s="1" t="s">
        <v>4173</v>
      </c>
    </row>
    <row r="256" customFormat="false" ht="14.25" hidden="false" customHeight="true" outlineLevel="0" collapsed="false">
      <c r="A256" s="1" t="s">
        <v>193</v>
      </c>
      <c r="B256" s="1" t="s">
        <v>4197</v>
      </c>
      <c r="C256" s="1" t="s">
        <v>4171</v>
      </c>
      <c r="D256" s="6" t="n">
        <v>36258</v>
      </c>
      <c r="E256" s="1" t="s">
        <v>140</v>
      </c>
      <c r="F256" s="1" t="s">
        <v>4190</v>
      </c>
      <c r="G256" s="1" t="s">
        <v>4186</v>
      </c>
      <c r="H256" s="6" t="n">
        <v>45890</v>
      </c>
      <c r="I256" s="1" t="s">
        <v>4173</v>
      </c>
    </row>
    <row r="257" customFormat="false" ht="14.25" hidden="false" customHeight="true" outlineLevel="0" collapsed="false">
      <c r="A257" s="1" t="s">
        <v>2058</v>
      </c>
      <c r="B257" s="1" t="s">
        <v>4326</v>
      </c>
      <c r="C257" s="1" t="s">
        <v>4171</v>
      </c>
      <c r="D257" s="6" t="n">
        <v>34936</v>
      </c>
      <c r="E257" s="1" t="s">
        <v>64</v>
      </c>
      <c r="F257" s="1" t="s">
        <v>4178</v>
      </c>
      <c r="G257" s="1" t="s">
        <v>4186</v>
      </c>
      <c r="H257" s="6" t="n">
        <v>45784</v>
      </c>
      <c r="I257" s="1" t="s">
        <v>4173</v>
      </c>
    </row>
    <row r="258" customFormat="false" ht="14.25" hidden="false" customHeight="true" outlineLevel="0" collapsed="false">
      <c r="A258" s="1" t="s">
        <v>422</v>
      </c>
      <c r="B258" s="1" t="s">
        <v>4303</v>
      </c>
      <c r="C258" s="1" t="s">
        <v>4171</v>
      </c>
      <c r="D258" s="6" t="n">
        <v>34315</v>
      </c>
      <c r="E258" s="1" t="s">
        <v>54</v>
      </c>
      <c r="F258" s="1" t="s">
        <v>4176</v>
      </c>
      <c r="G258" s="1" t="s">
        <v>4172</v>
      </c>
      <c r="H258" s="6" t="n">
        <v>45689</v>
      </c>
      <c r="I258" s="1" t="s">
        <v>4173</v>
      </c>
    </row>
    <row r="259" customFormat="false" ht="14.25" hidden="false" customHeight="true" outlineLevel="0" collapsed="false">
      <c r="A259" s="1" t="s">
        <v>1617</v>
      </c>
      <c r="B259" s="1" t="s">
        <v>4304</v>
      </c>
      <c r="C259" s="1" t="s">
        <v>4175</v>
      </c>
      <c r="D259" s="6" t="n">
        <v>35313</v>
      </c>
      <c r="E259" s="1" t="s">
        <v>140</v>
      </c>
      <c r="F259" s="1" t="s">
        <v>4188</v>
      </c>
      <c r="G259" s="1" t="s">
        <v>4182</v>
      </c>
      <c r="H259" s="6" t="n">
        <v>45717</v>
      </c>
      <c r="I259" s="1" t="s">
        <v>4173</v>
      </c>
    </row>
    <row r="260" customFormat="false" ht="14.25" hidden="false" customHeight="true" outlineLevel="0" collapsed="false">
      <c r="A260" s="1" t="s">
        <v>175</v>
      </c>
      <c r="B260" s="1" t="s">
        <v>4278</v>
      </c>
      <c r="C260" s="1" t="s">
        <v>4171</v>
      </c>
      <c r="D260" s="6" t="n">
        <v>24000</v>
      </c>
      <c r="E260" s="1" t="s">
        <v>125</v>
      </c>
      <c r="F260" s="1" t="s">
        <v>54</v>
      </c>
      <c r="G260" s="1" t="s">
        <v>4182</v>
      </c>
      <c r="H260" s="6" t="n">
        <v>45725</v>
      </c>
      <c r="I260" s="1" t="s">
        <v>4173</v>
      </c>
    </row>
    <row r="261" customFormat="false" ht="14.25" hidden="false" customHeight="true" outlineLevel="0" collapsed="false">
      <c r="A261" s="1" t="s">
        <v>243</v>
      </c>
      <c r="B261" s="1" t="s">
        <v>4335</v>
      </c>
      <c r="C261" s="1" t="s">
        <v>4171</v>
      </c>
      <c r="D261" s="6" t="n">
        <v>35082</v>
      </c>
      <c r="E261" s="1" t="s">
        <v>43</v>
      </c>
      <c r="F261" s="1" t="s">
        <v>4181</v>
      </c>
      <c r="G261" s="1" t="s">
        <v>4184</v>
      </c>
      <c r="H261" s="6" t="n">
        <v>45669</v>
      </c>
      <c r="I261" s="1" t="s">
        <v>4173</v>
      </c>
    </row>
    <row r="262" customFormat="false" ht="14.25" hidden="false" customHeight="true" outlineLevel="0" collapsed="false">
      <c r="A262" s="1" t="s">
        <v>1273</v>
      </c>
      <c r="B262" s="1" t="s">
        <v>4187</v>
      </c>
      <c r="C262" s="1" t="s">
        <v>4175</v>
      </c>
      <c r="D262" s="6" t="n">
        <v>26940</v>
      </c>
      <c r="E262" s="1" t="s">
        <v>54</v>
      </c>
      <c r="F262" s="1" t="s">
        <v>4190</v>
      </c>
      <c r="G262" s="1" t="s">
        <v>4184</v>
      </c>
      <c r="H262" s="6" t="n">
        <v>46016</v>
      </c>
      <c r="I262" s="1" t="s">
        <v>4173</v>
      </c>
    </row>
    <row r="263" customFormat="false" ht="14.25" hidden="false" customHeight="true" outlineLevel="0" collapsed="false">
      <c r="A263" s="1" t="s">
        <v>440</v>
      </c>
      <c r="B263" s="1" t="s">
        <v>4336</v>
      </c>
      <c r="C263" s="1" t="s">
        <v>4175</v>
      </c>
      <c r="D263" s="6" t="n">
        <v>23591</v>
      </c>
      <c r="E263" s="1" t="s">
        <v>102</v>
      </c>
      <c r="F263" s="1" t="s">
        <v>4190</v>
      </c>
      <c r="G263" s="1" t="s">
        <v>4186</v>
      </c>
      <c r="H263" s="6" t="n">
        <v>45727</v>
      </c>
      <c r="I263" s="1" t="s">
        <v>4173</v>
      </c>
    </row>
    <row r="264" customFormat="false" ht="14.25" hidden="false" customHeight="true" outlineLevel="0" collapsed="false">
      <c r="A264" s="1" t="s">
        <v>497</v>
      </c>
      <c r="B264" s="1" t="s">
        <v>4179</v>
      </c>
      <c r="C264" s="1" t="s">
        <v>4171</v>
      </c>
      <c r="D264" s="6" t="n">
        <v>32337</v>
      </c>
      <c r="E264" s="1" t="s">
        <v>54</v>
      </c>
      <c r="F264" s="1" t="s">
        <v>4181</v>
      </c>
      <c r="G264" s="1" t="s">
        <v>4186</v>
      </c>
      <c r="H264" s="6" t="n">
        <v>45992</v>
      </c>
      <c r="I264" s="1" t="s">
        <v>4173</v>
      </c>
    </row>
    <row r="265" customFormat="false" ht="14.25" hidden="false" customHeight="true" outlineLevel="0" collapsed="false">
      <c r="A265" s="1" t="s">
        <v>2141</v>
      </c>
      <c r="B265" s="1" t="s">
        <v>4296</v>
      </c>
      <c r="C265" s="1" t="s">
        <v>4175</v>
      </c>
      <c r="D265" s="6" t="n">
        <v>34532</v>
      </c>
      <c r="E265" s="1" t="s">
        <v>140</v>
      </c>
      <c r="F265" s="1" t="s">
        <v>4181</v>
      </c>
      <c r="G265" s="1" t="s">
        <v>4186</v>
      </c>
      <c r="H265" s="6" t="n">
        <v>45659</v>
      </c>
      <c r="I265" s="1" t="s">
        <v>4173</v>
      </c>
    </row>
    <row r="266" customFormat="false" ht="14.25" hidden="false" customHeight="true" outlineLevel="0" collapsed="false">
      <c r="A266" s="1" t="s">
        <v>505</v>
      </c>
      <c r="B266" s="1" t="s">
        <v>4337</v>
      </c>
      <c r="C266" s="1" t="s">
        <v>4171</v>
      </c>
      <c r="D266" s="6" t="n">
        <v>34533</v>
      </c>
      <c r="E266" s="1" t="s">
        <v>43</v>
      </c>
      <c r="F266" s="1" t="s">
        <v>4178</v>
      </c>
      <c r="G266" s="1" t="s">
        <v>4186</v>
      </c>
      <c r="H266" s="6" t="n">
        <v>45784</v>
      </c>
      <c r="I266" s="1" t="s">
        <v>4173</v>
      </c>
    </row>
    <row r="267" customFormat="false" ht="14.25" hidden="false" customHeight="true" outlineLevel="0" collapsed="false">
      <c r="A267" s="1" t="s">
        <v>1525</v>
      </c>
      <c r="B267" s="1" t="s">
        <v>4338</v>
      </c>
      <c r="C267" s="1" t="s">
        <v>4175</v>
      </c>
      <c r="D267" s="6" t="n">
        <v>28239</v>
      </c>
      <c r="E267" s="1" t="s">
        <v>125</v>
      </c>
      <c r="F267" s="1" t="s">
        <v>54</v>
      </c>
      <c r="G267" s="1" t="s">
        <v>4172</v>
      </c>
      <c r="H267" s="6" t="n">
        <v>45996</v>
      </c>
      <c r="I267" s="1" t="s">
        <v>4173</v>
      </c>
    </row>
    <row r="268" customFormat="false" ht="14.25" hidden="false" customHeight="true" outlineLevel="0" collapsed="false">
      <c r="A268" s="1" t="s">
        <v>480</v>
      </c>
      <c r="B268" s="1" t="s">
        <v>4193</v>
      </c>
      <c r="C268" s="1" t="s">
        <v>4175</v>
      </c>
      <c r="D268" s="6" t="n">
        <v>27487</v>
      </c>
      <c r="E268" s="1" t="s">
        <v>54</v>
      </c>
      <c r="F268" s="1" t="s">
        <v>4176</v>
      </c>
      <c r="G268" s="1" t="s">
        <v>4172</v>
      </c>
      <c r="H268" s="6" t="n">
        <v>45886</v>
      </c>
      <c r="I268" s="1" t="s">
        <v>4173</v>
      </c>
    </row>
    <row r="269" customFormat="false" ht="14.25" hidden="false" customHeight="true" outlineLevel="0" collapsed="false">
      <c r="A269" s="1" t="s">
        <v>578</v>
      </c>
      <c r="B269" s="1" t="s">
        <v>4263</v>
      </c>
      <c r="C269" s="1" t="s">
        <v>4175</v>
      </c>
      <c r="D269" s="6" t="n">
        <v>22842</v>
      </c>
      <c r="E269" s="1" t="s">
        <v>140</v>
      </c>
      <c r="F269" s="1" t="s">
        <v>4176</v>
      </c>
      <c r="G269" s="1" t="s">
        <v>4186</v>
      </c>
      <c r="H269" s="6" t="n">
        <v>45686</v>
      </c>
      <c r="I269" s="1" t="s">
        <v>4173</v>
      </c>
    </row>
    <row r="270" customFormat="false" ht="14.25" hidden="false" customHeight="true" outlineLevel="0" collapsed="false">
      <c r="A270" s="1" t="s">
        <v>924</v>
      </c>
      <c r="B270" s="1" t="s">
        <v>4339</v>
      </c>
      <c r="C270" s="1" t="s">
        <v>4171</v>
      </c>
      <c r="D270" s="6" t="n">
        <v>27382</v>
      </c>
      <c r="E270" s="1" t="s">
        <v>102</v>
      </c>
      <c r="F270" s="1" t="s">
        <v>4176</v>
      </c>
      <c r="G270" s="1" t="s">
        <v>4184</v>
      </c>
      <c r="H270" s="6" t="n">
        <v>45779</v>
      </c>
      <c r="I270" s="1" t="s">
        <v>4173</v>
      </c>
    </row>
    <row r="271" customFormat="false" ht="14.25" hidden="false" customHeight="true" outlineLevel="0" collapsed="false">
      <c r="A271" s="1" t="s">
        <v>700</v>
      </c>
      <c r="B271" s="1" t="s">
        <v>4340</v>
      </c>
      <c r="C271" s="1" t="s">
        <v>4175</v>
      </c>
      <c r="D271" s="6" t="n">
        <v>31541</v>
      </c>
      <c r="E271" s="1" t="s">
        <v>54</v>
      </c>
      <c r="F271" s="1" t="s">
        <v>4176</v>
      </c>
      <c r="G271" s="1" t="s">
        <v>4186</v>
      </c>
      <c r="H271" s="6" t="n">
        <v>45978</v>
      </c>
      <c r="I271" s="1" t="s">
        <v>4173</v>
      </c>
    </row>
    <row r="272" customFormat="false" ht="14.25" hidden="false" customHeight="true" outlineLevel="0" collapsed="false">
      <c r="A272" s="1" t="s">
        <v>1121</v>
      </c>
      <c r="B272" s="1" t="s">
        <v>4209</v>
      </c>
      <c r="C272" s="1" t="s">
        <v>4171</v>
      </c>
      <c r="D272" s="6" t="n">
        <v>23183</v>
      </c>
      <c r="E272" s="1" t="s">
        <v>74</v>
      </c>
      <c r="F272" s="1" t="s">
        <v>4190</v>
      </c>
      <c r="G272" s="1" t="s">
        <v>4184</v>
      </c>
      <c r="H272" s="6" t="n">
        <v>46014</v>
      </c>
      <c r="I272" s="1" t="s">
        <v>4173</v>
      </c>
    </row>
    <row r="273" customFormat="false" ht="14.25" hidden="false" customHeight="true" outlineLevel="0" collapsed="false">
      <c r="A273" s="1" t="s">
        <v>3677</v>
      </c>
      <c r="B273" s="1" t="s">
        <v>4238</v>
      </c>
      <c r="C273" s="1" t="s">
        <v>4175</v>
      </c>
      <c r="D273" s="6" t="n">
        <v>29042</v>
      </c>
      <c r="E273" s="1" t="s">
        <v>125</v>
      </c>
      <c r="F273" s="1" t="s">
        <v>4176</v>
      </c>
      <c r="G273" s="1" t="s">
        <v>4182</v>
      </c>
      <c r="H273" s="6" t="n">
        <v>45781</v>
      </c>
      <c r="I273" s="1" t="s">
        <v>4173</v>
      </c>
    </row>
    <row r="274" customFormat="false" ht="14.25" hidden="false" customHeight="true" outlineLevel="0" collapsed="false">
      <c r="A274" s="1" t="s">
        <v>2468</v>
      </c>
      <c r="B274" s="1" t="s">
        <v>4260</v>
      </c>
      <c r="C274" s="1" t="s">
        <v>4175</v>
      </c>
      <c r="D274" s="6" t="n">
        <v>32526</v>
      </c>
      <c r="E274" s="1" t="s">
        <v>43</v>
      </c>
      <c r="F274" s="1" t="s">
        <v>4190</v>
      </c>
      <c r="G274" s="1" t="s">
        <v>4186</v>
      </c>
      <c r="H274" s="6" t="n">
        <v>45856</v>
      </c>
      <c r="I274" s="1" t="s">
        <v>4173</v>
      </c>
    </row>
    <row r="275" customFormat="false" ht="14.25" hidden="false" customHeight="true" outlineLevel="0" collapsed="false">
      <c r="A275" s="1" t="s">
        <v>3113</v>
      </c>
      <c r="B275" s="1" t="s">
        <v>4260</v>
      </c>
      <c r="C275" s="1" t="s">
        <v>4175</v>
      </c>
      <c r="D275" s="6" t="n">
        <v>29893</v>
      </c>
      <c r="E275" s="1" t="s">
        <v>43</v>
      </c>
      <c r="F275" s="1" t="s">
        <v>4178</v>
      </c>
      <c r="G275" s="1" t="s">
        <v>4184</v>
      </c>
      <c r="H275" s="6" t="n">
        <v>45705</v>
      </c>
      <c r="I275" s="1" t="s">
        <v>4173</v>
      </c>
    </row>
    <row r="276" customFormat="false" ht="14.25" hidden="false" customHeight="true" outlineLevel="0" collapsed="false">
      <c r="A276" s="1" t="s">
        <v>810</v>
      </c>
      <c r="B276" s="1" t="s">
        <v>4191</v>
      </c>
      <c r="C276" s="1" t="s">
        <v>4175</v>
      </c>
      <c r="D276" s="6" t="n">
        <v>28328</v>
      </c>
      <c r="E276" s="1" t="s">
        <v>64</v>
      </c>
      <c r="F276" s="1" t="s">
        <v>4176</v>
      </c>
      <c r="G276" s="1" t="s">
        <v>4172</v>
      </c>
      <c r="H276" s="6" t="n">
        <v>45695</v>
      </c>
      <c r="I276" s="1" t="s">
        <v>4173</v>
      </c>
    </row>
    <row r="277" customFormat="false" ht="14.25" hidden="false" customHeight="true" outlineLevel="0" collapsed="false">
      <c r="A277" s="1" t="s">
        <v>395</v>
      </c>
      <c r="B277" s="1" t="s">
        <v>4278</v>
      </c>
      <c r="C277" s="1" t="s">
        <v>4175</v>
      </c>
      <c r="D277" s="6" t="n">
        <v>32991</v>
      </c>
      <c r="E277" s="1" t="s">
        <v>102</v>
      </c>
      <c r="F277" s="1" t="s">
        <v>4188</v>
      </c>
      <c r="G277" s="1" t="s">
        <v>4172</v>
      </c>
      <c r="H277" s="6" t="n">
        <v>45766</v>
      </c>
      <c r="I277" s="1" t="s">
        <v>4173</v>
      </c>
    </row>
    <row r="278" customFormat="false" ht="14.25" hidden="false" customHeight="true" outlineLevel="0" collapsed="false">
      <c r="A278" s="1" t="s">
        <v>960</v>
      </c>
      <c r="B278" s="1" t="s">
        <v>4185</v>
      </c>
      <c r="C278" s="1" t="s">
        <v>4171</v>
      </c>
      <c r="D278" s="6" t="n">
        <v>27748</v>
      </c>
      <c r="E278" s="1" t="s">
        <v>74</v>
      </c>
      <c r="F278" s="1" t="s">
        <v>4203</v>
      </c>
      <c r="G278" s="1" t="s">
        <v>4182</v>
      </c>
      <c r="H278" s="6" t="n">
        <v>45780</v>
      </c>
      <c r="I278" s="1" t="s">
        <v>4173</v>
      </c>
    </row>
    <row r="279" customFormat="false" ht="14.25" hidden="false" customHeight="true" outlineLevel="0" collapsed="false">
      <c r="A279" s="1" t="s">
        <v>2809</v>
      </c>
      <c r="B279" s="1" t="s">
        <v>4341</v>
      </c>
      <c r="C279" s="1" t="s">
        <v>4171</v>
      </c>
      <c r="D279" s="6" t="n">
        <v>30912</v>
      </c>
      <c r="E279" s="1" t="s">
        <v>74</v>
      </c>
      <c r="F279" s="1" t="s">
        <v>4188</v>
      </c>
      <c r="G279" s="1" t="s">
        <v>4184</v>
      </c>
      <c r="H279" s="6" t="n">
        <v>45791</v>
      </c>
      <c r="I279" s="1" t="s">
        <v>4173</v>
      </c>
    </row>
    <row r="280" customFormat="false" ht="14.25" hidden="false" customHeight="true" outlineLevel="0" collapsed="false">
      <c r="A280" s="1" t="s">
        <v>774</v>
      </c>
      <c r="B280" s="1" t="s">
        <v>4342</v>
      </c>
      <c r="C280" s="1" t="s">
        <v>4171</v>
      </c>
      <c r="D280" s="6" t="n">
        <v>32565</v>
      </c>
      <c r="E280" s="1" t="s">
        <v>74</v>
      </c>
      <c r="F280" s="1" t="s">
        <v>4190</v>
      </c>
      <c r="G280" s="1" t="s">
        <v>4184</v>
      </c>
      <c r="H280" s="6" t="n">
        <v>45762</v>
      </c>
      <c r="I280" s="1" t="s">
        <v>4173</v>
      </c>
    </row>
    <row r="281" customFormat="false" ht="14.25" hidden="false" customHeight="true" outlineLevel="0" collapsed="false">
      <c r="A281" s="1" t="s">
        <v>2075</v>
      </c>
      <c r="B281" s="1" t="s">
        <v>4343</v>
      </c>
      <c r="C281" s="1" t="s">
        <v>4171</v>
      </c>
      <c r="D281" s="6" t="n">
        <v>22947</v>
      </c>
      <c r="E281" s="1" t="s">
        <v>140</v>
      </c>
      <c r="F281" s="1" t="s">
        <v>4181</v>
      </c>
      <c r="G281" s="1" t="s">
        <v>4186</v>
      </c>
      <c r="H281" s="6" t="n">
        <v>45666</v>
      </c>
      <c r="I281" s="1" t="s">
        <v>4173</v>
      </c>
    </row>
    <row r="282" customFormat="false" ht="14.25" hidden="false" customHeight="true" outlineLevel="0" collapsed="false">
      <c r="A282" s="1" t="s">
        <v>1228</v>
      </c>
      <c r="B282" s="1" t="s">
        <v>4195</v>
      </c>
      <c r="C282" s="1" t="s">
        <v>4171</v>
      </c>
      <c r="D282" s="6" t="n">
        <v>28556</v>
      </c>
      <c r="E282" s="1" t="s">
        <v>102</v>
      </c>
      <c r="F282" s="1" t="s">
        <v>4203</v>
      </c>
      <c r="G282" s="1" t="s">
        <v>4182</v>
      </c>
      <c r="H282" s="6" t="n">
        <v>45949</v>
      </c>
      <c r="I282" s="1" t="s">
        <v>4173</v>
      </c>
    </row>
    <row r="283" customFormat="false" ht="14.25" hidden="false" customHeight="true" outlineLevel="0" collapsed="false">
      <c r="A283" s="1" t="s">
        <v>652</v>
      </c>
      <c r="B283" s="1" t="s">
        <v>4344</v>
      </c>
      <c r="C283" s="1" t="s">
        <v>4171</v>
      </c>
      <c r="D283" s="6" t="n">
        <v>27996</v>
      </c>
      <c r="E283" s="1" t="s">
        <v>74</v>
      </c>
      <c r="F283" s="1" t="s">
        <v>4181</v>
      </c>
      <c r="G283" s="1" t="s">
        <v>4182</v>
      </c>
      <c r="H283" s="6" t="n">
        <v>45893</v>
      </c>
      <c r="I283" s="1" t="s">
        <v>4173</v>
      </c>
    </row>
    <row r="284" customFormat="false" ht="14.25" hidden="false" customHeight="true" outlineLevel="0" collapsed="false">
      <c r="A284" s="1" t="s">
        <v>304</v>
      </c>
      <c r="B284" s="1" t="s">
        <v>4322</v>
      </c>
      <c r="C284" s="1" t="s">
        <v>4175</v>
      </c>
      <c r="D284" s="6" t="n">
        <v>25190</v>
      </c>
      <c r="E284" s="1" t="s">
        <v>43</v>
      </c>
      <c r="F284" s="1" t="s">
        <v>4203</v>
      </c>
      <c r="G284" s="1" t="s">
        <v>4172</v>
      </c>
      <c r="H284" s="6" t="n">
        <v>45926</v>
      </c>
      <c r="I284" s="1" t="s">
        <v>4173</v>
      </c>
    </row>
    <row r="285" customFormat="false" ht="14.25" hidden="false" customHeight="true" outlineLevel="0" collapsed="false">
      <c r="A285" s="1" t="s">
        <v>278</v>
      </c>
      <c r="B285" s="1" t="s">
        <v>4292</v>
      </c>
      <c r="C285" s="1" t="s">
        <v>4175</v>
      </c>
      <c r="D285" s="6" t="n">
        <v>22102</v>
      </c>
      <c r="E285" s="1" t="s">
        <v>125</v>
      </c>
      <c r="F285" s="1" t="s">
        <v>4181</v>
      </c>
      <c r="G285" s="1" t="s">
        <v>4186</v>
      </c>
      <c r="H285" s="6" t="n">
        <v>45692</v>
      </c>
      <c r="I285" s="1" t="s">
        <v>4173</v>
      </c>
    </row>
    <row r="286" customFormat="false" ht="14.25" hidden="false" customHeight="true" outlineLevel="0" collapsed="false">
      <c r="A286" s="1" t="s">
        <v>1408</v>
      </c>
      <c r="B286" s="1" t="s">
        <v>4222</v>
      </c>
      <c r="C286" s="1" t="s">
        <v>4175</v>
      </c>
      <c r="D286" s="6" t="n">
        <v>33828</v>
      </c>
      <c r="E286" s="1" t="s">
        <v>54</v>
      </c>
      <c r="F286" s="1" t="s">
        <v>4176</v>
      </c>
      <c r="G286" s="1" t="s">
        <v>4182</v>
      </c>
      <c r="H286" s="6" t="n">
        <v>45995</v>
      </c>
      <c r="I286" s="1" t="s">
        <v>4173</v>
      </c>
    </row>
    <row r="287" customFormat="false" ht="14.25" hidden="false" customHeight="true" outlineLevel="0" collapsed="false">
      <c r="A287" s="1" t="s">
        <v>778</v>
      </c>
      <c r="B287" s="1" t="s">
        <v>4318</v>
      </c>
      <c r="C287" s="1" t="s">
        <v>4175</v>
      </c>
      <c r="D287" s="6" t="n">
        <v>34591</v>
      </c>
      <c r="E287" s="1" t="s">
        <v>54</v>
      </c>
      <c r="F287" s="1" t="s">
        <v>54</v>
      </c>
      <c r="G287" s="1" t="s">
        <v>4184</v>
      </c>
      <c r="H287" s="6" t="n">
        <v>45932</v>
      </c>
      <c r="I287" s="1" t="s">
        <v>4173</v>
      </c>
    </row>
    <row r="288" customFormat="false" ht="14.25" hidden="false" customHeight="true" outlineLevel="0" collapsed="false">
      <c r="A288" s="1" t="s">
        <v>1441</v>
      </c>
      <c r="B288" s="1" t="s">
        <v>4294</v>
      </c>
      <c r="C288" s="1" t="s">
        <v>4171</v>
      </c>
      <c r="D288" s="6" t="n">
        <v>25968</v>
      </c>
      <c r="E288" s="1" t="s">
        <v>64</v>
      </c>
      <c r="F288" s="1" t="s">
        <v>4203</v>
      </c>
      <c r="G288" s="1" t="s">
        <v>4186</v>
      </c>
      <c r="H288" s="6" t="n">
        <v>45756</v>
      </c>
      <c r="I288" s="1" t="s">
        <v>4173</v>
      </c>
    </row>
    <row r="289" customFormat="false" ht="14.25" hidden="false" customHeight="true" outlineLevel="0" collapsed="false">
      <c r="A289" s="1" t="s">
        <v>330</v>
      </c>
      <c r="B289" s="1" t="s">
        <v>4227</v>
      </c>
      <c r="C289" s="1" t="s">
        <v>4171</v>
      </c>
      <c r="D289" s="6" t="n">
        <v>30097</v>
      </c>
      <c r="E289" s="1" t="s">
        <v>43</v>
      </c>
      <c r="F289" s="1" t="s">
        <v>54</v>
      </c>
      <c r="G289" s="1" t="s">
        <v>4184</v>
      </c>
      <c r="H289" s="6" t="n">
        <v>45865</v>
      </c>
      <c r="I289" s="1" t="s">
        <v>4173</v>
      </c>
    </row>
    <row r="290" customFormat="false" ht="14.25" hidden="false" customHeight="true" outlineLevel="0" collapsed="false">
      <c r="A290" s="1" t="s">
        <v>573</v>
      </c>
      <c r="B290" s="1" t="s">
        <v>4248</v>
      </c>
      <c r="C290" s="1" t="s">
        <v>4175</v>
      </c>
      <c r="D290" s="6" t="n">
        <v>27171</v>
      </c>
      <c r="E290" s="1" t="s">
        <v>125</v>
      </c>
      <c r="F290" s="1" t="s">
        <v>4178</v>
      </c>
      <c r="G290" s="1" t="s">
        <v>4172</v>
      </c>
      <c r="H290" s="6" t="n">
        <v>45992</v>
      </c>
      <c r="I290" s="1" t="s">
        <v>4173</v>
      </c>
    </row>
    <row r="291" customFormat="false" ht="14.25" hidden="false" customHeight="true" outlineLevel="0" collapsed="false">
      <c r="A291" s="1" t="s">
        <v>2325</v>
      </c>
      <c r="B291" s="1" t="s">
        <v>4292</v>
      </c>
      <c r="C291" s="1" t="s">
        <v>4171</v>
      </c>
      <c r="D291" s="6" t="n">
        <v>30881</v>
      </c>
      <c r="E291" s="1" t="s">
        <v>43</v>
      </c>
      <c r="F291" s="1" t="s">
        <v>54</v>
      </c>
      <c r="G291" s="1" t="s">
        <v>4172</v>
      </c>
      <c r="H291" s="6" t="n">
        <v>46017</v>
      </c>
      <c r="I291" s="1" t="s">
        <v>4173</v>
      </c>
    </row>
    <row r="292" customFormat="false" ht="14.25" hidden="false" customHeight="true" outlineLevel="0" collapsed="false">
      <c r="A292" s="1" t="s">
        <v>842</v>
      </c>
      <c r="B292" s="1" t="s">
        <v>4223</v>
      </c>
      <c r="C292" s="1" t="s">
        <v>4171</v>
      </c>
      <c r="D292" s="6" t="n">
        <v>32107</v>
      </c>
      <c r="E292" s="1" t="s">
        <v>102</v>
      </c>
      <c r="F292" s="1" t="s">
        <v>4176</v>
      </c>
      <c r="G292" s="1" t="s">
        <v>4172</v>
      </c>
      <c r="H292" s="6" t="n">
        <v>45928</v>
      </c>
      <c r="I292" s="1" t="s">
        <v>4173</v>
      </c>
    </row>
    <row r="293" customFormat="false" ht="14.25" hidden="false" customHeight="true" outlineLevel="0" collapsed="false">
      <c r="A293" s="1" t="s">
        <v>647</v>
      </c>
      <c r="B293" s="1" t="s">
        <v>4313</v>
      </c>
      <c r="C293" s="1" t="s">
        <v>4175</v>
      </c>
      <c r="D293" s="6" t="n">
        <v>35286</v>
      </c>
      <c r="E293" s="1" t="s">
        <v>54</v>
      </c>
      <c r="F293" s="1" t="s">
        <v>54</v>
      </c>
      <c r="G293" s="1" t="s">
        <v>4184</v>
      </c>
      <c r="H293" s="6" t="n">
        <v>45936</v>
      </c>
      <c r="I293" s="1" t="s">
        <v>4173</v>
      </c>
    </row>
    <row r="294" customFormat="false" ht="14.25" hidden="false" customHeight="true" outlineLevel="0" collapsed="false">
      <c r="A294" s="1" t="s">
        <v>748</v>
      </c>
      <c r="B294" s="1" t="s">
        <v>4240</v>
      </c>
      <c r="C294" s="1" t="s">
        <v>4175</v>
      </c>
      <c r="D294" s="6" t="n">
        <v>29227</v>
      </c>
      <c r="E294" s="1" t="s">
        <v>64</v>
      </c>
      <c r="F294" s="1" t="s">
        <v>4203</v>
      </c>
      <c r="G294" s="1" t="s">
        <v>4182</v>
      </c>
      <c r="H294" s="6" t="n">
        <v>45697</v>
      </c>
      <c r="I294" s="1" t="s">
        <v>4173</v>
      </c>
    </row>
    <row r="295" customFormat="false" ht="14.25" hidden="false" customHeight="true" outlineLevel="0" collapsed="false">
      <c r="A295" s="1" t="s">
        <v>429</v>
      </c>
      <c r="B295" s="1" t="s">
        <v>4340</v>
      </c>
      <c r="C295" s="1" t="s">
        <v>4175</v>
      </c>
      <c r="D295" s="6" t="n">
        <v>35268</v>
      </c>
      <c r="E295" s="1" t="s">
        <v>64</v>
      </c>
      <c r="F295" s="1" t="s">
        <v>4188</v>
      </c>
      <c r="G295" s="1" t="s">
        <v>4182</v>
      </c>
      <c r="H295" s="6" t="n">
        <v>45729</v>
      </c>
      <c r="I295" s="1" t="s">
        <v>4173</v>
      </c>
    </row>
    <row r="296" customFormat="false" ht="14.25" hidden="false" customHeight="true" outlineLevel="0" collapsed="false">
      <c r="A296" s="1" t="s">
        <v>454</v>
      </c>
      <c r="B296" s="1" t="s">
        <v>4336</v>
      </c>
      <c r="C296" s="1" t="s">
        <v>4171</v>
      </c>
      <c r="D296" s="6" t="n">
        <v>23056</v>
      </c>
      <c r="E296" s="1" t="s">
        <v>140</v>
      </c>
      <c r="F296" s="1" t="s">
        <v>4178</v>
      </c>
      <c r="G296" s="1" t="s">
        <v>4172</v>
      </c>
      <c r="H296" s="6" t="n">
        <v>45832</v>
      </c>
      <c r="I296" s="1" t="s">
        <v>4173</v>
      </c>
    </row>
    <row r="297" customFormat="false" ht="14.25" hidden="false" customHeight="true" outlineLevel="0" collapsed="false">
      <c r="A297" s="1" t="s">
        <v>1009</v>
      </c>
      <c r="B297" s="1" t="s">
        <v>4243</v>
      </c>
      <c r="C297" s="1" t="s">
        <v>4171</v>
      </c>
      <c r="D297" s="6" t="n">
        <v>29241</v>
      </c>
      <c r="E297" s="1" t="s">
        <v>102</v>
      </c>
      <c r="F297" s="1" t="s">
        <v>4178</v>
      </c>
      <c r="G297" s="1" t="s">
        <v>4182</v>
      </c>
      <c r="H297" s="6" t="n">
        <v>45909</v>
      </c>
      <c r="I297" s="1" t="s">
        <v>4173</v>
      </c>
    </row>
    <row r="298" customFormat="false" ht="14.25" hidden="false" customHeight="true" outlineLevel="0" collapsed="false">
      <c r="A298" s="1" t="s">
        <v>1183</v>
      </c>
      <c r="B298" s="1" t="s">
        <v>4216</v>
      </c>
      <c r="C298" s="1" t="s">
        <v>4171</v>
      </c>
      <c r="D298" s="6" t="n">
        <v>31858</v>
      </c>
      <c r="E298" s="1" t="s">
        <v>64</v>
      </c>
      <c r="F298" s="1" t="s">
        <v>4181</v>
      </c>
      <c r="G298" s="1" t="s">
        <v>4182</v>
      </c>
      <c r="H298" s="6" t="n">
        <v>45701</v>
      </c>
      <c r="I298" s="1" t="s">
        <v>4173</v>
      </c>
    </row>
    <row r="299" customFormat="false" ht="14.25" hidden="false" customHeight="true" outlineLevel="0" collapsed="false">
      <c r="A299" s="1" t="s">
        <v>721</v>
      </c>
      <c r="B299" s="1" t="s">
        <v>4306</v>
      </c>
      <c r="C299" s="1" t="s">
        <v>4175</v>
      </c>
      <c r="D299" s="6" t="n">
        <v>23416</v>
      </c>
      <c r="E299" s="1" t="s">
        <v>140</v>
      </c>
      <c r="F299" s="1" t="s">
        <v>4190</v>
      </c>
      <c r="G299" s="1" t="s">
        <v>4186</v>
      </c>
      <c r="H299" s="6" t="n">
        <v>45857</v>
      </c>
      <c r="I299" s="1" t="s">
        <v>4173</v>
      </c>
    </row>
    <row r="300" customFormat="false" ht="14.25" hidden="false" customHeight="true" outlineLevel="0" collapsed="false">
      <c r="A300" s="1" t="s">
        <v>1995</v>
      </c>
      <c r="B300" s="1" t="s">
        <v>4345</v>
      </c>
      <c r="C300" s="1" t="s">
        <v>4175</v>
      </c>
      <c r="D300" s="6" t="n">
        <v>23752</v>
      </c>
      <c r="E300" s="1" t="s">
        <v>43</v>
      </c>
      <c r="F300" s="1" t="s">
        <v>4188</v>
      </c>
      <c r="G300" s="1" t="s">
        <v>4184</v>
      </c>
      <c r="H300" s="6" t="n">
        <v>45710</v>
      </c>
      <c r="I300" s="1" t="s">
        <v>4173</v>
      </c>
    </row>
    <row r="301" customFormat="false" ht="14.25" hidden="false" customHeight="true" outlineLevel="0" collapsed="false">
      <c r="A301" s="1" t="s">
        <v>91</v>
      </c>
      <c r="B301" s="1" t="s">
        <v>4261</v>
      </c>
      <c r="C301" s="1" t="s">
        <v>4175</v>
      </c>
      <c r="D301" s="6" t="n">
        <v>32007</v>
      </c>
      <c r="E301" s="1" t="s">
        <v>64</v>
      </c>
      <c r="F301" s="1" t="s">
        <v>4176</v>
      </c>
      <c r="G301" s="1" t="s">
        <v>4182</v>
      </c>
      <c r="H301" s="6" t="n">
        <v>45710</v>
      </c>
      <c r="I301" s="1" t="s">
        <v>4173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3" activeCellId="0" sqref="A3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5.33"/>
    <col collapsed="false" customWidth="true" hidden="false" outlineLevel="0" max="2" min="2" style="1" width="19.44"/>
    <col collapsed="false" customWidth="true" hidden="false" outlineLevel="0" max="3" min="3" style="1" width="16"/>
    <col collapsed="false" customWidth="true" hidden="false" outlineLevel="0" max="4" min="4" style="1" width="10.11"/>
    <col collapsed="false" customWidth="true" hidden="false" outlineLevel="0" max="5" min="5" style="1" width="12.67"/>
    <col collapsed="false" customWidth="true" hidden="false" outlineLevel="0" max="7" min="6" style="1" width="19"/>
  </cols>
  <sheetData>
    <row r="1" customFormat="false" ht="14.25" hidden="false" customHeight="true" outlineLevel="0" collapsed="false">
      <c r="A1" s="4" t="s">
        <v>15</v>
      </c>
      <c r="B1" s="4" t="s">
        <v>4346</v>
      </c>
      <c r="C1" s="4" t="s">
        <v>4347</v>
      </c>
      <c r="D1" s="4" t="s">
        <v>4166</v>
      </c>
      <c r="E1" s="4" t="s">
        <v>4165</v>
      </c>
      <c r="F1" s="4" t="s">
        <v>4348</v>
      </c>
      <c r="G1" s="4" t="s">
        <v>4349</v>
      </c>
    </row>
    <row r="2" customFormat="false" ht="14.25" hidden="false" customHeight="true" outlineLevel="0" collapsed="false">
      <c r="A2" s="1" t="s">
        <v>151</v>
      </c>
      <c r="B2" s="1" t="s">
        <v>4350</v>
      </c>
      <c r="C2" s="1" t="s">
        <v>4351</v>
      </c>
      <c r="D2" s="1" t="s">
        <v>4176</v>
      </c>
      <c r="E2" s="1" t="s">
        <v>54</v>
      </c>
      <c r="F2" s="1" t="s">
        <v>4352</v>
      </c>
      <c r="G2" s="1" t="n">
        <v>4.8</v>
      </c>
    </row>
    <row r="3" customFormat="false" ht="14.25" hidden="false" customHeight="true" outlineLevel="0" collapsed="false">
      <c r="A3" s="1" t="s">
        <v>346</v>
      </c>
      <c r="B3" s="1" t="s">
        <v>4353</v>
      </c>
      <c r="C3" s="1" t="s">
        <v>4354</v>
      </c>
      <c r="D3" s="1" t="s">
        <v>4190</v>
      </c>
      <c r="E3" s="1" t="s">
        <v>125</v>
      </c>
      <c r="F3" s="1" t="s">
        <v>4355</v>
      </c>
      <c r="G3" s="1" t="n">
        <v>4.5</v>
      </c>
    </row>
    <row r="4" customFormat="false" ht="14.25" hidden="false" customHeight="true" outlineLevel="0" collapsed="false">
      <c r="A4" s="1" t="s">
        <v>671</v>
      </c>
      <c r="B4" s="1" t="s">
        <v>4356</v>
      </c>
      <c r="C4" s="1" t="s">
        <v>4357</v>
      </c>
      <c r="D4" s="1" t="s">
        <v>4176</v>
      </c>
      <c r="E4" s="1" t="s">
        <v>140</v>
      </c>
      <c r="F4" s="1" t="s">
        <v>4352</v>
      </c>
      <c r="G4" s="1" t="n">
        <v>3.5</v>
      </c>
    </row>
    <row r="5" customFormat="false" ht="14.25" hidden="false" customHeight="true" outlineLevel="0" collapsed="false">
      <c r="A5" s="1" t="s">
        <v>182</v>
      </c>
      <c r="B5" s="1" t="s">
        <v>4358</v>
      </c>
      <c r="C5" s="1" t="s">
        <v>4351</v>
      </c>
      <c r="D5" s="1" t="s">
        <v>4190</v>
      </c>
      <c r="E5" s="1" t="s">
        <v>140</v>
      </c>
      <c r="F5" s="1" t="s">
        <v>4355</v>
      </c>
      <c r="G5" s="1" t="n">
        <v>3.5</v>
      </c>
    </row>
    <row r="6" customFormat="false" ht="14.25" hidden="false" customHeight="true" outlineLevel="0" collapsed="false">
      <c r="A6" s="1" t="s">
        <v>686</v>
      </c>
      <c r="B6" s="1" t="s">
        <v>4359</v>
      </c>
      <c r="C6" s="1" t="s">
        <v>4351</v>
      </c>
      <c r="D6" s="1" t="s">
        <v>4190</v>
      </c>
      <c r="E6" s="1" t="s">
        <v>125</v>
      </c>
      <c r="F6" s="1" t="s">
        <v>4355</v>
      </c>
      <c r="G6" s="1" t="n">
        <v>3.9</v>
      </c>
    </row>
    <row r="7" customFormat="false" ht="14.25" hidden="false" customHeight="true" outlineLevel="0" collapsed="false">
      <c r="A7" s="1" t="s">
        <v>436</v>
      </c>
      <c r="B7" s="1" t="s">
        <v>4360</v>
      </c>
      <c r="C7" s="1" t="s">
        <v>38</v>
      </c>
      <c r="D7" s="1" t="s">
        <v>4190</v>
      </c>
      <c r="E7" s="1" t="s">
        <v>64</v>
      </c>
      <c r="F7" s="1" t="s">
        <v>4355</v>
      </c>
      <c r="G7" s="1" t="n">
        <v>4</v>
      </c>
    </row>
    <row r="8" customFormat="false" ht="14.25" hidden="false" customHeight="true" outlineLevel="0" collapsed="false">
      <c r="A8" s="1" t="s">
        <v>92</v>
      </c>
      <c r="B8" s="1" t="s">
        <v>4361</v>
      </c>
      <c r="C8" s="1" t="s">
        <v>4362</v>
      </c>
      <c r="D8" s="1" t="s">
        <v>4190</v>
      </c>
      <c r="E8" s="1" t="s">
        <v>102</v>
      </c>
      <c r="F8" s="1" t="s">
        <v>4352</v>
      </c>
      <c r="G8" s="1" t="n">
        <v>4.6</v>
      </c>
    </row>
    <row r="9" customFormat="false" ht="14.25" hidden="false" customHeight="true" outlineLevel="0" collapsed="false">
      <c r="A9" s="1" t="s">
        <v>367</v>
      </c>
      <c r="B9" s="1" t="s">
        <v>4363</v>
      </c>
      <c r="C9" s="1" t="s">
        <v>4351</v>
      </c>
      <c r="D9" s="1" t="s">
        <v>4190</v>
      </c>
      <c r="E9" s="1" t="s">
        <v>125</v>
      </c>
      <c r="F9" s="1" t="s">
        <v>4355</v>
      </c>
      <c r="G9" s="1" t="n">
        <v>3.7</v>
      </c>
    </row>
    <row r="10" customFormat="false" ht="14.25" hidden="false" customHeight="true" outlineLevel="0" collapsed="false">
      <c r="A10" s="1" t="s">
        <v>158</v>
      </c>
      <c r="B10" s="1" t="s">
        <v>4364</v>
      </c>
      <c r="C10" s="1" t="s">
        <v>4365</v>
      </c>
      <c r="D10" s="1" t="s">
        <v>4190</v>
      </c>
      <c r="E10" s="1" t="s">
        <v>102</v>
      </c>
      <c r="F10" s="1" t="s">
        <v>4355</v>
      </c>
      <c r="G10" s="1" t="n">
        <v>4.9</v>
      </c>
    </row>
    <row r="11" customFormat="false" ht="14.25" hidden="false" customHeight="true" outlineLevel="0" collapsed="false">
      <c r="A11" s="1" t="s">
        <v>296</v>
      </c>
      <c r="B11" s="1" t="s">
        <v>4366</v>
      </c>
      <c r="C11" s="1" t="s">
        <v>38</v>
      </c>
      <c r="D11" s="1" t="s">
        <v>4181</v>
      </c>
      <c r="E11" s="1" t="s">
        <v>74</v>
      </c>
      <c r="F11" s="1" t="s">
        <v>4352</v>
      </c>
      <c r="G11" s="1" t="n">
        <v>4.9</v>
      </c>
    </row>
    <row r="12" customFormat="false" ht="14.25" hidden="false" customHeight="true" outlineLevel="0" collapsed="false">
      <c r="A12" s="1" t="s">
        <v>176</v>
      </c>
      <c r="B12" s="1" t="s">
        <v>4367</v>
      </c>
      <c r="C12" s="1" t="s">
        <v>4351</v>
      </c>
      <c r="D12" s="1" t="s">
        <v>4190</v>
      </c>
      <c r="E12" s="1" t="s">
        <v>102</v>
      </c>
      <c r="F12" s="1" t="s">
        <v>4352</v>
      </c>
      <c r="G12" s="1" t="n">
        <v>3.9</v>
      </c>
    </row>
    <row r="13" customFormat="false" ht="14.25" hidden="false" customHeight="true" outlineLevel="0" collapsed="false">
      <c r="A13" s="1" t="s">
        <v>68</v>
      </c>
      <c r="B13" s="1" t="s">
        <v>4368</v>
      </c>
      <c r="C13" s="1" t="s">
        <v>4357</v>
      </c>
      <c r="D13" s="1" t="s">
        <v>4176</v>
      </c>
      <c r="E13" s="1" t="s">
        <v>140</v>
      </c>
      <c r="F13" s="1" t="s">
        <v>4355</v>
      </c>
      <c r="G13" s="1" t="n">
        <v>4.9</v>
      </c>
    </row>
    <row r="14" customFormat="false" ht="14.25" hidden="false" customHeight="true" outlineLevel="0" collapsed="false">
      <c r="A14" s="1" t="s">
        <v>36</v>
      </c>
      <c r="B14" s="1" t="s">
        <v>4369</v>
      </c>
      <c r="C14" s="1" t="s">
        <v>4365</v>
      </c>
      <c r="D14" s="1" t="s">
        <v>4190</v>
      </c>
      <c r="E14" s="1" t="s">
        <v>125</v>
      </c>
      <c r="F14" s="1" t="s">
        <v>4352</v>
      </c>
      <c r="G14" s="1" t="n">
        <v>4.7</v>
      </c>
    </row>
    <row r="15" customFormat="false" ht="14.25" hidden="false" customHeight="true" outlineLevel="0" collapsed="false">
      <c r="A15" s="1" t="s">
        <v>510</v>
      </c>
      <c r="B15" s="1" t="s">
        <v>4370</v>
      </c>
      <c r="C15" s="1" t="s">
        <v>38</v>
      </c>
      <c r="D15" s="1" t="s">
        <v>4190</v>
      </c>
      <c r="E15" s="1" t="s">
        <v>140</v>
      </c>
      <c r="F15" s="1" t="s">
        <v>4352</v>
      </c>
      <c r="G15" s="1" t="n">
        <v>3.6</v>
      </c>
    </row>
    <row r="16" customFormat="false" ht="14.25" hidden="false" customHeight="true" outlineLevel="0" collapsed="false">
      <c r="A16" s="1" t="s">
        <v>244</v>
      </c>
      <c r="B16" s="1" t="s">
        <v>4371</v>
      </c>
      <c r="C16" s="1" t="s">
        <v>38</v>
      </c>
      <c r="D16" s="1" t="s">
        <v>4190</v>
      </c>
      <c r="E16" s="1" t="s">
        <v>125</v>
      </c>
      <c r="F16" s="1" t="s">
        <v>4352</v>
      </c>
      <c r="G16" s="1" t="n">
        <v>3.3</v>
      </c>
    </row>
    <row r="17" customFormat="false" ht="14.25" hidden="false" customHeight="true" outlineLevel="0" collapsed="false">
      <c r="A17" s="1" t="s">
        <v>198</v>
      </c>
      <c r="B17" s="1" t="s">
        <v>4372</v>
      </c>
      <c r="C17" s="1" t="s">
        <v>4357</v>
      </c>
      <c r="D17" s="1" t="s">
        <v>4190</v>
      </c>
      <c r="E17" s="1" t="s">
        <v>64</v>
      </c>
      <c r="F17" s="1" t="s">
        <v>4352</v>
      </c>
      <c r="G17" s="1" t="n">
        <v>4.2</v>
      </c>
    </row>
    <row r="18" customFormat="false" ht="14.25" hidden="false" customHeight="true" outlineLevel="0" collapsed="false">
      <c r="A18" s="1" t="s">
        <v>85</v>
      </c>
      <c r="B18" s="1" t="s">
        <v>4373</v>
      </c>
      <c r="C18" s="1" t="s">
        <v>38</v>
      </c>
      <c r="D18" s="1" t="s">
        <v>4178</v>
      </c>
      <c r="E18" s="1" t="s">
        <v>64</v>
      </c>
      <c r="F18" s="1" t="s">
        <v>4355</v>
      </c>
      <c r="G18" s="1" t="n">
        <v>3.4</v>
      </c>
    </row>
    <row r="19" customFormat="false" ht="14.25" hidden="false" customHeight="true" outlineLevel="0" collapsed="false">
      <c r="A19" s="1" t="s">
        <v>144</v>
      </c>
      <c r="B19" s="1" t="s">
        <v>4374</v>
      </c>
      <c r="C19" s="1" t="s">
        <v>38</v>
      </c>
      <c r="D19" s="1" t="s">
        <v>4188</v>
      </c>
      <c r="E19" s="1" t="s">
        <v>140</v>
      </c>
      <c r="F19" s="1" t="s">
        <v>4355</v>
      </c>
      <c r="G19" s="1" t="n">
        <v>4.2</v>
      </c>
    </row>
    <row r="20" customFormat="false" ht="14.25" hidden="false" customHeight="true" outlineLevel="0" collapsed="false">
      <c r="A20" s="1" t="s">
        <v>376</v>
      </c>
      <c r="B20" s="1" t="s">
        <v>4375</v>
      </c>
      <c r="C20" s="1" t="s">
        <v>38</v>
      </c>
      <c r="D20" s="1" t="s">
        <v>4190</v>
      </c>
      <c r="E20" s="1" t="s">
        <v>125</v>
      </c>
      <c r="F20" s="1" t="s">
        <v>4352</v>
      </c>
      <c r="G20" s="1" t="n">
        <v>4.9</v>
      </c>
    </row>
    <row r="21" customFormat="false" ht="14.25" hidden="false" customHeight="true" outlineLevel="0" collapsed="false">
      <c r="A21" s="1" t="s">
        <v>543</v>
      </c>
      <c r="B21" s="1" t="s">
        <v>4376</v>
      </c>
      <c r="C21" s="1" t="s">
        <v>4362</v>
      </c>
      <c r="D21" s="1" t="s">
        <v>54</v>
      </c>
      <c r="E21" s="1" t="s">
        <v>102</v>
      </c>
      <c r="F21" s="1" t="s">
        <v>4355</v>
      </c>
      <c r="G21" s="1" t="n">
        <v>4.1</v>
      </c>
    </row>
    <row r="22" customFormat="false" ht="14.25" hidden="false" customHeight="true" outlineLevel="0" collapsed="false">
      <c r="A22" s="1" t="s">
        <v>386</v>
      </c>
      <c r="B22" s="1" t="s">
        <v>4377</v>
      </c>
      <c r="C22" s="1" t="s">
        <v>4357</v>
      </c>
      <c r="D22" s="1" t="s">
        <v>4181</v>
      </c>
      <c r="E22" s="1" t="s">
        <v>64</v>
      </c>
      <c r="F22" s="1" t="s">
        <v>4355</v>
      </c>
      <c r="G22" s="1" t="n">
        <v>4</v>
      </c>
    </row>
    <row r="23" customFormat="false" ht="14.25" hidden="false" customHeight="true" outlineLevel="0" collapsed="false">
      <c r="A23" s="1" t="s">
        <v>215</v>
      </c>
      <c r="B23" s="1" t="s">
        <v>4378</v>
      </c>
      <c r="C23" s="1" t="s">
        <v>4379</v>
      </c>
      <c r="D23" s="1" t="s">
        <v>4181</v>
      </c>
      <c r="E23" s="1" t="s">
        <v>64</v>
      </c>
      <c r="F23" s="1" t="s">
        <v>4355</v>
      </c>
      <c r="G23" s="1" t="n">
        <v>3.8</v>
      </c>
    </row>
    <row r="24" customFormat="false" ht="14.25" hidden="false" customHeight="true" outlineLevel="0" collapsed="false">
      <c r="A24" s="1" t="s">
        <v>356</v>
      </c>
      <c r="B24" s="1" t="s">
        <v>4380</v>
      </c>
      <c r="C24" s="1" t="s">
        <v>4362</v>
      </c>
      <c r="D24" s="1" t="s">
        <v>4188</v>
      </c>
      <c r="E24" s="1" t="s">
        <v>43</v>
      </c>
      <c r="F24" s="1" t="s">
        <v>4355</v>
      </c>
      <c r="G24" s="1" t="n">
        <v>3.4</v>
      </c>
    </row>
    <row r="25" customFormat="false" ht="14.25" hidden="false" customHeight="true" outlineLevel="0" collapsed="false">
      <c r="A25" s="1" t="s">
        <v>58</v>
      </c>
      <c r="B25" s="1" t="s">
        <v>4381</v>
      </c>
      <c r="C25" s="1" t="s">
        <v>4351</v>
      </c>
      <c r="D25" s="1" t="s">
        <v>4188</v>
      </c>
      <c r="E25" s="1" t="s">
        <v>102</v>
      </c>
      <c r="F25" s="1" t="s">
        <v>4352</v>
      </c>
      <c r="G25" s="1" t="n">
        <v>4.6</v>
      </c>
    </row>
    <row r="26" customFormat="false" ht="14.25" hidden="false" customHeight="true" outlineLevel="0" collapsed="false">
      <c r="A26" s="1" t="s">
        <v>335</v>
      </c>
      <c r="B26" s="1" t="s">
        <v>4382</v>
      </c>
      <c r="C26" s="1" t="s">
        <v>4351</v>
      </c>
      <c r="D26" s="1" t="s">
        <v>4190</v>
      </c>
      <c r="E26" s="1" t="s">
        <v>54</v>
      </c>
      <c r="F26" s="1" t="s">
        <v>4352</v>
      </c>
      <c r="G26" s="1" t="n">
        <v>4.5</v>
      </c>
    </row>
    <row r="27" customFormat="false" ht="14.25" hidden="false" customHeight="true" outlineLevel="0" collapsed="false">
      <c r="A27" s="1" t="s">
        <v>106</v>
      </c>
      <c r="B27" s="1" t="s">
        <v>4383</v>
      </c>
      <c r="C27" s="1" t="s">
        <v>4362</v>
      </c>
      <c r="D27" s="1" t="s">
        <v>4188</v>
      </c>
      <c r="E27" s="1" t="s">
        <v>54</v>
      </c>
      <c r="F27" s="1" t="s">
        <v>4355</v>
      </c>
      <c r="G27" s="1" t="n">
        <v>3.2</v>
      </c>
    </row>
    <row r="28" customFormat="false" ht="14.25" hidden="false" customHeight="true" outlineLevel="0" collapsed="false">
      <c r="A28" s="1" t="s">
        <v>136</v>
      </c>
      <c r="B28" s="1" t="s">
        <v>4384</v>
      </c>
      <c r="C28" s="1" t="s">
        <v>4362</v>
      </c>
      <c r="D28" s="1" t="s">
        <v>4181</v>
      </c>
      <c r="E28" s="1" t="s">
        <v>125</v>
      </c>
      <c r="F28" s="1" t="s">
        <v>4355</v>
      </c>
      <c r="G28" s="1" t="n">
        <v>4.9</v>
      </c>
    </row>
    <row r="29" customFormat="false" ht="14.25" hidden="false" customHeight="true" outlineLevel="0" collapsed="false">
      <c r="A29" s="1" t="s">
        <v>279</v>
      </c>
      <c r="B29" s="1" t="s">
        <v>4385</v>
      </c>
      <c r="C29" s="1" t="s">
        <v>4357</v>
      </c>
      <c r="D29" s="1" t="s">
        <v>4203</v>
      </c>
      <c r="E29" s="1" t="s">
        <v>64</v>
      </c>
      <c r="F29" s="1" t="s">
        <v>4355</v>
      </c>
      <c r="G29" s="1" t="n">
        <v>3.8</v>
      </c>
    </row>
    <row r="30" customFormat="false" ht="14.25" hidden="false" customHeight="true" outlineLevel="0" collapsed="false">
      <c r="A30" s="1" t="s">
        <v>300</v>
      </c>
      <c r="B30" s="1" t="s">
        <v>4386</v>
      </c>
      <c r="C30" s="1" t="s">
        <v>4365</v>
      </c>
      <c r="D30" s="1" t="s">
        <v>4178</v>
      </c>
      <c r="E30" s="1" t="s">
        <v>43</v>
      </c>
      <c r="F30" s="1" t="s">
        <v>4355</v>
      </c>
      <c r="G30" s="1" t="n">
        <v>3.5</v>
      </c>
    </row>
    <row r="31" customFormat="false" ht="14.25" hidden="false" customHeight="true" outlineLevel="0" collapsed="false">
      <c r="A31" s="1" t="s">
        <v>413</v>
      </c>
      <c r="B31" s="1" t="s">
        <v>4387</v>
      </c>
      <c r="C31" s="1" t="s">
        <v>4354</v>
      </c>
      <c r="D31" s="1" t="s">
        <v>54</v>
      </c>
      <c r="E31" s="1" t="s">
        <v>74</v>
      </c>
      <c r="F31" s="1" t="s">
        <v>4355</v>
      </c>
      <c r="G31" s="1" t="n">
        <v>4</v>
      </c>
    </row>
    <row r="32" customFormat="false" ht="14.25" hidden="false" customHeight="true" outlineLevel="0" collapsed="false">
      <c r="A32" s="1" t="s">
        <v>129</v>
      </c>
      <c r="B32" s="1" t="s">
        <v>4388</v>
      </c>
      <c r="C32" s="1" t="s">
        <v>4362</v>
      </c>
      <c r="D32" s="1" t="s">
        <v>4181</v>
      </c>
      <c r="E32" s="1" t="s">
        <v>140</v>
      </c>
      <c r="F32" s="1" t="s">
        <v>4355</v>
      </c>
      <c r="G32" s="1" t="n">
        <v>3.7</v>
      </c>
    </row>
    <row r="33" customFormat="false" ht="14.25" hidden="false" customHeight="true" outlineLevel="0" collapsed="false">
      <c r="A33" s="1" t="s">
        <v>900</v>
      </c>
      <c r="B33" s="1" t="s">
        <v>4389</v>
      </c>
      <c r="C33" s="1" t="s">
        <v>4357</v>
      </c>
      <c r="D33" s="1" t="s">
        <v>54</v>
      </c>
      <c r="E33" s="1" t="s">
        <v>125</v>
      </c>
      <c r="F33" s="1" t="s">
        <v>4355</v>
      </c>
      <c r="G33" s="1" t="n">
        <v>3.9</v>
      </c>
    </row>
    <row r="34" customFormat="false" ht="14.25" hidden="false" customHeight="true" outlineLevel="0" collapsed="false">
      <c r="A34" s="1" t="s">
        <v>115</v>
      </c>
      <c r="B34" s="1" t="s">
        <v>4390</v>
      </c>
      <c r="C34" s="1" t="s">
        <v>4362</v>
      </c>
      <c r="D34" s="1" t="s">
        <v>4188</v>
      </c>
      <c r="E34" s="1" t="s">
        <v>74</v>
      </c>
      <c r="F34" s="1" t="s">
        <v>4352</v>
      </c>
      <c r="G34" s="1" t="n">
        <v>4.1</v>
      </c>
    </row>
    <row r="35" customFormat="false" ht="14.25" hidden="false" customHeight="true" outlineLevel="0" collapsed="false">
      <c r="A35" s="1" t="s">
        <v>233</v>
      </c>
      <c r="B35" s="1" t="s">
        <v>4391</v>
      </c>
      <c r="C35" s="1" t="s">
        <v>4357</v>
      </c>
      <c r="D35" s="1" t="s">
        <v>4190</v>
      </c>
      <c r="E35" s="1" t="s">
        <v>64</v>
      </c>
      <c r="F35" s="1" t="s">
        <v>4352</v>
      </c>
      <c r="G35" s="1" t="n">
        <v>4.3</v>
      </c>
    </row>
    <row r="36" customFormat="false" ht="14.25" hidden="false" customHeight="true" outlineLevel="0" collapsed="false">
      <c r="A36" s="1" t="s">
        <v>325</v>
      </c>
      <c r="B36" s="1" t="s">
        <v>4392</v>
      </c>
      <c r="C36" s="1" t="s">
        <v>4379</v>
      </c>
      <c r="D36" s="1" t="s">
        <v>4190</v>
      </c>
      <c r="E36" s="1" t="s">
        <v>64</v>
      </c>
      <c r="F36" s="1" t="s">
        <v>4355</v>
      </c>
      <c r="G36" s="1" t="n">
        <v>4.7</v>
      </c>
    </row>
    <row r="37" customFormat="false" ht="14.25" hidden="false" customHeight="true" outlineLevel="0" collapsed="false">
      <c r="A37" s="1" t="s">
        <v>468</v>
      </c>
      <c r="B37" s="1" t="s">
        <v>4393</v>
      </c>
      <c r="C37" s="1" t="s">
        <v>4357</v>
      </c>
      <c r="D37" s="1" t="s">
        <v>4176</v>
      </c>
      <c r="E37" s="1" t="s">
        <v>54</v>
      </c>
      <c r="F37" s="1" t="s">
        <v>4355</v>
      </c>
      <c r="G37" s="1" t="n">
        <v>3.8</v>
      </c>
    </row>
    <row r="38" customFormat="false" ht="14.25" hidden="false" customHeight="true" outlineLevel="0" collapsed="false">
      <c r="A38" s="1" t="s">
        <v>459</v>
      </c>
      <c r="B38" s="1" t="s">
        <v>4394</v>
      </c>
      <c r="C38" s="1" t="s">
        <v>4362</v>
      </c>
      <c r="D38" s="1" t="s">
        <v>4203</v>
      </c>
      <c r="E38" s="1" t="s">
        <v>102</v>
      </c>
      <c r="F38" s="1" t="s">
        <v>4355</v>
      </c>
      <c r="G38" s="1" t="n">
        <v>4.1</v>
      </c>
    </row>
    <row r="39" customFormat="false" ht="14.25" hidden="false" customHeight="true" outlineLevel="0" collapsed="false">
      <c r="A39" s="1" t="s">
        <v>430</v>
      </c>
      <c r="B39" s="1" t="s">
        <v>4395</v>
      </c>
      <c r="C39" s="1" t="s">
        <v>4365</v>
      </c>
      <c r="D39" s="1" t="s">
        <v>4176</v>
      </c>
      <c r="E39" s="1" t="s">
        <v>43</v>
      </c>
      <c r="F39" s="1" t="s">
        <v>4352</v>
      </c>
      <c r="G39" s="1" t="n">
        <v>3.5</v>
      </c>
    </row>
    <row r="40" customFormat="false" ht="14.25" hidden="false" customHeight="true" outlineLevel="0" collapsed="false">
      <c r="A40" s="1" t="s">
        <v>446</v>
      </c>
      <c r="B40" s="1" t="s">
        <v>4396</v>
      </c>
      <c r="C40" s="1" t="s">
        <v>38</v>
      </c>
      <c r="D40" s="1" t="s">
        <v>4181</v>
      </c>
      <c r="E40" s="1" t="s">
        <v>140</v>
      </c>
      <c r="F40" s="1" t="s">
        <v>4355</v>
      </c>
      <c r="G40" s="1" t="n">
        <v>4.1</v>
      </c>
    </row>
    <row r="41" customFormat="false" ht="14.25" hidden="false" customHeight="true" outlineLevel="0" collapsed="false">
      <c r="A41" s="1" t="s">
        <v>516</v>
      </c>
      <c r="B41" s="1" t="s">
        <v>4397</v>
      </c>
      <c r="C41" s="1" t="s">
        <v>4351</v>
      </c>
      <c r="D41" s="1" t="s">
        <v>4178</v>
      </c>
      <c r="E41" s="1" t="s">
        <v>43</v>
      </c>
      <c r="F41" s="1" t="s">
        <v>4355</v>
      </c>
      <c r="G41" s="1" t="n">
        <v>4.8</v>
      </c>
    </row>
    <row r="42" customFormat="false" ht="14.25" hidden="false" customHeight="true" outlineLevel="0" collapsed="false">
      <c r="A42" s="1" t="s">
        <v>286</v>
      </c>
      <c r="B42" s="1" t="s">
        <v>4398</v>
      </c>
      <c r="C42" s="1" t="s">
        <v>4365</v>
      </c>
      <c r="D42" s="1" t="s">
        <v>4203</v>
      </c>
      <c r="E42" s="1" t="s">
        <v>125</v>
      </c>
      <c r="F42" s="1" t="s">
        <v>4352</v>
      </c>
      <c r="G42" s="1" t="n">
        <v>4.9</v>
      </c>
    </row>
    <row r="43" customFormat="false" ht="14.25" hidden="false" customHeight="true" outlineLevel="0" collapsed="false">
      <c r="A43" s="1" t="s">
        <v>78</v>
      </c>
      <c r="B43" s="1" t="s">
        <v>4399</v>
      </c>
      <c r="C43" s="1" t="s">
        <v>4354</v>
      </c>
      <c r="D43" s="1" t="s">
        <v>4190</v>
      </c>
      <c r="E43" s="1" t="s">
        <v>74</v>
      </c>
      <c r="F43" s="1" t="s">
        <v>4352</v>
      </c>
      <c r="G43" s="1" t="n">
        <v>3.9</v>
      </c>
    </row>
    <row r="44" customFormat="false" ht="14.25" hidden="false" customHeight="true" outlineLevel="0" collapsed="false">
      <c r="A44" s="1" t="s">
        <v>188</v>
      </c>
      <c r="B44" s="1" t="s">
        <v>4400</v>
      </c>
      <c r="C44" s="1" t="s">
        <v>4354</v>
      </c>
      <c r="D44" s="1" t="s">
        <v>4203</v>
      </c>
      <c r="E44" s="1" t="s">
        <v>54</v>
      </c>
      <c r="F44" s="1" t="s">
        <v>4355</v>
      </c>
      <c r="G44" s="1" t="n">
        <v>4.6</v>
      </c>
    </row>
    <row r="45" customFormat="false" ht="14.25" hidden="false" customHeight="true" outlineLevel="0" collapsed="false">
      <c r="A45" s="1" t="s">
        <v>164</v>
      </c>
      <c r="B45" s="1" t="s">
        <v>4401</v>
      </c>
      <c r="C45" s="1" t="s">
        <v>4362</v>
      </c>
      <c r="D45" s="1" t="s">
        <v>4188</v>
      </c>
      <c r="E45" s="1" t="s">
        <v>140</v>
      </c>
      <c r="F45" s="1" t="s">
        <v>4352</v>
      </c>
      <c r="G45" s="1" t="n">
        <v>3.5</v>
      </c>
    </row>
    <row r="46" customFormat="false" ht="14.25" hidden="false" customHeight="true" outlineLevel="0" collapsed="false">
      <c r="A46" s="1" t="s">
        <v>221</v>
      </c>
      <c r="B46" s="1" t="s">
        <v>4402</v>
      </c>
      <c r="C46" s="1" t="s">
        <v>38</v>
      </c>
      <c r="D46" s="1" t="s">
        <v>4178</v>
      </c>
      <c r="E46" s="1" t="s">
        <v>125</v>
      </c>
      <c r="F46" s="1" t="s">
        <v>4352</v>
      </c>
      <c r="G46" s="1" t="n">
        <v>4.2</v>
      </c>
    </row>
    <row r="47" customFormat="false" ht="14.25" hidden="false" customHeight="true" outlineLevel="0" collapsed="false">
      <c r="A47" s="1" t="s">
        <v>47</v>
      </c>
      <c r="B47" s="1" t="s">
        <v>4403</v>
      </c>
      <c r="C47" s="1" t="s">
        <v>4362</v>
      </c>
      <c r="D47" s="1" t="s">
        <v>4188</v>
      </c>
      <c r="E47" s="1" t="s">
        <v>125</v>
      </c>
      <c r="F47" s="1" t="s">
        <v>4352</v>
      </c>
      <c r="G47" s="1" t="n">
        <v>4.2</v>
      </c>
    </row>
    <row r="48" customFormat="false" ht="14.25" hidden="false" customHeight="true" outlineLevel="0" collapsed="false">
      <c r="A48" s="1" t="s">
        <v>623</v>
      </c>
      <c r="B48" s="1" t="s">
        <v>4404</v>
      </c>
      <c r="C48" s="1" t="s">
        <v>4379</v>
      </c>
      <c r="D48" s="1" t="s">
        <v>4181</v>
      </c>
      <c r="E48" s="1" t="s">
        <v>43</v>
      </c>
      <c r="F48" s="1" t="s">
        <v>4355</v>
      </c>
      <c r="G48" s="1" t="n">
        <v>5</v>
      </c>
    </row>
    <row r="49" customFormat="false" ht="14.25" hidden="false" customHeight="true" outlineLevel="0" collapsed="false">
      <c r="A49" s="1" t="s">
        <v>361</v>
      </c>
      <c r="B49" s="1" t="s">
        <v>4405</v>
      </c>
      <c r="C49" s="1" t="s">
        <v>4379</v>
      </c>
      <c r="D49" s="1" t="s">
        <v>4181</v>
      </c>
      <c r="E49" s="1" t="s">
        <v>125</v>
      </c>
      <c r="F49" s="1" t="s">
        <v>4355</v>
      </c>
      <c r="G49" s="1" t="n">
        <v>3.7</v>
      </c>
    </row>
    <row r="50" customFormat="false" ht="14.25" hidden="false" customHeight="true" outlineLevel="0" collapsed="false">
      <c r="A50" s="1" t="s">
        <v>273</v>
      </c>
      <c r="B50" s="1" t="s">
        <v>4406</v>
      </c>
      <c r="C50" s="1" t="s">
        <v>4351</v>
      </c>
      <c r="D50" s="1" t="s">
        <v>4188</v>
      </c>
      <c r="E50" s="1" t="s">
        <v>125</v>
      </c>
      <c r="F50" s="1" t="s">
        <v>4355</v>
      </c>
      <c r="G50" s="1" t="n">
        <v>4</v>
      </c>
    </row>
    <row r="51" customFormat="false" ht="14.25" hidden="false" customHeight="true" outlineLevel="0" collapsed="false">
      <c r="A51" s="1" t="s">
        <v>310</v>
      </c>
      <c r="B51" s="1" t="s">
        <v>4407</v>
      </c>
      <c r="C51" s="1" t="s">
        <v>4365</v>
      </c>
      <c r="D51" s="1" t="s">
        <v>4178</v>
      </c>
      <c r="E51" s="1" t="s">
        <v>74</v>
      </c>
      <c r="F51" s="1" t="s">
        <v>4352</v>
      </c>
      <c r="G51" s="1" t="n">
        <v>4.7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4" activeCellId="0" sqref="A4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6.56"/>
    <col collapsed="false" customWidth="true" hidden="false" outlineLevel="0" max="2" min="2" style="1" width="19.88"/>
    <col collapsed="false" customWidth="true" hidden="false" outlineLevel="0" max="3" min="3" style="1" width="16.44"/>
    <col collapsed="false" customWidth="true" hidden="false" outlineLevel="0" max="4" min="4" style="1" width="10.11"/>
    <col collapsed="false" customWidth="true" hidden="false" outlineLevel="0" max="5" min="5" style="1" width="13"/>
    <col collapsed="false" customWidth="true" hidden="false" outlineLevel="0" max="6" min="6" style="1" width="9.33"/>
    <col collapsed="false" customWidth="true" hidden="false" outlineLevel="0" max="7" min="7" style="1" width="12.67"/>
    <col collapsed="false" customWidth="true" hidden="false" outlineLevel="0" max="8" min="8" style="1" width="16.22"/>
  </cols>
  <sheetData>
    <row r="1" customFormat="false" ht="14.25" hidden="false" customHeight="true" outlineLevel="0" collapsed="false">
      <c r="A1" s="4" t="s">
        <v>16</v>
      </c>
      <c r="B1" s="4" t="s">
        <v>4408</v>
      </c>
      <c r="C1" s="4" t="s">
        <v>4409</v>
      </c>
      <c r="D1" s="4" t="s">
        <v>4410</v>
      </c>
      <c r="E1" s="4" t="s">
        <v>4411</v>
      </c>
      <c r="F1" s="4" t="s">
        <v>4412</v>
      </c>
      <c r="G1" s="4" t="s">
        <v>4413</v>
      </c>
      <c r="H1" s="4" t="s">
        <v>4414</v>
      </c>
    </row>
    <row r="2" customFormat="false" ht="14.25" hidden="false" customHeight="true" outlineLevel="0" collapsed="false">
      <c r="A2" s="1" t="s">
        <v>93</v>
      </c>
      <c r="B2" s="1" t="s">
        <v>4415</v>
      </c>
      <c r="C2" s="1" t="s">
        <v>4416</v>
      </c>
      <c r="D2" s="1" t="s">
        <v>4417</v>
      </c>
      <c r="E2" s="1" t="s">
        <v>4418</v>
      </c>
      <c r="F2" s="1" t="s">
        <v>4419</v>
      </c>
      <c r="G2" s="1" t="s">
        <v>4203</v>
      </c>
      <c r="H2" s="6" t="n">
        <v>45729</v>
      </c>
    </row>
    <row r="3" customFormat="false" ht="14.25" hidden="false" customHeight="true" outlineLevel="0" collapsed="false">
      <c r="A3" s="1" t="s">
        <v>305</v>
      </c>
      <c r="B3" s="1" t="s">
        <v>4342</v>
      </c>
      <c r="C3" s="1" t="s">
        <v>4420</v>
      </c>
      <c r="D3" s="1" t="s">
        <v>4417</v>
      </c>
      <c r="E3" s="1" t="s">
        <v>4421</v>
      </c>
      <c r="F3" s="1" t="s">
        <v>4422</v>
      </c>
      <c r="G3" s="1" t="s">
        <v>4190</v>
      </c>
      <c r="H3" s="6" t="n">
        <v>45154</v>
      </c>
    </row>
    <row r="4" customFormat="false" ht="14.25" hidden="false" customHeight="true" outlineLevel="0" collapsed="false">
      <c r="A4" s="1" t="s">
        <v>705</v>
      </c>
      <c r="B4" s="1" t="s">
        <v>4254</v>
      </c>
      <c r="C4" s="1" t="s">
        <v>4423</v>
      </c>
      <c r="D4" s="1" t="s">
        <v>4424</v>
      </c>
      <c r="E4" s="1" t="s">
        <v>4418</v>
      </c>
      <c r="F4" s="1" t="s">
        <v>4425</v>
      </c>
      <c r="G4" s="1" t="s">
        <v>4203</v>
      </c>
      <c r="H4" s="6" t="n">
        <v>45129</v>
      </c>
    </row>
    <row r="5" customFormat="false" ht="14.25" hidden="false" customHeight="true" outlineLevel="0" collapsed="false">
      <c r="A5" s="1" t="s">
        <v>1166</v>
      </c>
      <c r="B5" s="1" t="s">
        <v>4426</v>
      </c>
      <c r="C5" s="1" t="s">
        <v>4416</v>
      </c>
      <c r="D5" s="1" t="s">
        <v>4417</v>
      </c>
      <c r="E5" s="1" t="s">
        <v>4421</v>
      </c>
      <c r="F5" s="1" t="s">
        <v>4419</v>
      </c>
      <c r="G5" s="1" t="s">
        <v>4176</v>
      </c>
      <c r="H5" s="6" t="n">
        <v>45564</v>
      </c>
    </row>
    <row r="6" customFormat="false" ht="14.25" hidden="false" customHeight="true" outlineLevel="0" collapsed="false">
      <c r="A6" s="1" t="s">
        <v>152</v>
      </c>
      <c r="B6" s="1" t="s">
        <v>4256</v>
      </c>
      <c r="C6" s="1" t="s">
        <v>4427</v>
      </c>
      <c r="D6" s="1" t="s">
        <v>4428</v>
      </c>
      <c r="E6" s="1" t="s">
        <v>4429</v>
      </c>
      <c r="F6" s="1" t="s">
        <v>4425</v>
      </c>
      <c r="G6" s="1" t="s">
        <v>4176</v>
      </c>
      <c r="H6" s="6" t="n">
        <v>44716</v>
      </c>
    </row>
    <row r="7" customFormat="false" ht="14.25" hidden="false" customHeight="true" outlineLevel="0" collapsed="false">
      <c r="A7" s="1" t="s">
        <v>368</v>
      </c>
      <c r="B7" s="1" t="s">
        <v>4212</v>
      </c>
      <c r="C7" s="1" t="s">
        <v>4423</v>
      </c>
      <c r="D7" s="1" t="s">
        <v>4428</v>
      </c>
      <c r="E7" s="1" t="s">
        <v>4421</v>
      </c>
      <c r="F7" s="1" t="s">
        <v>4425</v>
      </c>
      <c r="G7" s="1" t="s">
        <v>4176</v>
      </c>
      <c r="H7" s="6" t="n">
        <v>45232</v>
      </c>
    </row>
    <row r="8" customFormat="false" ht="14.25" hidden="false" customHeight="true" outlineLevel="0" collapsed="false">
      <c r="A8" s="1" t="s">
        <v>130</v>
      </c>
      <c r="B8" s="1" t="s">
        <v>4240</v>
      </c>
      <c r="C8" s="1" t="s">
        <v>4427</v>
      </c>
      <c r="D8" s="1" t="s">
        <v>4424</v>
      </c>
      <c r="E8" s="1" t="s">
        <v>4429</v>
      </c>
      <c r="F8" s="1" t="s">
        <v>4422</v>
      </c>
      <c r="G8" s="1" t="s">
        <v>4190</v>
      </c>
      <c r="H8" s="6" t="n">
        <v>44691</v>
      </c>
    </row>
    <row r="9" customFormat="false" ht="14.25" hidden="false" customHeight="true" outlineLevel="0" collapsed="false">
      <c r="A9" s="1" t="s">
        <v>937</v>
      </c>
      <c r="B9" s="1" t="s">
        <v>4430</v>
      </c>
      <c r="C9" s="1" t="s">
        <v>4416</v>
      </c>
      <c r="D9" s="1" t="s">
        <v>4431</v>
      </c>
      <c r="E9" s="1" t="s">
        <v>4418</v>
      </c>
      <c r="F9" s="1" t="s">
        <v>4425</v>
      </c>
      <c r="G9" s="1" t="s">
        <v>4190</v>
      </c>
      <c r="H9" s="6" t="n">
        <v>45223</v>
      </c>
    </row>
    <row r="10" customFormat="false" ht="14.25" hidden="false" customHeight="true" outlineLevel="0" collapsed="false">
      <c r="A10" s="1" t="s">
        <v>727</v>
      </c>
      <c r="B10" s="1" t="s">
        <v>4297</v>
      </c>
      <c r="C10" s="1" t="s">
        <v>4423</v>
      </c>
      <c r="D10" s="1" t="s">
        <v>4417</v>
      </c>
      <c r="E10" s="1" t="s">
        <v>4429</v>
      </c>
      <c r="F10" s="1" t="s">
        <v>4425</v>
      </c>
      <c r="G10" s="1" t="s">
        <v>4203</v>
      </c>
      <c r="H10" s="6" t="n">
        <v>44656</v>
      </c>
    </row>
    <row r="11" customFormat="false" ht="14.25" hidden="false" customHeight="true" outlineLevel="0" collapsed="false">
      <c r="A11" s="1" t="s">
        <v>876</v>
      </c>
      <c r="B11" s="1" t="s">
        <v>4262</v>
      </c>
      <c r="C11" s="1" t="s">
        <v>4432</v>
      </c>
      <c r="D11" s="1" t="s">
        <v>4424</v>
      </c>
      <c r="E11" s="1" t="s">
        <v>4418</v>
      </c>
      <c r="F11" s="1" t="s">
        <v>4425</v>
      </c>
      <c r="G11" s="1" t="s">
        <v>4176</v>
      </c>
      <c r="H11" s="6" t="n">
        <v>44563</v>
      </c>
    </row>
    <row r="12" customFormat="false" ht="14.25" hidden="false" customHeight="true" outlineLevel="0" collapsed="false">
      <c r="A12" s="1" t="s">
        <v>890</v>
      </c>
      <c r="B12" s="1" t="s">
        <v>4235</v>
      </c>
      <c r="C12" s="1" t="s">
        <v>4427</v>
      </c>
      <c r="D12" s="1" t="s">
        <v>4417</v>
      </c>
      <c r="E12" s="1" t="s">
        <v>4421</v>
      </c>
      <c r="F12" s="1" t="s">
        <v>4419</v>
      </c>
      <c r="G12" s="1" t="s">
        <v>4190</v>
      </c>
      <c r="H12" s="6" t="n">
        <v>44753</v>
      </c>
    </row>
    <row r="13" customFormat="false" ht="14.25" hidden="false" customHeight="true" outlineLevel="0" collapsed="false">
      <c r="A13" s="1" t="s">
        <v>122</v>
      </c>
      <c r="B13" s="1" t="s">
        <v>4281</v>
      </c>
      <c r="C13" s="1" t="s">
        <v>4432</v>
      </c>
      <c r="D13" s="1" t="s">
        <v>4428</v>
      </c>
      <c r="E13" s="1" t="s">
        <v>4418</v>
      </c>
      <c r="F13" s="1" t="s">
        <v>4419</v>
      </c>
      <c r="G13" s="1" t="s">
        <v>4176</v>
      </c>
      <c r="H13" s="6" t="n">
        <v>45187</v>
      </c>
    </row>
    <row r="14" customFormat="false" ht="14.25" hidden="false" customHeight="true" outlineLevel="0" collapsed="false">
      <c r="A14" s="1" t="s">
        <v>189</v>
      </c>
      <c r="B14" s="1" t="s">
        <v>4290</v>
      </c>
      <c r="C14" s="1" t="s">
        <v>4427</v>
      </c>
      <c r="D14" s="1" t="s">
        <v>4424</v>
      </c>
      <c r="E14" s="1" t="s">
        <v>4433</v>
      </c>
      <c r="F14" s="1" t="s">
        <v>4419</v>
      </c>
      <c r="G14" s="1" t="s">
        <v>4178</v>
      </c>
      <c r="H14" s="6" t="n">
        <v>45538</v>
      </c>
    </row>
    <row r="15" customFormat="false" ht="14.25" hidden="false" customHeight="true" outlineLevel="0" collapsed="false">
      <c r="A15" s="1" t="s">
        <v>159</v>
      </c>
      <c r="B15" s="1" t="s">
        <v>4258</v>
      </c>
      <c r="C15" s="1" t="s">
        <v>4423</v>
      </c>
      <c r="D15" s="1" t="s">
        <v>4417</v>
      </c>
      <c r="E15" s="1" t="s">
        <v>4429</v>
      </c>
      <c r="F15" s="1" t="s">
        <v>4419</v>
      </c>
      <c r="G15" s="1" t="s">
        <v>4203</v>
      </c>
      <c r="H15" s="6" t="n">
        <v>45265</v>
      </c>
    </row>
    <row r="16" customFormat="false" ht="14.25" hidden="false" customHeight="true" outlineLevel="0" collapsed="false">
      <c r="A16" s="1" t="s">
        <v>501</v>
      </c>
      <c r="B16" s="1" t="s">
        <v>4183</v>
      </c>
      <c r="C16" s="1" t="s">
        <v>4427</v>
      </c>
      <c r="D16" s="1" t="s">
        <v>4417</v>
      </c>
      <c r="E16" s="1" t="s">
        <v>4429</v>
      </c>
      <c r="F16" s="1" t="s">
        <v>4419</v>
      </c>
      <c r="G16" s="1" t="s">
        <v>4178</v>
      </c>
      <c r="H16" s="6" t="n">
        <v>45346</v>
      </c>
    </row>
    <row r="17" customFormat="false" ht="14.25" hidden="false" customHeight="true" outlineLevel="0" collapsed="false">
      <c r="A17" s="1" t="s">
        <v>177</v>
      </c>
      <c r="B17" s="1" t="s">
        <v>4319</v>
      </c>
      <c r="C17" s="1" t="s">
        <v>4432</v>
      </c>
      <c r="D17" s="1" t="s">
        <v>4428</v>
      </c>
      <c r="E17" s="1" t="s">
        <v>4421</v>
      </c>
      <c r="F17" s="1" t="s">
        <v>4425</v>
      </c>
      <c r="G17" s="1" t="s">
        <v>4178</v>
      </c>
      <c r="H17" s="6" t="n">
        <v>45345</v>
      </c>
    </row>
    <row r="18" customFormat="false" ht="14.25" hidden="false" customHeight="true" outlineLevel="0" collapsed="false">
      <c r="A18" s="1" t="s">
        <v>984</v>
      </c>
      <c r="B18" s="1" t="s">
        <v>4426</v>
      </c>
      <c r="C18" s="1" t="s">
        <v>4432</v>
      </c>
      <c r="D18" s="1" t="s">
        <v>4424</v>
      </c>
      <c r="E18" s="1" t="s">
        <v>4418</v>
      </c>
      <c r="F18" s="1" t="s">
        <v>4425</v>
      </c>
      <c r="G18" s="1" t="s">
        <v>4190</v>
      </c>
      <c r="H18" s="6" t="n">
        <v>44998</v>
      </c>
    </row>
    <row r="19" customFormat="false" ht="14.25" hidden="false" customHeight="true" outlineLevel="0" collapsed="false">
      <c r="A19" s="1" t="s">
        <v>165</v>
      </c>
      <c r="B19" s="1" t="s">
        <v>4247</v>
      </c>
      <c r="C19" s="1" t="s">
        <v>4423</v>
      </c>
      <c r="D19" s="1" t="s">
        <v>4431</v>
      </c>
      <c r="E19" s="1" t="s">
        <v>4418</v>
      </c>
      <c r="F19" s="1" t="s">
        <v>4419</v>
      </c>
      <c r="G19" s="1" t="s">
        <v>4203</v>
      </c>
      <c r="H19" s="6" t="n">
        <v>44848</v>
      </c>
    </row>
    <row r="20" customFormat="false" ht="14.25" hidden="false" customHeight="true" outlineLevel="0" collapsed="false">
      <c r="A20" s="1" t="s">
        <v>476</v>
      </c>
      <c r="B20" s="1" t="s">
        <v>4330</v>
      </c>
      <c r="C20" s="1" t="s">
        <v>4427</v>
      </c>
      <c r="D20" s="1" t="s">
        <v>4431</v>
      </c>
      <c r="E20" s="1" t="s">
        <v>4421</v>
      </c>
      <c r="F20" s="1" t="s">
        <v>4425</v>
      </c>
      <c r="G20" s="1" t="s">
        <v>4190</v>
      </c>
      <c r="H20" s="6" t="n">
        <v>44848</v>
      </c>
    </row>
    <row r="21" customFormat="false" ht="14.25" hidden="false" customHeight="true" outlineLevel="0" collapsed="false">
      <c r="A21" s="1" t="s">
        <v>99</v>
      </c>
      <c r="B21" s="1" t="s">
        <v>4260</v>
      </c>
      <c r="C21" s="1" t="s">
        <v>4427</v>
      </c>
      <c r="D21" s="1" t="s">
        <v>4424</v>
      </c>
      <c r="E21" s="1" t="s">
        <v>4418</v>
      </c>
      <c r="F21" s="1" t="s">
        <v>4422</v>
      </c>
      <c r="G21" s="1" t="s">
        <v>4190</v>
      </c>
      <c r="H21" s="6" t="n">
        <v>44616</v>
      </c>
    </row>
    <row r="22" customFormat="false" ht="14.25" hidden="false" customHeight="true" outlineLevel="0" collapsed="false">
      <c r="A22" s="1" t="s">
        <v>431</v>
      </c>
      <c r="B22" s="1" t="s">
        <v>4224</v>
      </c>
      <c r="C22" s="1" t="s">
        <v>4423</v>
      </c>
      <c r="D22" s="1" t="s">
        <v>4417</v>
      </c>
      <c r="E22" s="1" t="s">
        <v>4429</v>
      </c>
      <c r="F22" s="1" t="s">
        <v>4425</v>
      </c>
      <c r="G22" s="1" t="s">
        <v>4203</v>
      </c>
      <c r="H22" s="6" t="n">
        <v>45052</v>
      </c>
    </row>
    <row r="23" customFormat="false" ht="14.25" hidden="false" customHeight="true" outlineLevel="0" collapsed="false">
      <c r="A23" s="1" t="s">
        <v>441</v>
      </c>
      <c r="B23" s="1" t="s">
        <v>4285</v>
      </c>
      <c r="C23" s="1" t="s">
        <v>4432</v>
      </c>
      <c r="D23" s="1" t="s">
        <v>4417</v>
      </c>
      <c r="E23" s="1" t="s">
        <v>4429</v>
      </c>
      <c r="F23" s="1" t="s">
        <v>4422</v>
      </c>
      <c r="G23" s="1" t="s">
        <v>4203</v>
      </c>
      <c r="H23" s="6" t="n">
        <v>45643</v>
      </c>
    </row>
    <row r="24" customFormat="false" ht="14.25" hidden="false" customHeight="true" outlineLevel="0" collapsed="false">
      <c r="A24" s="1" t="s">
        <v>648</v>
      </c>
      <c r="B24" s="1" t="s">
        <v>4311</v>
      </c>
      <c r="C24" s="1" t="s">
        <v>4420</v>
      </c>
      <c r="D24" s="1" t="s">
        <v>4417</v>
      </c>
      <c r="E24" s="1" t="s">
        <v>4429</v>
      </c>
      <c r="F24" s="1" t="s">
        <v>4422</v>
      </c>
      <c r="G24" s="1" t="s">
        <v>4176</v>
      </c>
      <c r="H24" s="6" t="n">
        <v>45310</v>
      </c>
    </row>
    <row r="25" customFormat="false" ht="14.25" hidden="false" customHeight="true" outlineLevel="0" collapsed="false">
      <c r="A25" s="1" t="s">
        <v>216</v>
      </c>
      <c r="B25" s="1" t="s">
        <v>4253</v>
      </c>
      <c r="C25" s="1" t="s">
        <v>4434</v>
      </c>
      <c r="D25" s="1" t="s">
        <v>4424</v>
      </c>
      <c r="E25" s="1" t="s">
        <v>4433</v>
      </c>
      <c r="F25" s="1" t="s">
        <v>4422</v>
      </c>
      <c r="G25" s="1" t="s">
        <v>4203</v>
      </c>
      <c r="H25" s="6" t="n">
        <v>44590</v>
      </c>
    </row>
    <row r="26" customFormat="false" ht="14.25" hidden="false" customHeight="true" outlineLevel="0" collapsed="false">
      <c r="A26" s="1" t="s">
        <v>732</v>
      </c>
      <c r="B26" s="1" t="s">
        <v>4293</v>
      </c>
      <c r="C26" s="1" t="s">
        <v>4432</v>
      </c>
      <c r="D26" s="1" t="s">
        <v>4424</v>
      </c>
      <c r="E26" s="1" t="s">
        <v>4429</v>
      </c>
      <c r="F26" s="1" t="s">
        <v>4422</v>
      </c>
      <c r="G26" s="1" t="s">
        <v>4190</v>
      </c>
      <c r="H26" s="6" t="n">
        <v>45588</v>
      </c>
    </row>
    <row r="27" customFormat="false" ht="14.25" hidden="false" customHeight="true" outlineLevel="0" collapsed="false">
      <c r="A27" s="1" t="s">
        <v>953</v>
      </c>
      <c r="B27" s="1" t="s">
        <v>4238</v>
      </c>
      <c r="C27" s="1" t="s">
        <v>4427</v>
      </c>
      <c r="D27" s="1" t="s">
        <v>4431</v>
      </c>
      <c r="E27" s="1" t="s">
        <v>4433</v>
      </c>
      <c r="F27" s="1" t="s">
        <v>4422</v>
      </c>
      <c r="G27" s="1" t="s">
        <v>4178</v>
      </c>
      <c r="H27" s="6" t="n">
        <v>45130</v>
      </c>
    </row>
    <row r="28" customFormat="false" ht="14.25" hidden="false" customHeight="true" outlineLevel="0" collapsed="false">
      <c r="A28" s="1" t="s">
        <v>145</v>
      </c>
      <c r="B28" s="1" t="s">
        <v>4232</v>
      </c>
      <c r="C28" s="1" t="s">
        <v>4432</v>
      </c>
      <c r="D28" s="1" t="s">
        <v>4417</v>
      </c>
      <c r="E28" s="1" t="s">
        <v>4418</v>
      </c>
      <c r="F28" s="1" t="s">
        <v>4422</v>
      </c>
      <c r="G28" s="1" t="s">
        <v>4190</v>
      </c>
      <c r="H28" s="6" t="n">
        <v>45362</v>
      </c>
    </row>
    <row r="29" customFormat="false" ht="14.25" hidden="false" customHeight="true" outlineLevel="0" collapsed="false">
      <c r="A29" s="1" t="s">
        <v>287</v>
      </c>
      <c r="B29" s="1" t="s">
        <v>4214</v>
      </c>
      <c r="C29" s="1" t="s">
        <v>4420</v>
      </c>
      <c r="D29" s="1" t="s">
        <v>4431</v>
      </c>
      <c r="E29" s="1" t="s">
        <v>4418</v>
      </c>
      <c r="F29" s="1" t="s">
        <v>4419</v>
      </c>
      <c r="G29" s="1" t="s">
        <v>4178</v>
      </c>
      <c r="H29" s="6" t="n">
        <v>44738</v>
      </c>
    </row>
    <row r="30" customFormat="false" ht="14.25" hidden="false" customHeight="true" outlineLevel="0" collapsed="false">
      <c r="A30" s="1" t="s">
        <v>79</v>
      </c>
      <c r="B30" s="1" t="s">
        <v>4287</v>
      </c>
      <c r="C30" s="1" t="s">
        <v>4434</v>
      </c>
      <c r="D30" s="1" t="s">
        <v>4424</v>
      </c>
      <c r="E30" s="1" t="s">
        <v>4421</v>
      </c>
      <c r="F30" s="1" t="s">
        <v>4422</v>
      </c>
      <c r="G30" s="1" t="s">
        <v>4178</v>
      </c>
      <c r="H30" s="6" t="n">
        <v>44806</v>
      </c>
    </row>
    <row r="31" customFormat="false" ht="14.25" hidden="false" customHeight="true" outlineLevel="0" collapsed="false">
      <c r="A31" s="1" t="s">
        <v>203</v>
      </c>
      <c r="B31" s="1" t="s">
        <v>4435</v>
      </c>
      <c r="C31" s="1" t="s">
        <v>4427</v>
      </c>
      <c r="D31" s="1" t="s">
        <v>4424</v>
      </c>
      <c r="E31" s="1" t="s">
        <v>4418</v>
      </c>
      <c r="F31" s="1" t="s">
        <v>4425</v>
      </c>
      <c r="G31" s="1" t="s">
        <v>4190</v>
      </c>
      <c r="H31" s="6" t="n">
        <v>45633</v>
      </c>
    </row>
    <row r="32" customFormat="false" ht="14.25" hidden="false" customHeight="true" outlineLevel="0" collapsed="false">
      <c r="A32" s="1" t="s">
        <v>855</v>
      </c>
      <c r="B32" s="1" t="s">
        <v>4272</v>
      </c>
      <c r="C32" s="1" t="s">
        <v>4416</v>
      </c>
      <c r="D32" s="1" t="s">
        <v>4428</v>
      </c>
      <c r="E32" s="1" t="s">
        <v>4418</v>
      </c>
      <c r="F32" s="1" t="s">
        <v>4422</v>
      </c>
      <c r="G32" s="1" t="s">
        <v>4190</v>
      </c>
      <c r="H32" s="6" t="n">
        <v>44803</v>
      </c>
    </row>
    <row r="33" customFormat="false" ht="14.25" hidden="false" customHeight="true" outlineLevel="0" collapsed="false">
      <c r="A33" s="1" t="s">
        <v>1448</v>
      </c>
      <c r="B33" s="1" t="s">
        <v>4311</v>
      </c>
      <c r="C33" s="1" t="s">
        <v>4434</v>
      </c>
      <c r="D33" s="1" t="s">
        <v>4428</v>
      </c>
      <c r="E33" s="1" t="s">
        <v>4433</v>
      </c>
      <c r="F33" s="1" t="s">
        <v>4425</v>
      </c>
      <c r="G33" s="1" t="s">
        <v>4203</v>
      </c>
      <c r="H33" s="6" t="n">
        <v>45578</v>
      </c>
    </row>
    <row r="34" customFormat="false" ht="14.25" hidden="false" customHeight="true" outlineLevel="0" collapsed="false">
      <c r="A34" s="1" t="s">
        <v>336</v>
      </c>
      <c r="B34" s="1" t="s">
        <v>4273</v>
      </c>
      <c r="C34" s="1" t="s">
        <v>4420</v>
      </c>
      <c r="D34" s="1" t="s">
        <v>4424</v>
      </c>
      <c r="E34" s="1" t="s">
        <v>4429</v>
      </c>
      <c r="F34" s="1" t="s">
        <v>4422</v>
      </c>
      <c r="G34" s="1" t="s">
        <v>4178</v>
      </c>
      <c r="H34" s="6" t="n">
        <v>45315</v>
      </c>
    </row>
    <row r="35" customFormat="false" ht="14.25" hidden="false" customHeight="true" outlineLevel="0" collapsed="false">
      <c r="A35" s="1" t="s">
        <v>396</v>
      </c>
      <c r="B35" s="1" t="s">
        <v>4276</v>
      </c>
      <c r="C35" s="1" t="s">
        <v>4432</v>
      </c>
      <c r="D35" s="1" t="s">
        <v>4424</v>
      </c>
      <c r="E35" s="1" t="s">
        <v>4418</v>
      </c>
      <c r="F35" s="1" t="s">
        <v>4422</v>
      </c>
      <c r="G35" s="1" t="s">
        <v>4203</v>
      </c>
      <c r="H35" s="6" t="n">
        <v>44652</v>
      </c>
    </row>
    <row r="36" customFormat="false" ht="14.25" hidden="false" customHeight="true" outlineLevel="0" collapsed="false">
      <c r="A36" s="1" t="s">
        <v>595</v>
      </c>
      <c r="B36" s="1" t="s">
        <v>4436</v>
      </c>
      <c r="C36" s="1" t="s">
        <v>4432</v>
      </c>
      <c r="D36" s="1" t="s">
        <v>4431</v>
      </c>
      <c r="E36" s="1" t="s">
        <v>4421</v>
      </c>
      <c r="F36" s="1" t="s">
        <v>4425</v>
      </c>
      <c r="G36" s="1" t="s">
        <v>4178</v>
      </c>
      <c r="H36" s="6" t="n">
        <v>44928</v>
      </c>
    </row>
    <row r="37" customFormat="false" ht="14.25" hidden="false" customHeight="true" outlineLevel="0" collapsed="false">
      <c r="A37" s="1" t="s">
        <v>712</v>
      </c>
      <c r="B37" s="1" t="s">
        <v>4332</v>
      </c>
      <c r="C37" s="1" t="s">
        <v>4427</v>
      </c>
      <c r="D37" s="1" t="s">
        <v>4431</v>
      </c>
      <c r="E37" s="1" t="s">
        <v>4418</v>
      </c>
      <c r="F37" s="1" t="s">
        <v>4425</v>
      </c>
      <c r="G37" s="1" t="s">
        <v>4178</v>
      </c>
      <c r="H37" s="6" t="n">
        <v>45414</v>
      </c>
    </row>
    <row r="38" customFormat="false" ht="14.25" hidden="false" customHeight="true" outlineLevel="0" collapsed="false">
      <c r="A38" s="1" t="s">
        <v>1077</v>
      </c>
      <c r="B38" s="1" t="s">
        <v>4334</v>
      </c>
      <c r="C38" s="1" t="s">
        <v>4432</v>
      </c>
      <c r="D38" s="1" t="s">
        <v>4428</v>
      </c>
      <c r="E38" s="1" t="s">
        <v>4433</v>
      </c>
      <c r="F38" s="1" t="s">
        <v>4422</v>
      </c>
      <c r="G38" s="1" t="s">
        <v>4203</v>
      </c>
      <c r="H38" s="6" t="n">
        <v>44929</v>
      </c>
    </row>
    <row r="39" customFormat="false" ht="14.25" hidden="false" customHeight="true" outlineLevel="0" collapsed="false">
      <c r="A39" s="1" t="s">
        <v>1084</v>
      </c>
      <c r="B39" s="1" t="s">
        <v>4282</v>
      </c>
      <c r="C39" s="1" t="s">
        <v>4432</v>
      </c>
      <c r="D39" s="1" t="s">
        <v>4431</v>
      </c>
      <c r="E39" s="1" t="s">
        <v>4433</v>
      </c>
      <c r="F39" s="1" t="s">
        <v>4425</v>
      </c>
      <c r="G39" s="1" t="s">
        <v>4190</v>
      </c>
      <c r="H39" s="6" t="n">
        <v>45198</v>
      </c>
    </row>
    <row r="40" customFormat="false" ht="14.25" hidden="false" customHeight="true" outlineLevel="0" collapsed="false">
      <c r="A40" s="1" t="s">
        <v>116</v>
      </c>
      <c r="B40" s="1" t="s">
        <v>4301</v>
      </c>
      <c r="C40" s="1" t="s">
        <v>4423</v>
      </c>
      <c r="D40" s="1" t="s">
        <v>4431</v>
      </c>
      <c r="E40" s="1" t="s">
        <v>4433</v>
      </c>
      <c r="F40" s="1" t="s">
        <v>4425</v>
      </c>
      <c r="G40" s="1" t="s">
        <v>4178</v>
      </c>
      <c r="H40" s="6" t="n">
        <v>45159</v>
      </c>
    </row>
    <row r="41" customFormat="false" ht="14.25" hidden="false" customHeight="true" outlineLevel="0" collapsed="false">
      <c r="A41" s="1" t="s">
        <v>607</v>
      </c>
      <c r="B41" s="1" t="s">
        <v>4254</v>
      </c>
      <c r="C41" s="1" t="s">
        <v>4427</v>
      </c>
      <c r="D41" s="1" t="s">
        <v>4417</v>
      </c>
      <c r="E41" s="1" t="s">
        <v>4429</v>
      </c>
      <c r="F41" s="1" t="s">
        <v>4425</v>
      </c>
      <c r="G41" s="1" t="s">
        <v>4176</v>
      </c>
      <c r="H41" s="6" t="n">
        <v>44962</v>
      </c>
    </row>
    <row r="42" customFormat="false" ht="14.25" hidden="false" customHeight="true" outlineLevel="0" collapsed="false">
      <c r="A42" s="1" t="s">
        <v>520</v>
      </c>
      <c r="B42" s="1" t="s">
        <v>4191</v>
      </c>
      <c r="C42" s="1" t="s">
        <v>4416</v>
      </c>
      <c r="D42" s="1" t="s">
        <v>4424</v>
      </c>
      <c r="E42" s="1" t="s">
        <v>4429</v>
      </c>
      <c r="F42" s="1" t="s">
        <v>4419</v>
      </c>
      <c r="G42" s="1" t="s">
        <v>4178</v>
      </c>
      <c r="H42" s="6" t="n">
        <v>45671</v>
      </c>
    </row>
    <row r="43" customFormat="false" ht="14.25" hidden="false" customHeight="true" outlineLevel="0" collapsed="false">
      <c r="A43" s="1" t="s">
        <v>550</v>
      </c>
      <c r="B43" s="1" t="s">
        <v>4437</v>
      </c>
      <c r="C43" s="1" t="s">
        <v>4420</v>
      </c>
      <c r="D43" s="1" t="s">
        <v>4424</v>
      </c>
      <c r="E43" s="1" t="s">
        <v>4429</v>
      </c>
      <c r="F43" s="1" t="s">
        <v>4422</v>
      </c>
      <c r="G43" s="1" t="s">
        <v>4190</v>
      </c>
      <c r="H43" s="6" t="n">
        <v>44774</v>
      </c>
    </row>
    <row r="44" customFormat="false" ht="14.25" hidden="false" customHeight="true" outlineLevel="0" collapsed="false">
      <c r="A44" s="1" t="s">
        <v>799</v>
      </c>
      <c r="B44" s="1" t="s">
        <v>4177</v>
      </c>
      <c r="C44" s="1" t="s">
        <v>4416</v>
      </c>
      <c r="D44" s="1" t="s">
        <v>4431</v>
      </c>
      <c r="E44" s="1" t="s">
        <v>4429</v>
      </c>
      <c r="F44" s="1" t="s">
        <v>4419</v>
      </c>
      <c r="G44" s="1" t="s">
        <v>4178</v>
      </c>
      <c r="H44" s="6" t="n">
        <v>45135</v>
      </c>
    </row>
    <row r="45" customFormat="false" ht="14.25" hidden="false" customHeight="true" outlineLevel="0" collapsed="false">
      <c r="A45" s="1" t="s">
        <v>1628</v>
      </c>
      <c r="B45" s="1" t="s">
        <v>4204</v>
      </c>
      <c r="C45" s="1" t="s">
        <v>4416</v>
      </c>
      <c r="D45" s="1" t="s">
        <v>4431</v>
      </c>
      <c r="E45" s="1" t="s">
        <v>4421</v>
      </c>
      <c r="F45" s="1" t="s">
        <v>4425</v>
      </c>
      <c r="G45" s="1" t="s">
        <v>4203</v>
      </c>
      <c r="H45" s="6" t="n">
        <v>45751</v>
      </c>
    </row>
    <row r="46" customFormat="false" ht="14.25" hidden="false" customHeight="true" outlineLevel="0" collapsed="false">
      <c r="A46" s="1" t="s">
        <v>1170</v>
      </c>
      <c r="B46" s="1" t="s">
        <v>4308</v>
      </c>
      <c r="C46" s="1" t="s">
        <v>4416</v>
      </c>
      <c r="D46" s="1" t="s">
        <v>4431</v>
      </c>
      <c r="E46" s="1" t="s">
        <v>4433</v>
      </c>
      <c r="F46" s="1" t="s">
        <v>4422</v>
      </c>
      <c r="G46" s="1" t="s">
        <v>4203</v>
      </c>
      <c r="H46" s="6" t="n">
        <v>45452</v>
      </c>
    </row>
    <row r="47" customFormat="false" ht="14.25" hidden="false" customHeight="true" outlineLevel="0" collapsed="false">
      <c r="A47" s="1" t="s">
        <v>291</v>
      </c>
      <c r="B47" s="1" t="s">
        <v>4229</v>
      </c>
      <c r="C47" s="1" t="s">
        <v>4420</v>
      </c>
      <c r="D47" s="1" t="s">
        <v>4428</v>
      </c>
      <c r="E47" s="1" t="s">
        <v>4421</v>
      </c>
      <c r="F47" s="1" t="s">
        <v>4425</v>
      </c>
      <c r="G47" s="1" t="s">
        <v>4190</v>
      </c>
      <c r="H47" s="6" t="n">
        <v>45213</v>
      </c>
    </row>
    <row r="48" customFormat="false" ht="14.25" hidden="false" customHeight="true" outlineLevel="0" collapsed="false">
      <c r="A48" s="1" t="s">
        <v>257</v>
      </c>
      <c r="B48" s="1" t="s">
        <v>4252</v>
      </c>
      <c r="C48" s="1" t="s">
        <v>4416</v>
      </c>
      <c r="D48" s="1" t="s">
        <v>4424</v>
      </c>
      <c r="E48" s="1" t="s">
        <v>4418</v>
      </c>
      <c r="F48" s="1" t="s">
        <v>4419</v>
      </c>
      <c r="G48" s="1" t="s">
        <v>4203</v>
      </c>
      <c r="H48" s="6" t="n">
        <v>44880</v>
      </c>
    </row>
    <row r="49" customFormat="false" ht="14.25" hidden="false" customHeight="true" outlineLevel="0" collapsed="false">
      <c r="A49" s="1" t="s">
        <v>1211</v>
      </c>
      <c r="B49" s="1" t="s">
        <v>4194</v>
      </c>
      <c r="C49" s="1" t="s">
        <v>4434</v>
      </c>
      <c r="D49" s="1" t="s">
        <v>4431</v>
      </c>
      <c r="E49" s="1" t="s">
        <v>4421</v>
      </c>
      <c r="F49" s="1" t="s">
        <v>4425</v>
      </c>
      <c r="G49" s="1" t="s">
        <v>4203</v>
      </c>
      <c r="H49" s="6" t="n">
        <v>45659</v>
      </c>
    </row>
    <row r="50" customFormat="false" ht="14.25" hidden="false" customHeight="true" outlineLevel="0" collapsed="false">
      <c r="A50" s="1" t="s">
        <v>717</v>
      </c>
      <c r="B50" s="1" t="s">
        <v>4438</v>
      </c>
      <c r="C50" s="1" t="s">
        <v>4434</v>
      </c>
      <c r="D50" s="1" t="s">
        <v>4428</v>
      </c>
      <c r="E50" s="1" t="s">
        <v>4429</v>
      </c>
      <c r="F50" s="1" t="s">
        <v>4425</v>
      </c>
      <c r="G50" s="1" t="s">
        <v>4203</v>
      </c>
      <c r="H50" s="6" t="n">
        <v>44747</v>
      </c>
    </row>
    <row r="51" customFormat="false" ht="14.25" hidden="false" customHeight="true" outlineLevel="0" collapsed="false">
      <c r="A51" s="1" t="s">
        <v>107</v>
      </c>
      <c r="B51" s="1" t="s">
        <v>4276</v>
      </c>
      <c r="C51" s="1" t="s">
        <v>4427</v>
      </c>
      <c r="D51" s="1" t="s">
        <v>4424</v>
      </c>
      <c r="E51" s="1" t="s">
        <v>4418</v>
      </c>
      <c r="F51" s="1" t="s">
        <v>4425</v>
      </c>
      <c r="G51" s="1" t="s">
        <v>4178</v>
      </c>
      <c r="H51" s="6" t="n">
        <v>44748</v>
      </c>
    </row>
    <row r="52" customFormat="false" ht="14.25" hidden="false" customHeight="true" outlineLevel="0" collapsed="false">
      <c r="A52" s="1" t="s">
        <v>362</v>
      </c>
      <c r="B52" s="1" t="s">
        <v>4216</v>
      </c>
      <c r="C52" s="1" t="s">
        <v>4434</v>
      </c>
      <c r="D52" s="1" t="s">
        <v>4424</v>
      </c>
      <c r="E52" s="1" t="s">
        <v>4421</v>
      </c>
      <c r="F52" s="1" t="s">
        <v>4425</v>
      </c>
      <c r="G52" s="1" t="s">
        <v>4178</v>
      </c>
      <c r="H52" s="6" t="n">
        <v>44625</v>
      </c>
    </row>
    <row r="53" customFormat="false" ht="14.25" hidden="false" customHeight="true" outlineLevel="0" collapsed="false">
      <c r="A53" s="1" t="s">
        <v>250</v>
      </c>
      <c r="B53" s="1" t="s">
        <v>4439</v>
      </c>
      <c r="C53" s="1" t="s">
        <v>4423</v>
      </c>
      <c r="D53" s="1" t="s">
        <v>4417</v>
      </c>
      <c r="E53" s="1" t="s">
        <v>4433</v>
      </c>
      <c r="F53" s="1" t="s">
        <v>4425</v>
      </c>
      <c r="G53" s="1" t="s">
        <v>4203</v>
      </c>
      <c r="H53" s="6" t="n">
        <v>44848</v>
      </c>
    </row>
    <row r="54" customFormat="false" ht="14.25" hidden="false" customHeight="true" outlineLevel="0" collapsed="false">
      <c r="A54" s="1" t="s">
        <v>740</v>
      </c>
      <c r="B54" s="1" t="s">
        <v>4170</v>
      </c>
      <c r="C54" s="1" t="s">
        <v>4432</v>
      </c>
      <c r="D54" s="1" t="s">
        <v>4417</v>
      </c>
      <c r="E54" s="1" t="s">
        <v>4418</v>
      </c>
      <c r="F54" s="1" t="s">
        <v>4419</v>
      </c>
      <c r="G54" s="1" t="s">
        <v>4176</v>
      </c>
      <c r="H54" s="6" t="n">
        <v>45324</v>
      </c>
    </row>
    <row r="55" customFormat="false" ht="14.25" hidden="false" customHeight="true" outlineLevel="0" collapsed="false">
      <c r="A55" s="1" t="s">
        <v>274</v>
      </c>
      <c r="B55" s="1" t="s">
        <v>4211</v>
      </c>
      <c r="C55" s="1" t="s">
        <v>4423</v>
      </c>
      <c r="D55" s="1" t="s">
        <v>4428</v>
      </c>
      <c r="E55" s="1" t="s">
        <v>4433</v>
      </c>
      <c r="F55" s="1" t="s">
        <v>4419</v>
      </c>
      <c r="G55" s="1" t="s">
        <v>4203</v>
      </c>
      <c r="H55" s="6" t="n">
        <v>44966</v>
      </c>
    </row>
    <row r="56" customFormat="false" ht="14.25" hidden="false" customHeight="true" outlineLevel="0" collapsed="false">
      <c r="A56" s="1" t="s">
        <v>387</v>
      </c>
      <c r="B56" s="1" t="s">
        <v>4192</v>
      </c>
      <c r="C56" s="1" t="s">
        <v>4432</v>
      </c>
      <c r="D56" s="1" t="s">
        <v>4428</v>
      </c>
      <c r="E56" s="1" t="s">
        <v>4433</v>
      </c>
      <c r="F56" s="1" t="s">
        <v>4419</v>
      </c>
      <c r="G56" s="1" t="s">
        <v>4176</v>
      </c>
      <c r="H56" s="6" t="n">
        <v>44665</v>
      </c>
    </row>
    <row r="57" customFormat="false" ht="14.25" hidden="false" customHeight="true" outlineLevel="0" collapsed="false">
      <c r="A57" s="1" t="s">
        <v>538</v>
      </c>
      <c r="B57" s="1" t="s">
        <v>4321</v>
      </c>
      <c r="C57" s="1" t="s">
        <v>4434</v>
      </c>
      <c r="D57" s="1" t="s">
        <v>4431</v>
      </c>
      <c r="E57" s="1" t="s">
        <v>4429</v>
      </c>
      <c r="F57" s="1" t="s">
        <v>4419</v>
      </c>
      <c r="G57" s="1" t="s">
        <v>4176</v>
      </c>
      <c r="H57" s="6" t="n">
        <v>45435</v>
      </c>
    </row>
    <row r="58" customFormat="false" ht="14.25" hidden="false" customHeight="true" outlineLevel="0" collapsed="false">
      <c r="A58" s="1" t="s">
        <v>37</v>
      </c>
      <c r="B58" s="1" t="s">
        <v>4322</v>
      </c>
      <c r="C58" s="1" t="s">
        <v>4416</v>
      </c>
      <c r="D58" s="1" t="s">
        <v>4417</v>
      </c>
      <c r="E58" s="1" t="s">
        <v>4421</v>
      </c>
      <c r="F58" s="1" t="s">
        <v>4425</v>
      </c>
      <c r="G58" s="1" t="s">
        <v>4176</v>
      </c>
      <c r="H58" s="6" t="n">
        <v>44866</v>
      </c>
    </row>
    <row r="59" customFormat="false" ht="14.25" hidden="false" customHeight="true" outlineLevel="0" collapsed="false">
      <c r="A59" s="1" t="s">
        <v>757</v>
      </c>
      <c r="B59" s="1" t="s">
        <v>4440</v>
      </c>
      <c r="C59" s="1" t="s">
        <v>4423</v>
      </c>
      <c r="D59" s="1" t="s">
        <v>4417</v>
      </c>
      <c r="E59" s="1" t="s">
        <v>4421</v>
      </c>
      <c r="F59" s="1" t="s">
        <v>4425</v>
      </c>
      <c r="G59" s="1" t="s">
        <v>4176</v>
      </c>
      <c r="H59" s="6" t="n">
        <v>45689</v>
      </c>
    </row>
    <row r="60" customFormat="false" ht="14.25" hidden="false" customHeight="true" outlineLevel="0" collapsed="false">
      <c r="A60" s="1" t="s">
        <v>347</v>
      </c>
      <c r="B60" s="1" t="s">
        <v>4318</v>
      </c>
      <c r="C60" s="1" t="s">
        <v>4432</v>
      </c>
      <c r="D60" s="1" t="s">
        <v>4428</v>
      </c>
      <c r="E60" s="1" t="s">
        <v>4429</v>
      </c>
      <c r="F60" s="1" t="s">
        <v>4419</v>
      </c>
      <c r="G60" s="1" t="s">
        <v>4176</v>
      </c>
      <c r="H60" s="6" t="n">
        <v>44970</v>
      </c>
    </row>
    <row r="61" customFormat="false" ht="14.25" hidden="false" customHeight="true" outlineLevel="0" collapsed="false">
      <c r="A61" s="1" t="s">
        <v>391</v>
      </c>
      <c r="B61" s="1" t="s">
        <v>4298</v>
      </c>
      <c r="C61" s="1" t="s">
        <v>4427</v>
      </c>
      <c r="D61" s="1" t="s">
        <v>4424</v>
      </c>
      <c r="E61" s="1" t="s">
        <v>4429</v>
      </c>
      <c r="F61" s="1" t="s">
        <v>4422</v>
      </c>
      <c r="G61" s="1" t="s">
        <v>4190</v>
      </c>
      <c r="H61" s="6" t="n">
        <v>45544</v>
      </c>
    </row>
    <row r="62" customFormat="false" ht="14.25" hidden="false" customHeight="true" outlineLevel="0" collapsed="false">
      <c r="A62" s="1" t="s">
        <v>69</v>
      </c>
      <c r="B62" s="1" t="s">
        <v>4268</v>
      </c>
      <c r="C62" s="1" t="s">
        <v>4420</v>
      </c>
      <c r="D62" s="1" t="s">
        <v>4428</v>
      </c>
      <c r="E62" s="1" t="s">
        <v>4429</v>
      </c>
      <c r="F62" s="1" t="s">
        <v>4425</v>
      </c>
      <c r="G62" s="1" t="s">
        <v>4178</v>
      </c>
      <c r="H62" s="6" t="n">
        <v>44615</v>
      </c>
    </row>
    <row r="63" customFormat="false" ht="14.25" hidden="false" customHeight="true" outlineLevel="0" collapsed="false">
      <c r="A63" s="1" t="s">
        <v>1929</v>
      </c>
      <c r="B63" s="1" t="s">
        <v>4441</v>
      </c>
      <c r="C63" s="1" t="s">
        <v>4416</v>
      </c>
      <c r="D63" s="1" t="s">
        <v>4424</v>
      </c>
      <c r="E63" s="1" t="s">
        <v>4421</v>
      </c>
      <c r="F63" s="1" t="s">
        <v>4419</v>
      </c>
      <c r="G63" s="1" t="s">
        <v>4176</v>
      </c>
      <c r="H63" s="6" t="n">
        <v>45646</v>
      </c>
    </row>
    <row r="64" customFormat="false" ht="14.25" hidden="false" customHeight="true" outlineLevel="0" collapsed="false">
      <c r="A64" s="1" t="s">
        <v>635</v>
      </c>
      <c r="B64" s="1" t="s">
        <v>4307</v>
      </c>
      <c r="C64" s="1" t="s">
        <v>4416</v>
      </c>
      <c r="D64" s="1" t="s">
        <v>4417</v>
      </c>
      <c r="E64" s="1" t="s">
        <v>4433</v>
      </c>
      <c r="F64" s="1" t="s">
        <v>4419</v>
      </c>
      <c r="G64" s="1" t="s">
        <v>4178</v>
      </c>
      <c r="H64" s="6" t="n">
        <v>45107</v>
      </c>
    </row>
    <row r="65" customFormat="false" ht="14.25" hidden="false" customHeight="true" outlineLevel="0" collapsed="false">
      <c r="A65" s="1" t="s">
        <v>1128</v>
      </c>
      <c r="B65" s="1" t="s">
        <v>4207</v>
      </c>
      <c r="C65" s="1" t="s">
        <v>4416</v>
      </c>
      <c r="D65" s="1" t="s">
        <v>4431</v>
      </c>
      <c r="E65" s="1" t="s">
        <v>4421</v>
      </c>
      <c r="F65" s="1" t="s">
        <v>4419</v>
      </c>
      <c r="G65" s="1" t="s">
        <v>4178</v>
      </c>
      <c r="H65" s="6" t="n">
        <v>45046</v>
      </c>
    </row>
    <row r="66" customFormat="false" ht="14.25" hidden="false" customHeight="true" outlineLevel="0" collapsed="false">
      <c r="A66" s="1" t="s">
        <v>48</v>
      </c>
      <c r="B66" s="1" t="s">
        <v>4251</v>
      </c>
      <c r="C66" s="1" t="s">
        <v>4427</v>
      </c>
      <c r="D66" s="1" t="s">
        <v>4428</v>
      </c>
      <c r="E66" s="1" t="s">
        <v>4433</v>
      </c>
      <c r="F66" s="1" t="s">
        <v>4422</v>
      </c>
      <c r="G66" s="1" t="s">
        <v>4190</v>
      </c>
      <c r="H66" s="6" t="n">
        <v>45724</v>
      </c>
    </row>
    <row r="67" customFormat="false" ht="14.25" hidden="false" customHeight="true" outlineLevel="0" collapsed="false">
      <c r="A67" s="1" t="s">
        <v>881</v>
      </c>
      <c r="B67" s="1" t="s">
        <v>4442</v>
      </c>
      <c r="C67" s="1" t="s">
        <v>4423</v>
      </c>
      <c r="D67" s="1" t="s">
        <v>4417</v>
      </c>
      <c r="E67" s="1" t="s">
        <v>4429</v>
      </c>
      <c r="F67" s="1" t="s">
        <v>4422</v>
      </c>
      <c r="G67" s="1" t="s">
        <v>4190</v>
      </c>
      <c r="H67" s="6" t="n">
        <v>44921</v>
      </c>
    </row>
    <row r="68" customFormat="false" ht="14.25" hidden="false" customHeight="true" outlineLevel="0" collapsed="false">
      <c r="A68" s="1" t="s">
        <v>234</v>
      </c>
      <c r="B68" s="1" t="s">
        <v>4318</v>
      </c>
      <c r="C68" s="1" t="s">
        <v>4432</v>
      </c>
      <c r="D68" s="1" t="s">
        <v>4424</v>
      </c>
      <c r="E68" s="1" t="s">
        <v>4418</v>
      </c>
      <c r="F68" s="1" t="s">
        <v>4422</v>
      </c>
      <c r="G68" s="1" t="s">
        <v>4178</v>
      </c>
      <c r="H68" s="6" t="n">
        <v>44602</v>
      </c>
    </row>
    <row r="69" customFormat="false" ht="14.25" hidden="false" customHeight="true" outlineLevel="0" collapsed="false">
      <c r="A69" s="1" t="s">
        <v>574</v>
      </c>
      <c r="B69" s="1" t="s">
        <v>4264</v>
      </c>
      <c r="C69" s="1" t="s">
        <v>4432</v>
      </c>
      <c r="D69" s="1" t="s">
        <v>4428</v>
      </c>
      <c r="E69" s="1" t="s">
        <v>4418</v>
      </c>
      <c r="F69" s="1" t="s">
        <v>4419</v>
      </c>
      <c r="G69" s="1" t="s">
        <v>4190</v>
      </c>
      <c r="H69" s="6" t="n">
        <v>44925</v>
      </c>
    </row>
    <row r="70" customFormat="false" ht="14.25" hidden="false" customHeight="true" outlineLevel="0" collapsed="false">
      <c r="A70" s="1" t="s">
        <v>326</v>
      </c>
      <c r="B70" s="1" t="s">
        <v>4443</v>
      </c>
      <c r="C70" s="1" t="s">
        <v>4432</v>
      </c>
      <c r="D70" s="1" t="s">
        <v>4417</v>
      </c>
      <c r="E70" s="1" t="s">
        <v>4418</v>
      </c>
      <c r="F70" s="1" t="s">
        <v>4419</v>
      </c>
      <c r="G70" s="1" t="s">
        <v>4190</v>
      </c>
      <c r="H70" s="6" t="n">
        <v>44710</v>
      </c>
    </row>
    <row r="71" customFormat="false" ht="14.25" hidden="false" customHeight="true" outlineLevel="0" collapsed="false">
      <c r="A71" s="1" t="s">
        <v>400</v>
      </c>
      <c r="B71" s="1" t="s">
        <v>4314</v>
      </c>
      <c r="C71" s="1" t="s">
        <v>4423</v>
      </c>
      <c r="D71" s="1" t="s">
        <v>4424</v>
      </c>
      <c r="E71" s="1" t="s">
        <v>4421</v>
      </c>
      <c r="F71" s="1" t="s">
        <v>4425</v>
      </c>
      <c r="G71" s="1" t="s">
        <v>4190</v>
      </c>
      <c r="H71" s="6" t="n">
        <v>44841</v>
      </c>
    </row>
    <row r="72" customFormat="false" ht="14.25" hidden="false" customHeight="true" outlineLevel="0" collapsed="false">
      <c r="A72" s="1" t="s">
        <v>245</v>
      </c>
      <c r="B72" s="1" t="s">
        <v>4444</v>
      </c>
      <c r="C72" s="1" t="s">
        <v>4427</v>
      </c>
      <c r="D72" s="1" t="s">
        <v>4431</v>
      </c>
      <c r="E72" s="1" t="s">
        <v>4421</v>
      </c>
      <c r="F72" s="1" t="s">
        <v>4419</v>
      </c>
      <c r="G72" s="1" t="s">
        <v>4190</v>
      </c>
      <c r="H72" s="6" t="n">
        <v>45019</v>
      </c>
    </row>
    <row r="73" customFormat="false" ht="14.25" hidden="false" customHeight="true" outlineLevel="0" collapsed="false">
      <c r="A73" s="1" t="s">
        <v>315</v>
      </c>
      <c r="B73" s="1" t="s">
        <v>4442</v>
      </c>
      <c r="C73" s="1" t="s">
        <v>4434</v>
      </c>
      <c r="D73" s="1" t="s">
        <v>4428</v>
      </c>
      <c r="E73" s="1" t="s">
        <v>4421</v>
      </c>
      <c r="F73" s="1" t="s">
        <v>4419</v>
      </c>
      <c r="G73" s="1" t="s">
        <v>4178</v>
      </c>
      <c r="H73" s="6" t="n">
        <v>44565</v>
      </c>
    </row>
    <row r="74" customFormat="false" ht="14.25" hidden="false" customHeight="true" outlineLevel="0" collapsed="false">
      <c r="A74" s="1" t="s">
        <v>137</v>
      </c>
      <c r="B74" s="1" t="s">
        <v>4310</v>
      </c>
      <c r="C74" s="1" t="s">
        <v>4423</v>
      </c>
      <c r="D74" s="1" t="s">
        <v>4424</v>
      </c>
      <c r="E74" s="1" t="s">
        <v>4418</v>
      </c>
      <c r="F74" s="1" t="s">
        <v>4422</v>
      </c>
      <c r="G74" s="1" t="s">
        <v>4190</v>
      </c>
      <c r="H74" s="6" t="n">
        <v>45014</v>
      </c>
    </row>
    <row r="75" customFormat="false" ht="14.25" hidden="false" customHeight="true" outlineLevel="0" collapsed="false">
      <c r="A75" s="1" t="s">
        <v>511</v>
      </c>
      <c r="B75" s="1" t="s">
        <v>4214</v>
      </c>
      <c r="C75" s="1" t="s">
        <v>4434</v>
      </c>
      <c r="D75" s="1" t="s">
        <v>4417</v>
      </c>
      <c r="E75" s="1" t="s">
        <v>4421</v>
      </c>
      <c r="F75" s="1" t="s">
        <v>4422</v>
      </c>
      <c r="G75" s="1" t="s">
        <v>4203</v>
      </c>
      <c r="H75" s="6" t="n">
        <v>45049</v>
      </c>
    </row>
    <row r="76" customFormat="false" ht="14.25" hidden="false" customHeight="true" outlineLevel="0" collapsed="false">
      <c r="A76" s="1" t="s">
        <v>280</v>
      </c>
      <c r="B76" s="1" t="s">
        <v>4343</v>
      </c>
      <c r="C76" s="1" t="s">
        <v>4416</v>
      </c>
      <c r="D76" s="1" t="s">
        <v>4424</v>
      </c>
      <c r="E76" s="1" t="s">
        <v>4421</v>
      </c>
      <c r="F76" s="1" t="s">
        <v>4425</v>
      </c>
      <c r="G76" s="1" t="s">
        <v>4203</v>
      </c>
      <c r="H76" s="6" t="n">
        <v>45105</v>
      </c>
    </row>
    <row r="77" customFormat="false" ht="14.25" hidden="false" customHeight="true" outlineLevel="0" collapsed="false">
      <c r="A77" s="1" t="s">
        <v>418</v>
      </c>
      <c r="B77" s="1" t="s">
        <v>4283</v>
      </c>
      <c r="C77" s="1" t="s">
        <v>4427</v>
      </c>
      <c r="D77" s="1" t="s">
        <v>4424</v>
      </c>
      <c r="E77" s="1" t="s">
        <v>4421</v>
      </c>
      <c r="F77" s="1" t="s">
        <v>4425</v>
      </c>
      <c r="G77" s="1" t="s">
        <v>4203</v>
      </c>
      <c r="H77" s="6" t="n">
        <v>44564</v>
      </c>
    </row>
    <row r="78" customFormat="false" ht="14.25" hidden="false" customHeight="true" outlineLevel="0" collapsed="false">
      <c r="A78" s="1" t="s">
        <v>678</v>
      </c>
      <c r="B78" s="1" t="s">
        <v>4445</v>
      </c>
      <c r="C78" s="1" t="s">
        <v>4434</v>
      </c>
      <c r="D78" s="1" t="s">
        <v>4431</v>
      </c>
      <c r="E78" s="1" t="s">
        <v>4418</v>
      </c>
      <c r="F78" s="1" t="s">
        <v>4425</v>
      </c>
      <c r="G78" s="1" t="s">
        <v>4176</v>
      </c>
      <c r="H78" s="6" t="n">
        <v>45337</v>
      </c>
    </row>
    <row r="79" customFormat="false" ht="14.25" hidden="false" customHeight="true" outlineLevel="0" collapsed="false">
      <c r="A79" s="1" t="s">
        <v>86</v>
      </c>
      <c r="B79" s="1" t="s">
        <v>4342</v>
      </c>
      <c r="C79" s="1" t="s">
        <v>4434</v>
      </c>
      <c r="D79" s="1" t="s">
        <v>4424</v>
      </c>
      <c r="E79" s="1" t="s">
        <v>4429</v>
      </c>
      <c r="F79" s="1" t="s">
        <v>4422</v>
      </c>
      <c r="G79" s="1" t="s">
        <v>4178</v>
      </c>
      <c r="H79" s="6" t="n">
        <v>44895</v>
      </c>
    </row>
    <row r="80" customFormat="false" ht="14.25" hidden="false" customHeight="true" outlineLevel="0" collapsed="false">
      <c r="A80" s="1" t="s">
        <v>529</v>
      </c>
      <c r="B80" s="1" t="s">
        <v>4299</v>
      </c>
      <c r="C80" s="1" t="s">
        <v>4432</v>
      </c>
      <c r="D80" s="1" t="s">
        <v>4428</v>
      </c>
      <c r="E80" s="1" t="s">
        <v>4433</v>
      </c>
      <c r="F80" s="1" t="s">
        <v>4425</v>
      </c>
      <c r="G80" s="1" t="s">
        <v>4190</v>
      </c>
      <c r="H80" s="6" t="n">
        <v>44776</v>
      </c>
    </row>
    <row r="81" customFormat="false" ht="14.25" hidden="false" customHeight="true" outlineLevel="0" collapsed="false">
      <c r="A81" s="1" t="s">
        <v>382</v>
      </c>
      <c r="B81" s="1" t="s">
        <v>4267</v>
      </c>
      <c r="C81" s="1" t="s">
        <v>4416</v>
      </c>
      <c r="D81" s="1" t="s">
        <v>4431</v>
      </c>
      <c r="E81" s="1" t="s">
        <v>4418</v>
      </c>
      <c r="F81" s="1" t="s">
        <v>4422</v>
      </c>
      <c r="G81" s="1" t="s">
        <v>4203</v>
      </c>
      <c r="H81" s="6" t="n">
        <v>45682</v>
      </c>
    </row>
    <row r="82" customFormat="false" ht="14.25" hidden="false" customHeight="true" outlineLevel="0" collapsed="false">
      <c r="A82" s="1" t="s">
        <v>320</v>
      </c>
      <c r="B82" s="1" t="s">
        <v>4267</v>
      </c>
      <c r="C82" s="1" t="s">
        <v>4423</v>
      </c>
      <c r="D82" s="1" t="s">
        <v>4431</v>
      </c>
      <c r="E82" s="1" t="s">
        <v>4433</v>
      </c>
      <c r="F82" s="1" t="s">
        <v>4425</v>
      </c>
      <c r="G82" s="1" t="s">
        <v>4178</v>
      </c>
      <c r="H82" s="6" t="n">
        <v>45451</v>
      </c>
    </row>
    <row r="83" customFormat="false" ht="14.25" hidden="false" customHeight="true" outlineLevel="0" collapsed="false">
      <c r="A83" s="1" t="s">
        <v>590</v>
      </c>
      <c r="B83" s="1" t="s">
        <v>4446</v>
      </c>
      <c r="C83" s="1" t="s">
        <v>4432</v>
      </c>
      <c r="D83" s="1" t="s">
        <v>4428</v>
      </c>
      <c r="E83" s="1" t="s">
        <v>4418</v>
      </c>
      <c r="F83" s="1" t="s">
        <v>4419</v>
      </c>
      <c r="G83" s="1" t="s">
        <v>4176</v>
      </c>
      <c r="H83" s="6" t="n">
        <v>45696</v>
      </c>
    </row>
    <row r="84" customFormat="false" ht="14.25" hidden="false" customHeight="true" outlineLevel="0" collapsed="false">
      <c r="A84" s="1" t="s">
        <v>239</v>
      </c>
      <c r="B84" s="1" t="s">
        <v>4284</v>
      </c>
      <c r="C84" s="1" t="s">
        <v>4427</v>
      </c>
      <c r="D84" s="1" t="s">
        <v>4428</v>
      </c>
      <c r="E84" s="1" t="s">
        <v>4421</v>
      </c>
      <c r="F84" s="1" t="s">
        <v>4419</v>
      </c>
      <c r="G84" s="1" t="s">
        <v>4203</v>
      </c>
      <c r="H84" s="6" t="n">
        <v>44663</v>
      </c>
    </row>
    <row r="85" customFormat="false" ht="14.25" hidden="false" customHeight="true" outlineLevel="0" collapsed="false">
      <c r="A85" s="1" t="s">
        <v>331</v>
      </c>
      <c r="B85" s="1" t="s">
        <v>4315</v>
      </c>
      <c r="C85" s="1" t="s">
        <v>4423</v>
      </c>
      <c r="D85" s="1" t="s">
        <v>4431</v>
      </c>
      <c r="E85" s="1" t="s">
        <v>4418</v>
      </c>
      <c r="F85" s="1" t="s">
        <v>4419</v>
      </c>
      <c r="G85" s="1" t="s">
        <v>4190</v>
      </c>
      <c r="H85" s="6" t="n">
        <v>44569</v>
      </c>
    </row>
    <row r="86" customFormat="false" ht="14.25" hidden="false" customHeight="true" outlineLevel="0" collapsed="false">
      <c r="A86" s="1" t="s">
        <v>933</v>
      </c>
      <c r="B86" s="1" t="s">
        <v>4287</v>
      </c>
      <c r="C86" s="1" t="s">
        <v>4420</v>
      </c>
      <c r="D86" s="1" t="s">
        <v>4431</v>
      </c>
      <c r="E86" s="1" t="s">
        <v>4418</v>
      </c>
      <c r="F86" s="1" t="s">
        <v>4419</v>
      </c>
      <c r="G86" s="1" t="s">
        <v>4203</v>
      </c>
      <c r="H86" s="6" t="n">
        <v>44985</v>
      </c>
    </row>
    <row r="87" customFormat="false" ht="14.25" hidden="false" customHeight="true" outlineLevel="0" collapsed="false">
      <c r="A87" s="1" t="s">
        <v>377</v>
      </c>
      <c r="B87" s="1" t="s">
        <v>4276</v>
      </c>
      <c r="C87" s="1" t="s">
        <v>4432</v>
      </c>
      <c r="D87" s="1" t="s">
        <v>4431</v>
      </c>
      <c r="E87" s="1" t="s">
        <v>4433</v>
      </c>
      <c r="F87" s="1" t="s">
        <v>4425</v>
      </c>
      <c r="G87" s="1" t="s">
        <v>4176</v>
      </c>
      <c r="H87" s="6" t="n">
        <v>45526</v>
      </c>
    </row>
    <row r="88" customFormat="false" ht="14.25" hidden="false" customHeight="true" outlineLevel="0" collapsed="false">
      <c r="A88" s="1" t="s">
        <v>865</v>
      </c>
      <c r="B88" s="1" t="s">
        <v>4219</v>
      </c>
      <c r="C88" s="1" t="s">
        <v>4432</v>
      </c>
      <c r="D88" s="1" t="s">
        <v>4431</v>
      </c>
      <c r="E88" s="1" t="s">
        <v>4418</v>
      </c>
      <c r="F88" s="1" t="s">
        <v>4425</v>
      </c>
      <c r="G88" s="1" t="s">
        <v>4176</v>
      </c>
      <c r="H88" s="6" t="n">
        <v>45318</v>
      </c>
    </row>
    <row r="89" customFormat="false" ht="14.25" hidden="false" customHeight="true" outlineLevel="0" collapsed="false">
      <c r="A89" s="1" t="s">
        <v>722</v>
      </c>
      <c r="B89" s="1" t="s">
        <v>4317</v>
      </c>
      <c r="C89" s="1" t="s">
        <v>4432</v>
      </c>
      <c r="D89" s="1" t="s">
        <v>4428</v>
      </c>
      <c r="E89" s="1" t="s">
        <v>4429</v>
      </c>
      <c r="F89" s="1" t="s">
        <v>4425</v>
      </c>
      <c r="G89" s="1" t="s">
        <v>4190</v>
      </c>
      <c r="H89" s="6" t="n">
        <v>45025</v>
      </c>
    </row>
    <row r="90" customFormat="false" ht="14.25" hidden="false" customHeight="true" outlineLevel="0" collapsed="false">
      <c r="A90" s="1" t="s">
        <v>183</v>
      </c>
      <c r="B90" s="1" t="s">
        <v>4323</v>
      </c>
      <c r="C90" s="1" t="s">
        <v>4432</v>
      </c>
      <c r="D90" s="1" t="s">
        <v>4417</v>
      </c>
      <c r="E90" s="1" t="s">
        <v>4433</v>
      </c>
      <c r="F90" s="1" t="s">
        <v>4419</v>
      </c>
      <c r="G90" s="1" t="s">
        <v>4190</v>
      </c>
      <c r="H90" s="6" t="n">
        <v>45670</v>
      </c>
    </row>
    <row r="91" customFormat="false" ht="14.25" hidden="false" customHeight="true" outlineLevel="0" collapsed="false">
      <c r="A91" s="1" t="s">
        <v>485</v>
      </c>
      <c r="B91" s="1" t="s">
        <v>4193</v>
      </c>
      <c r="C91" s="1" t="s">
        <v>4416</v>
      </c>
      <c r="D91" s="1" t="s">
        <v>4424</v>
      </c>
      <c r="E91" s="1" t="s">
        <v>4429</v>
      </c>
      <c r="F91" s="1" t="s">
        <v>4422</v>
      </c>
      <c r="G91" s="1" t="s">
        <v>4176</v>
      </c>
      <c r="H91" s="6" t="n">
        <v>45658</v>
      </c>
    </row>
    <row r="92" customFormat="false" ht="14.25" hidden="false" customHeight="true" outlineLevel="0" collapsed="false">
      <c r="A92" s="1" t="s">
        <v>59</v>
      </c>
      <c r="B92" s="1" t="s">
        <v>4447</v>
      </c>
      <c r="C92" s="1" t="s">
        <v>4416</v>
      </c>
      <c r="D92" s="1" t="s">
        <v>4431</v>
      </c>
      <c r="E92" s="1" t="s">
        <v>4421</v>
      </c>
      <c r="F92" s="1" t="s">
        <v>4419</v>
      </c>
      <c r="G92" s="1" t="s">
        <v>4176</v>
      </c>
      <c r="H92" s="6" t="n">
        <v>44633</v>
      </c>
    </row>
    <row r="93" customFormat="false" ht="14.25" hidden="false" customHeight="true" outlineLevel="0" collapsed="false">
      <c r="A93" s="1" t="s">
        <v>481</v>
      </c>
      <c r="B93" s="1" t="s">
        <v>4309</v>
      </c>
      <c r="C93" s="1" t="s">
        <v>4423</v>
      </c>
      <c r="D93" s="1" t="s">
        <v>4417</v>
      </c>
      <c r="E93" s="1" t="s">
        <v>4433</v>
      </c>
      <c r="F93" s="1" t="s">
        <v>4425</v>
      </c>
      <c r="G93" s="1" t="s">
        <v>4178</v>
      </c>
      <c r="H93" s="6" t="n">
        <v>44904</v>
      </c>
    </row>
    <row r="94" customFormat="false" ht="14.25" hidden="false" customHeight="true" outlineLevel="0" collapsed="false">
      <c r="A94" s="1" t="s">
        <v>222</v>
      </c>
      <c r="B94" s="1" t="s">
        <v>4283</v>
      </c>
      <c r="C94" s="1" t="s">
        <v>4416</v>
      </c>
      <c r="D94" s="1" t="s">
        <v>4424</v>
      </c>
      <c r="E94" s="1" t="s">
        <v>4429</v>
      </c>
      <c r="F94" s="1" t="s">
        <v>4419</v>
      </c>
      <c r="G94" s="1" t="s">
        <v>4176</v>
      </c>
      <c r="H94" s="6" t="n">
        <v>44975</v>
      </c>
    </row>
    <row r="95" customFormat="false" ht="14.25" hidden="false" customHeight="true" outlineLevel="0" collapsed="false">
      <c r="A95" s="1" t="s">
        <v>227</v>
      </c>
      <c r="B95" s="1" t="s">
        <v>4256</v>
      </c>
      <c r="C95" s="1" t="s">
        <v>4420</v>
      </c>
      <c r="D95" s="1" t="s">
        <v>4428</v>
      </c>
      <c r="E95" s="1" t="s">
        <v>4433</v>
      </c>
      <c r="F95" s="1" t="s">
        <v>4419</v>
      </c>
      <c r="G95" s="1" t="s">
        <v>4176</v>
      </c>
      <c r="H95" s="6" t="n">
        <v>45701</v>
      </c>
    </row>
    <row r="96" customFormat="false" ht="14.25" hidden="false" customHeight="true" outlineLevel="0" collapsed="false">
      <c r="A96" s="1" t="s">
        <v>964</v>
      </c>
      <c r="B96" s="1" t="s">
        <v>4280</v>
      </c>
      <c r="C96" s="1" t="s">
        <v>4420</v>
      </c>
      <c r="D96" s="1" t="s">
        <v>4428</v>
      </c>
      <c r="E96" s="1" t="s">
        <v>4429</v>
      </c>
      <c r="F96" s="1" t="s">
        <v>4419</v>
      </c>
      <c r="G96" s="1" t="s">
        <v>4176</v>
      </c>
      <c r="H96" s="6" t="n">
        <v>44792</v>
      </c>
    </row>
    <row r="97" customFormat="false" ht="14.25" hidden="false" customHeight="true" outlineLevel="0" collapsed="false">
      <c r="A97" s="1" t="s">
        <v>268</v>
      </c>
      <c r="B97" s="1" t="s">
        <v>4206</v>
      </c>
      <c r="C97" s="1" t="s">
        <v>4416</v>
      </c>
      <c r="D97" s="1" t="s">
        <v>4424</v>
      </c>
      <c r="E97" s="1" t="s">
        <v>4433</v>
      </c>
      <c r="F97" s="1" t="s">
        <v>4422</v>
      </c>
      <c r="G97" s="1" t="s">
        <v>4203</v>
      </c>
      <c r="H97" s="6" t="n">
        <v>45147</v>
      </c>
    </row>
    <row r="98" customFormat="false" ht="14.25" hidden="false" customHeight="true" outlineLevel="0" collapsed="false">
      <c r="A98" s="1" t="s">
        <v>1029</v>
      </c>
      <c r="B98" s="1" t="s">
        <v>4341</v>
      </c>
      <c r="C98" s="1" t="s">
        <v>4434</v>
      </c>
      <c r="D98" s="1" t="s">
        <v>4428</v>
      </c>
      <c r="E98" s="1" t="s">
        <v>4429</v>
      </c>
      <c r="F98" s="1" t="s">
        <v>4422</v>
      </c>
      <c r="G98" s="1" t="s">
        <v>4176</v>
      </c>
      <c r="H98" s="6" t="n">
        <v>45733</v>
      </c>
    </row>
    <row r="99" customFormat="false" ht="14.25" hidden="false" customHeight="true" outlineLevel="0" collapsed="false">
      <c r="A99" s="1" t="s">
        <v>208</v>
      </c>
      <c r="B99" s="1" t="s">
        <v>4259</v>
      </c>
      <c r="C99" s="1" t="s">
        <v>4432</v>
      </c>
      <c r="D99" s="1" t="s">
        <v>4417</v>
      </c>
      <c r="E99" s="1" t="s">
        <v>4421</v>
      </c>
      <c r="F99" s="1" t="s">
        <v>4425</v>
      </c>
      <c r="G99" s="1" t="s">
        <v>4178</v>
      </c>
      <c r="H99" s="6" t="n">
        <v>45384</v>
      </c>
    </row>
    <row r="100" customFormat="false" ht="14.25" hidden="false" customHeight="true" outlineLevel="0" collapsed="false">
      <c r="A100" s="1" t="s">
        <v>341</v>
      </c>
      <c r="B100" s="1" t="s">
        <v>4445</v>
      </c>
      <c r="C100" s="1" t="s">
        <v>4420</v>
      </c>
      <c r="D100" s="1" t="s">
        <v>4417</v>
      </c>
      <c r="E100" s="1" t="s">
        <v>4433</v>
      </c>
      <c r="F100" s="1" t="s">
        <v>4422</v>
      </c>
      <c r="G100" s="1" t="s">
        <v>4176</v>
      </c>
      <c r="H100" s="6" t="n">
        <v>45112</v>
      </c>
    </row>
    <row r="101" customFormat="false" ht="14.25" hidden="false" customHeight="true" outlineLevel="0" collapsed="false">
      <c r="A101" s="1" t="s">
        <v>558</v>
      </c>
      <c r="B101" s="1" t="s">
        <v>4437</v>
      </c>
      <c r="C101" s="1" t="s">
        <v>4420</v>
      </c>
      <c r="D101" s="1" t="s">
        <v>4428</v>
      </c>
      <c r="E101" s="1" t="s">
        <v>4421</v>
      </c>
      <c r="F101" s="1" t="s">
        <v>4425</v>
      </c>
      <c r="G101" s="1" t="s">
        <v>4176</v>
      </c>
      <c r="H101" s="6" t="n">
        <v>44763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1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2.88"/>
    <col collapsed="false" customWidth="true" hidden="false" outlineLevel="0" max="2" min="2" style="1" width="19.88"/>
    <col collapsed="false" customWidth="true" hidden="false" outlineLevel="0" max="3" min="3" style="1" width="16.44"/>
    <col collapsed="false" customWidth="true" hidden="false" outlineLevel="0" max="4" min="4" style="1" width="17"/>
    <col collapsed="false" customWidth="true" hidden="false" outlineLevel="0" max="5" min="5" style="1" width="28"/>
    <col collapsed="false" customWidth="true" hidden="false" outlineLevel="0" max="6" min="6" style="1" width="16.33"/>
    <col collapsed="false" customWidth="true" hidden="false" outlineLevel="0" max="7" min="7" style="1" width="18"/>
  </cols>
  <sheetData>
    <row r="1" customFormat="false" ht="14.25" hidden="false" customHeight="true" outlineLevel="0" collapsed="false">
      <c r="A1" s="4" t="s">
        <v>13</v>
      </c>
      <c r="B1" s="4" t="s">
        <v>4408</v>
      </c>
      <c r="C1" s="4" t="s">
        <v>4409</v>
      </c>
      <c r="D1" s="4" t="s">
        <v>4448</v>
      </c>
      <c r="E1" s="4" t="s">
        <v>4449</v>
      </c>
      <c r="F1" s="4" t="s">
        <v>26</v>
      </c>
      <c r="G1" s="4" t="s">
        <v>22</v>
      </c>
    </row>
    <row r="2" customFormat="false" ht="14.25" hidden="false" customHeight="true" outlineLevel="0" collapsed="false">
      <c r="A2" s="1" t="s">
        <v>34</v>
      </c>
      <c r="B2" s="1" t="s">
        <v>4322</v>
      </c>
      <c r="C2" s="1" t="s">
        <v>4416</v>
      </c>
      <c r="D2" s="1" t="s">
        <v>4450</v>
      </c>
      <c r="E2" s="1" t="s">
        <v>4451</v>
      </c>
      <c r="F2" s="1" t="s">
        <v>41</v>
      </c>
      <c r="G2" s="1" t="n">
        <v>37314.32</v>
      </c>
    </row>
    <row r="3" customFormat="false" ht="14.25" hidden="false" customHeight="true" outlineLevel="0" collapsed="false">
      <c r="A3" s="1" t="s">
        <v>45</v>
      </c>
      <c r="B3" s="1" t="s">
        <v>4251</v>
      </c>
      <c r="C3" s="1" t="s">
        <v>4427</v>
      </c>
      <c r="D3" s="1" t="s">
        <v>4452</v>
      </c>
      <c r="E3" s="1" t="s">
        <v>4453</v>
      </c>
      <c r="F3" s="1" t="s">
        <v>52</v>
      </c>
      <c r="G3" s="1" t="n">
        <v>41140.36</v>
      </c>
    </row>
    <row r="4" customFormat="false" ht="14.25" hidden="false" customHeight="true" outlineLevel="0" collapsed="false">
      <c r="A4" s="1" t="s">
        <v>56</v>
      </c>
      <c r="B4" s="1" t="s">
        <v>4447</v>
      </c>
      <c r="C4" s="1" t="s">
        <v>4416</v>
      </c>
      <c r="D4" s="1" t="s">
        <v>4454</v>
      </c>
      <c r="E4" s="1" t="s">
        <v>4455</v>
      </c>
      <c r="F4" s="1" t="s">
        <v>52</v>
      </c>
      <c r="G4" s="1" t="n">
        <v>10435.98</v>
      </c>
    </row>
    <row r="5" customFormat="false" ht="14.25" hidden="false" customHeight="true" outlineLevel="0" collapsed="false">
      <c r="A5" s="1" t="s">
        <v>66</v>
      </c>
      <c r="B5" s="1" t="s">
        <v>4268</v>
      </c>
      <c r="C5" s="1" t="s">
        <v>4420</v>
      </c>
      <c r="D5" s="1" t="s">
        <v>4454</v>
      </c>
      <c r="E5" s="1" t="s">
        <v>4456</v>
      </c>
      <c r="F5" s="1" t="s">
        <v>52</v>
      </c>
      <c r="G5" s="1" t="n">
        <v>34218.13</v>
      </c>
    </row>
    <row r="6" customFormat="false" ht="14.25" hidden="false" customHeight="true" outlineLevel="0" collapsed="false">
      <c r="A6" s="1" t="s">
        <v>76</v>
      </c>
      <c r="B6" s="1" t="s">
        <v>4287</v>
      </c>
      <c r="C6" s="1" t="s">
        <v>4434</v>
      </c>
      <c r="D6" s="1" t="s">
        <v>4457</v>
      </c>
      <c r="E6" s="1" t="s">
        <v>4458</v>
      </c>
      <c r="F6" s="1" t="s">
        <v>41</v>
      </c>
      <c r="G6" s="1" t="n">
        <v>19635</v>
      </c>
    </row>
    <row r="7" customFormat="false" ht="14.25" hidden="false" customHeight="true" outlineLevel="0" collapsed="false">
      <c r="A7" s="1" t="s">
        <v>83</v>
      </c>
      <c r="B7" s="1" t="s">
        <v>4342</v>
      </c>
      <c r="C7" s="1" t="s">
        <v>4434</v>
      </c>
      <c r="D7" s="1" t="s">
        <v>4457</v>
      </c>
      <c r="E7" s="1" t="s">
        <v>4459</v>
      </c>
      <c r="F7" s="1" t="s">
        <v>41</v>
      </c>
      <c r="G7" s="1" t="n">
        <v>45620.01</v>
      </c>
    </row>
    <row r="8" customFormat="false" ht="14.25" hidden="false" customHeight="true" outlineLevel="0" collapsed="false">
      <c r="A8" s="1" t="s">
        <v>90</v>
      </c>
      <c r="B8" s="1" t="s">
        <v>4415</v>
      </c>
      <c r="C8" s="1" t="s">
        <v>4416</v>
      </c>
      <c r="D8" s="1" t="s">
        <v>4457</v>
      </c>
      <c r="E8" s="1" t="s">
        <v>4460</v>
      </c>
      <c r="F8" s="1" t="s">
        <v>41</v>
      </c>
      <c r="G8" s="1" t="n">
        <v>23601.55</v>
      </c>
    </row>
    <row r="9" customFormat="false" ht="14.25" hidden="false" customHeight="true" outlineLevel="0" collapsed="false">
      <c r="A9" s="1" t="s">
        <v>97</v>
      </c>
      <c r="B9" s="1" t="s">
        <v>4260</v>
      </c>
      <c r="C9" s="1" t="s">
        <v>4427</v>
      </c>
      <c r="D9" s="1" t="s">
        <v>4457</v>
      </c>
      <c r="E9" s="1" t="s">
        <v>4461</v>
      </c>
      <c r="F9" s="1" t="s">
        <v>41</v>
      </c>
      <c r="G9" s="1" t="n">
        <v>49423.87</v>
      </c>
    </row>
    <row r="10" customFormat="false" ht="14.25" hidden="false" customHeight="true" outlineLevel="0" collapsed="false">
      <c r="A10" s="1" t="s">
        <v>104</v>
      </c>
      <c r="B10" s="1" t="s">
        <v>4462</v>
      </c>
      <c r="C10" s="1" t="s">
        <v>4427</v>
      </c>
      <c r="D10" s="1" t="s">
        <v>4454</v>
      </c>
      <c r="E10" s="1" t="s">
        <v>4463</v>
      </c>
      <c r="F10" s="1" t="s">
        <v>111</v>
      </c>
      <c r="G10" s="1" t="n">
        <v>32942.33</v>
      </c>
    </row>
    <row r="11" customFormat="false" ht="14.25" hidden="false" customHeight="true" outlineLevel="0" collapsed="false">
      <c r="A11" s="1" t="s">
        <v>113</v>
      </c>
      <c r="B11" s="1" t="s">
        <v>4301</v>
      </c>
      <c r="C11" s="1" t="s">
        <v>4423</v>
      </c>
      <c r="D11" s="1" t="s">
        <v>4464</v>
      </c>
      <c r="E11" s="1" t="s">
        <v>4465</v>
      </c>
      <c r="F11" s="1" t="s">
        <v>111</v>
      </c>
      <c r="G11" s="1" t="n">
        <v>32096.52</v>
      </c>
    </row>
    <row r="12" customFormat="false" ht="14.25" hidden="false" customHeight="true" outlineLevel="0" collapsed="false">
      <c r="A12" s="1" t="s">
        <v>120</v>
      </c>
      <c r="B12" s="1" t="s">
        <v>4281</v>
      </c>
      <c r="C12" s="1" t="s">
        <v>4466</v>
      </c>
      <c r="D12" s="1" t="s">
        <v>4454</v>
      </c>
      <c r="E12" s="1" t="s">
        <v>4467</v>
      </c>
      <c r="F12" s="1" t="s">
        <v>111</v>
      </c>
      <c r="G12" s="1" t="n">
        <v>36396.74</v>
      </c>
    </row>
    <row r="13" customFormat="false" ht="14.25" hidden="false" customHeight="true" outlineLevel="0" collapsed="false">
      <c r="A13" s="1" t="s">
        <v>127</v>
      </c>
      <c r="B13" s="1" t="s">
        <v>4240</v>
      </c>
      <c r="C13" s="1" t="s">
        <v>4427</v>
      </c>
      <c r="D13" s="1" t="s">
        <v>4454</v>
      </c>
      <c r="E13" s="1" t="s">
        <v>4468</v>
      </c>
      <c r="F13" s="1" t="s">
        <v>52</v>
      </c>
      <c r="G13" s="1" t="n">
        <v>16900.2</v>
      </c>
    </row>
    <row r="14" customFormat="false" ht="27.75" hidden="false" customHeight="true" outlineLevel="0" collapsed="false">
      <c r="A14" s="1" t="s">
        <v>134</v>
      </c>
      <c r="B14" s="40" t="s">
        <v>4469</v>
      </c>
      <c r="C14" s="1" t="s">
        <v>4423</v>
      </c>
      <c r="D14" s="1" t="s">
        <v>4470</v>
      </c>
      <c r="E14" s="1" t="s">
        <v>4471</v>
      </c>
      <c r="F14" s="1" t="s">
        <v>41</v>
      </c>
      <c r="G14" s="1" t="n">
        <v>20948.81</v>
      </c>
    </row>
    <row r="15" customFormat="false" ht="14.25" hidden="false" customHeight="true" outlineLevel="0" collapsed="false">
      <c r="A15" s="1" t="s">
        <v>142</v>
      </c>
      <c r="B15" s="1" t="s">
        <v>4232</v>
      </c>
      <c r="C15" s="1" t="s">
        <v>4432</v>
      </c>
      <c r="D15" s="1" t="s">
        <v>4454</v>
      </c>
      <c r="E15" s="1" t="s">
        <v>4472</v>
      </c>
      <c r="F15" s="1" t="s">
        <v>41</v>
      </c>
      <c r="G15" s="1" t="n">
        <v>31736.12</v>
      </c>
    </row>
    <row r="16" customFormat="false" ht="14.25" hidden="false" customHeight="true" outlineLevel="0" collapsed="false">
      <c r="A16" s="1" t="s">
        <v>149</v>
      </c>
      <c r="B16" s="1" t="s">
        <v>4256</v>
      </c>
      <c r="C16" s="1" t="s">
        <v>4427</v>
      </c>
      <c r="D16" s="1" t="s">
        <v>4473</v>
      </c>
      <c r="E16" s="1" t="s">
        <v>4474</v>
      </c>
      <c r="F16" s="1" t="s">
        <v>41</v>
      </c>
      <c r="G16" s="1" t="n">
        <v>21968.72</v>
      </c>
    </row>
    <row r="17" customFormat="false" ht="14.25" hidden="false" customHeight="true" outlineLevel="0" collapsed="false">
      <c r="A17" s="1" t="s">
        <v>157</v>
      </c>
      <c r="B17" s="1" t="s">
        <v>4258</v>
      </c>
      <c r="C17" s="1" t="s">
        <v>4423</v>
      </c>
      <c r="D17" s="1" t="s">
        <v>4470</v>
      </c>
      <c r="E17" s="1" t="s">
        <v>4475</v>
      </c>
      <c r="F17" s="1" t="s">
        <v>41</v>
      </c>
      <c r="G17" s="1" t="n">
        <v>33999.03</v>
      </c>
    </row>
    <row r="18" customFormat="false" ht="14.25" hidden="false" customHeight="true" outlineLevel="0" collapsed="false">
      <c r="A18" s="1" t="s">
        <v>162</v>
      </c>
      <c r="B18" s="1" t="s">
        <v>4247</v>
      </c>
      <c r="C18" s="1" t="s">
        <v>4423</v>
      </c>
      <c r="D18" s="1" t="s">
        <v>4473</v>
      </c>
      <c r="E18" s="1" t="s">
        <v>4476</v>
      </c>
      <c r="F18" s="1" t="s">
        <v>41</v>
      </c>
      <c r="G18" s="1" t="n">
        <v>14895.98</v>
      </c>
    </row>
    <row r="19" customFormat="false" ht="14.25" hidden="false" customHeight="true" outlineLevel="0" collapsed="false">
      <c r="A19" s="1" t="s">
        <v>174</v>
      </c>
      <c r="B19" s="1" t="s">
        <v>4477</v>
      </c>
      <c r="C19" s="1" t="s">
        <v>4432</v>
      </c>
      <c r="D19" s="1" t="s">
        <v>4473</v>
      </c>
      <c r="E19" s="1" t="s">
        <v>4478</v>
      </c>
      <c r="F19" s="1" t="s">
        <v>41</v>
      </c>
      <c r="G19" s="1" t="n">
        <v>11603.91</v>
      </c>
    </row>
    <row r="20" customFormat="false" ht="14.25" hidden="false" customHeight="true" outlineLevel="0" collapsed="false">
      <c r="A20" s="1" t="s">
        <v>180</v>
      </c>
      <c r="B20" s="1" t="s">
        <v>4323</v>
      </c>
      <c r="C20" s="1" t="s">
        <v>4432</v>
      </c>
      <c r="D20" s="1" t="s">
        <v>4454</v>
      </c>
      <c r="E20" s="1" t="s">
        <v>4479</v>
      </c>
      <c r="F20" s="1" t="s">
        <v>111</v>
      </c>
      <c r="G20" s="1" t="n">
        <v>29899.24</v>
      </c>
    </row>
    <row r="21" customFormat="false" ht="14.25" hidden="false" customHeight="true" outlineLevel="0" collapsed="false">
      <c r="A21" s="1" t="s">
        <v>186</v>
      </c>
      <c r="B21" s="1" t="s">
        <v>4290</v>
      </c>
      <c r="C21" s="1" t="s">
        <v>4427</v>
      </c>
      <c r="D21" s="1" t="s">
        <v>4480</v>
      </c>
      <c r="E21" s="1" t="s">
        <v>4481</v>
      </c>
      <c r="F21" s="1" t="s">
        <v>41</v>
      </c>
      <c r="G21" s="1" t="n">
        <v>8079.79</v>
      </c>
    </row>
    <row r="22" customFormat="false" ht="14.25" hidden="false" customHeight="true" outlineLevel="0" collapsed="false">
      <c r="A22" s="1" t="s">
        <v>192</v>
      </c>
      <c r="B22" s="1" t="s">
        <v>4342</v>
      </c>
      <c r="C22" s="1" t="s">
        <v>4434</v>
      </c>
      <c r="D22" s="1" t="s">
        <v>4473</v>
      </c>
      <c r="E22" s="1" t="s">
        <v>4459</v>
      </c>
      <c r="F22" s="1" t="s">
        <v>111</v>
      </c>
      <c r="G22" s="1" t="n">
        <v>6327.86</v>
      </c>
    </row>
    <row r="23" customFormat="false" ht="14.25" hidden="false" customHeight="true" outlineLevel="0" collapsed="false">
      <c r="A23" s="1" t="s">
        <v>196</v>
      </c>
      <c r="B23" s="1" t="s">
        <v>4415</v>
      </c>
      <c r="C23" s="1" t="s">
        <v>4482</v>
      </c>
      <c r="D23" s="1" t="s">
        <v>4483</v>
      </c>
      <c r="E23" s="1" t="s">
        <v>4460</v>
      </c>
      <c r="F23" s="1" t="s">
        <v>41</v>
      </c>
      <c r="G23" s="1" t="n">
        <v>8438.49</v>
      </c>
    </row>
    <row r="24" customFormat="false" ht="14.25" hidden="false" customHeight="true" outlineLevel="0" collapsed="false">
      <c r="A24" s="1" t="s">
        <v>201</v>
      </c>
      <c r="B24" s="1" t="s">
        <v>4435</v>
      </c>
      <c r="C24" s="1" t="s">
        <v>4427</v>
      </c>
      <c r="D24" s="1" t="s">
        <v>4457</v>
      </c>
      <c r="E24" s="1" t="s">
        <v>4484</v>
      </c>
      <c r="F24" s="1" t="s">
        <v>41</v>
      </c>
      <c r="G24" s="1" t="n">
        <v>47497.58</v>
      </c>
    </row>
    <row r="25" customFormat="false" ht="14.25" hidden="false" customHeight="true" outlineLevel="0" collapsed="false">
      <c r="A25" s="1" t="s">
        <v>206</v>
      </c>
      <c r="B25" s="1" t="s">
        <v>4259</v>
      </c>
      <c r="C25" s="1" t="s">
        <v>4432</v>
      </c>
      <c r="D25" s="1" t="s">
        <v>4450</v>
      </c>
      <c r="E25" s="1" t="s">
        <v>4485</v>
      </c>
      <c r="F25" s="1" t="s">
        <v>52</v>
      </c>
      <c r="G25" s="1" t="n">
        <v>42686.31</v>
      </c>
    </row>
    <row r="26" customFormat="false" ht="14.25" hidden="false" customHeight="true" outlineLevel="0" collapsed="false">
      <c r="A26" s="1" t="s">
        <v>213</v>
      </c>
      <c r="B26" s="1" t="s">
        <v>4253</v>
      </c>
      <c r="C26" s="1" t="s">
        <v>4434</v>
      </c>
      <c r="D26" s="1" t="s">
        <v>4473</v>
      </c>
      <c r="E26" s="1" t="s">
        <v>4486</v>
      </c>
      <c r="F26" s="1" t="s">
        <v>41</v>
      </c>
      <c r="G26" s="1" t="n">
        <v>22166.87</v>
      </c>
    </row>
    <row r="27" customFormat="false" ht="27.75" hidden="false" customHeight="true" outlineLevel="0" collapsed="false">
      <c r="A27" s="1" t="s">
        <v>219</v>
      </c>
      <c r="B27" s="40" t="s">
        <v>4487</v>
      </c>
      <c r="C27" s="1" t="s">
        <v>4416</v>
      </c>
      <c r="D27" s="1" t="s">
        <v>4450</v>
      </c>
      <c r="E27" s="1" t="s">
        <v>4488</v>
      </c>
      <c r="F27" s="1" t="s">
        <v>52</v>
      </c>
      <c r="G27" s="1" t="n">
        <v>40095.01</v>
      </c>
    </row>
    <row r="28" customFormat="false" ht="14.25" hidden="false" customHeight="true" outlineLevel="0" collapsed="false">
      <c r="A28" s="1" t="s">
        <v>225</v>
      </c>
      <c r="B28" s="1" t="s">
        <v>4489</v>
      </c>
      <c r="C28" s="1" t="s">
        <v>4420</v>
      </c>
      <c r="D28" s="1" t="s">
        <v>4473</v>
      </c>
      <c r="E28" s="1" t="s">
        <v>4490</v>
      </c>
      <c r="F28" s="1" t="s">
        <v>52</v>
      </c>
      <c r="G28" s="1" t="n">
        <v>34080.46</v>
      </c>
    </row>
    <row r="29" customFormat="false" ht="14.25" hidden="false" customHeight="true" outlineLevel="0" collapsed="false">
      <c r="A29" s="1" t="s">
        <v>231</v>
      </c>
      <c r="B29" s="1" t="s">
        <v>4318</v>
      </c>
      <c r="C29" s="1" t="s">
        <v>4432</v>
      </c>
      <c r="D29" s="1" t="s">
        <v>4470</v>
      </c>
      <c r="E29" s="1" t="s">
        <v>4491</v>
      </c>
      <c r="F29" s="1" t="s">
        <v>41</v>
      </c>
      <c r="G29" s="1" t="n">
        <v>32921.19</v>
      </c>
    </row>
    <row r="30" customFormat="false" ht="14.25" hidden="false" customHeight="true" outlineLevel="0" collapsed="false">
      <c r="A30" s="1" t="s">
        <v>237</v>
      </c>
      <c r="B30" s="1" t="s">
        <v>4284</v>
      </c>
      <c r="C30" s="1" t="s">
        <v>4427</v>
      </c>
      <c r="D30" s="1" t="s">
        <v>4454</v>
      </c>
      <c r="E30" s="1" t="s">
        <v>4492</v>
      </c>
      <c r="F30" s="1" t="s">
        <v>111</v>
      </c>
      <c r="G30" s="1" t="n">
        <v>7858.4</v>
      </c>
    </row>
    <row r="31" customFormat="false" ht="14.25" hidden="false" customHeight="true" outlineLevel="0" collapsed="false">
      <c r="A31" s="1" t="s">
        <v>242</v>
      </c>
      <c r="B31" s="1" t="s">
        <v>4444</v>
      </c>
      <c r="C31" s="1" t="s">
        <v>4427</v>
      </c>
      <c r="D31" s="1" t="s">
        <v>4493</v>
      </c>
      <c r="E31" s="1" t="s">
        <v>4494</v>
      </c>
      <c r="F31" s="1" t="s">
        <v>52</v>
      </c>
      <c r="G31" s="1" t="n">
        <v>16371.37</v>
      </c>
    </row>
    <row r="32" customFormat="false" ht="14.25" hidden="false" customHeight="true" outlineLevel="0" collapsed="false">
      <c r="A32" s="1" t="s">
        <v>248</v>
      </c>
      <c r="B32" s="1" t="s">
        <v>4439</v>
      </c>
      <c r="C32" s="1" t="s">
        <v>4423</v>
      </c>
      <c r="D32" s="1" t="s">
        <v>4452</v>
      </c>
      <c r="E32" s="1" t="s">
        <v>4495</v>
      </c>
      <c r="F32" s="1" t="s">
        <v>41</v>
      </c>
      <c r="G32" s="1" t="n">
        <v>42901.17</v>
      </c>
    </row>
    <row r="33" customFormat="false" ht="14.25" hidden="false" customHeight="true" outlineLevel="0" collapsed="false">
      <c r="A33" s="1" t="s">
        <v>255</v>
      </c>
      <c r="B33" s="1" t="s">
        <v>4252</v>
      </c>
      <c r="C33" s="1" t="s">
        <v>4416</v>
      </c>
      <c r="D33" s="1" t="s">
        <v>4457</v>
      </c>
      <c r="E33" s="1" t="s">
        <v>4496</v>
      </c>
      <c r="F33" s="1" t="s">
        <v>260</v>
      </c>
      <c r="G33" s="1" t="n">
        <v>32058.14</v>
      </c>
    </row>
    <row r="34" customFormat="false" ht="14.25" hidden="false" customHeight="true" outlineLevel="0" collapsed="false">
      <c r="A34" s="1" t="s">
        <v>261</v>
      </c>
      <c r="B34" s="1" t="s">
        <v>4259</v>
      </c>
      <c r="C34" s="1" t="s">
        <v>4466</v>
      </c>
      <c r="D34" s="1" t="s">
        <v>4457</v>
      </c>
      <c r="E34" s="1" t="s">
        <v>4485</v>
      </c>
      <c r="F34" s="1" t="s">
        <v>111</v>
      </c>
      <c r="G34" s="1" t="n">
        <v>35974.57</v>
      </c>
    </row>
    <row r="35" customFormat="false" ht="14.25" hidden="false" customHeight="true" outlineLevel="0" collapsed="false">
      <c r="A35" s="1" t="s">
        <v>266</v>
      </c>
      <c r="B35" s="1" t="s">
        <v>4206</v>
      </c>
      <c r="C35" s="1" t="s">
        <v>4416</v>
      </c>
      <c r="D35" s="1" t="s">
        <v>4452</v>
      </c>
      <c r="E35" s="1" t="s">
        <v>4497</v>
      </c>
      <c r="F35" s="1" t="s">
        <v>41</v>
      </c>
      <c r="G35" s="1" t="n">
        <v>19007.57</v>
      </c>
    </row>
    <row r="36" customFormat="false" ht="14.25" hidden="false" customHeight="true" outlineLevel="0" collapsed="false">
      <c r="A36" s="1" t="s">
        <v>271</v>
      </c>
      <c r="B36" s="1" t="s">
        <v>4211</v>
      </c>
      <c r="C36" s="1" t="s">
        <v>4423</v>
      </c>
      <c r="D36" s="1" t="s">
        <v>4483</v>
      </c>
      <c r="E36" s="1" t="s">
        <v>4498</v>
      </c>
      <c r="F36" s="1" t="s">
        <v>52</v>
      </c>
      <c r="G36" s="1" t="n">
        <v>19948.38</v>
      </c>
    </row>
    <row r="37" customFormat="false" ht="14.25" hidden="false" customHeight="true" outlineLevel="0" collapsed="false">
      <c r="A37" s="1" t="s">
        <v>277</v>
      </c>
      <c r="B37" s="1" t="s">
        <v>4499</v>
      </c>
      <c r="C37" s="1" t="s">
        <v>4416</v>
      </c>
      <c r="D37" s="1" t="s">
        <v>4450</v>
      </c>
      <c r="E37" s="1" t="s">
        <v>4500</v>
      </c>
      <c r="F37" s="1" t="s">
        <v>260</v>
      </c>
      <c r="G37" s="1" t="n">
        <v>7164.48</v>
      </c>
    </row>
    <row r="38" customFormat="false" ht="14.25" hidden="false" customHeight="true" outlineLevel="0" collapsed="false">
      <c r="A38" s="1" t="s">
        <v>283</v>
      </c>
      <c r="B38" s="1" t="s">
        <v>4342</v>
      </c>
      <c r="C38" s="1" t="s">
        <v>4434</v>
      </c>
      <c r="D38" s="1" t="s">
        <v>4457</v>
      </c>
      <c r="E38" s="1" t="s">
        <v>4459</v>
      </c>
      <c r="F38" s="1" t="s">
        <v>52</v>
      </c>
      <c r="G38" s="1" t="n">
        <v>5625.92</v>
      </c>
    </row>
    <row r="39" customFormat="false" ht="14.25" hidden="false" customHeight="true" outlineLevel="0" collapsed="false">
      <c r="A39" s="1" t="s">
        <v>285</v>
      </c>
      <c r="B39" s="1" t="s">
        <v>4214</v>
      </c>
      <c r="C39" s="1" t="s">
        <v>4420</v>
      </c>
      <c r="D39" s="1" t="s">
        <v>4473</v>
      </c>
      <c r="E39" s="1" t="s">
        <v>4501</v>
      </c>
      <c r="F39" s="1" t="s">
        <v>41</v>
      </c>
      <c r="G39" s="1" t="n">
        <v>30324.96</v>
      </c>
    </row>
    <row r="40" customFormat="false" ht="27.75" hidden="false" customHeight="true" outlineLevel="0" collapsed="false">
      <c r="A40" s="1" t="s">
        <v>290</v>
      </c>
      <c r="B40" s="40" t="s">
        <v>4502</v>
      </c>
      <c r="C40" s="1" t="s">
        <v>4420</v>
      </c>
      <c r="D40" s="1" t="s">
        <v>4473</v>
      </c>
      <c r="E40" s="1" t="s">
        <v>4503</v>
      </c>
      <c r="F40" s="1" t="s">
        <v>260</v>
      </c>
      <c r="G40" s="1" t="n">
        <v>32679.28</v>
      </c>
    </row>
    <row r="41" customFormat="false" ht="14.25" hidden="false" customHeight="true" outlineLevel="0" collapsed="false">
      <c r="A41" s="1" t="s">
        <v>294</v>
      </c>
      <c r="B41" s="1" t="s">
        <v>4240</v>
      </c>
      <c r="C41" s="1" t="s">
        <v>4427</v>
      </c>
      <c r="D41" s="1" t="s">
        <v>4504</v>
      </c>
      <c r="E41" s="1" t="s">
        <v>4468</v>
      </c>
      <c r="F41" s="1" t="s">
        <v>52</v>
      </c>
      <c r="G41" s="1" t="n">
        <v>21408.13</v>
      </c>
    </row>
    <row r="42" customFormat="false" ht="14.25" hidden="false" customHeight="true" outlineLevel="0" collapsed="false">
      <c r="A42" s="1" t="s">
        <v>299</v>
      </c>
      <c r="B42" s="1" t="s">
        <v>4258</v>
      </c>
      <c r="C42" s="1" t="s">
        <v>4423</v>
      </c>
      <c r="D42" s="1" t="s">
        <v>4457</v>
      </c>
      <c r="E42" s="1" t="s">
        <v>4475</v>
      </c>
      <c r="F42" s="1" t="s">
        <v>41</v>
      </c>
      <c r="G42" s="1" t="n">
        <v>3570.62</v>
      </c>
    </row>
    <row r="43" customFormat="false" ht="14.25" hidden="false" customHeight="true" outlineLevel="0" collapsed="false">
      <c r="A43" s="1" t="s">
        <v>303</v>
      </c>
      <c r="B43" s="1" t="s">
        <v>4342</v>
      </c>
      <c r="C43" s="1" t="s">
        <v>4420</v>
      </c>
      <c r="D43" s="1" t="s">
        <v>4457</v>
      </c>
      <c r="E43" s="1" t="s">
        <v>4459</v>
      </c>
      <c r="F43" s="1" t="s">
        <v>41</v>
      </c>
      <c r="G43" s="1" t="n">
        <v>33392.43</v>
      </c>
    </row>
    <row r="44" customFormat="false" ht="14.25" hidden="false" customHeight="true" outlineLevel="0" collapsed="false">
      <c r="A44" s="1" t="s">
        <v>308</v>
      </c>
      <c r="B44" s="1" t="s">
        <v>4283</v>
      </c>
      <c r="C44" s="1" t="s">
        <v>4416</v>
      </c>
      <c r="D44" s="1" t="s">
        <v>4454</v>
      </c>
      <c r="E44" s="1" t="s">
        <v>4488</v>
      </c>
      <c r="F44" s="1" t="s">
        <v>111</v>
      </c>
      <c r="G44" s="1" t="n">
        <v>37877.83</v>
      </c>
    </row>
    <row r="45" customFormat="false" ht="14.25" hidden="false" customHeight="true" outlineLevel="0" collapsed="false">
      <c r="A45" s="1" t="s">
        <v>313</v>
      </c>
      <c r="B45" s="1" t="s">
        <v>4442</v>
      </c>
      <c r="C45" s="1" t="s">
        <v>4505</v>
      </c>
      <c r="D45" s="1" t="s">
        <v>4473</v>
      </c>
      <c r="E45" s="1" t="s">
        <v>4506</v>
      </c>
      <c r="F45" s="1" t="s">
        <v>260</v>
      </c>
      <c r="G45" s="1" t="n">
        <v>36886.43</v>
      </c>
    </row>
    <row r="46" customFormat="false" ht="14.25" hidden="false" customHeight="true" outlineLevel="0" collapsed="false">
      <c r="A46" s="1" t="s">
        <v>318</v>
      </c>
      <c r="B46" s="1" t="s">
        <v>4507</v>
      </c>
      <c r="C46" s="1" t="s">
        <v>4423</v>
      </c>
      <c r="D46" s="1" t="s">
        <v>4473</v>
      </c>
      <c r="E46" s="1" t="s">
        <v>4508</v>
      </c>
      <c r="F46" s="1" t="s">
        <v>41</v>
      </c>
      <c r="G46" s="1" t="n">
        <v>35629.62</v>
      </c>
    </row>
    <row r="47" customFormat="false" ht="14.25" hidden="false" customHeight="true" outlineLevel="0" collapsed="false">
      <c r="A47" s="1" t="s">
        <v>323</v>
      </c>
      <c r="B47" s="1" t="s">
        <v>4443</v>
      </c>
      <c r="C47" s="1" t="s">
        <v>4432</v>
      </c>
      <c r="D47" s="1" t="s">
        <v>4457</v>
      </c>
      <c r="E47" s="1" t="s">
        <v>4509</v>
      </c>
      <c r="F47" s="1" t="s">
        <v>41</v>
      </c>
      <c r="G47" s="1" t="n">
        <v>47870.89</v>
      </c>
    </row>
    <row r="48" customFormat="false" ht="14.25" hidden="false" customHeight="true" outlineLevel="0" collapsed="false">
      <c r="A48" s="1" t="s">
        <v>329</v>
      </c>
      <c r="B48" s="1" t="s">
        <v>4315</v>
      </c>
      <c r="C48" s="1" t="s">
        <v>4423</v>
      </c>
      <c r="D48" s="1" t="s">
        <v>4483</v>
      </c>
      <c r="E48" s="1" t="s">
        <v>4510</v>
      </c>
      <c r="F48" s="1" t="s">
        <v>41</v>
      </c>
      <c r="G48" s="1" t="n">
        <v>15031.93</v>
      </c>
    </row>
    <row r="49" customFormat="false" ht="14.25" hidden="false" customHeight="true" outlineLevel="0" collapsed="false">
      <c r="A49" s="1" t="s">
        <v>334</v>
      </c>
      <c r="B49" s="1" t="s">
        <v>4273</v>
      </c>
      <c r="C49" s="1" t="s">
        <v>4420</v>
      </c>
      <c r="D49" s="1" t="s">
        <v>4454</v>
      </c>
      <c r="E49" s="1" t="s">
        <v>4511</v>
      </c>
      <c r="F49" s="1" t="s">
        <v>52</v>
      </c>
      <c r="G49" s="1" t="n">
        <v>12569.44</v>
      </c>
    </row>
    <row r="50" customFormat="false" ht="14.25" hidden="false" customHeight="true" outlineLevel="0" collapsed="false">
      <c r="A50" s="1" t="s">
        <v>339</v>
      </c>
      <c r="B50" s="1" t="s">
        <v>4445</v>
      </c>
      <c r="C50" s="1" t="s">
        <v>4420</v>
      </c>
      <c r="D50" s="1" t="s">
        <v>4454</v>
      </c>
      <c r="E50" s="1" t="s">
        <v>4512</v>
      </c>
      <c r="F50" s="1" t="s">
        <v>41</v>
      </c>
      <c r="G50" s="1" t="n">
        <v>2670.66</v>
      </c>
    </row>
    <row r="51" customFormat="false" ht="14.25" hidden="false" customHeight="true" outlineLevel="0" collapsed="false">
      <c r="A51" s="1" t="s">
        <v>344</v>
      </c>
      <c r="B51" s="1" t="s">
        <v>4318</v>
      </c>
      <c r="C51" s="1" t="s">
        <v>4432</v>
      </c>
      <c r="D51" s="1" t="s">
        <v>4504</v>
      </c>
      <c r="E51" s="1" t="s">
        <v>4491</v>
      </c>
      <c r="F51" s="1" t="s">
        <v>52</v>
      </c>
      <c r="G51" s="1" t="n">
        <v>21498.37</v>
      </c>
    </row>
    <row r="52" customFormat="false" ht="14.25" hidden="false" customHeight="true" outlineLevel="0" collapsed="false">
      <c r="A52" s="1" t="s">
        <v>350</v>
      </c>
      <c r="B52" s="1" t="s">
        <v>4439</v>
      </c>
      <c r="C52" s="1" t="s">
        <v>4423</v>
      </c>
      <c r="D52" s="1" t="s">
        <v>4483</v>
      </c>
      <c r="E52" s="1" t="s">
        <v>4513</v>
      </c>
      <c r="F52" s="1" t="s">
        <v>41</v>
      </c>
      <c r="G52" s="1" t="n">
        <v>28960.63</v>
      </c>
    </row>
    <row r="53" customFormat="false" ht="27.75" hidden="false" customHeight="true" outlineLevel="0" collapsed="false">
      <c r="A53" s="1" t="s">
        <v>354</v>
      </c>
      <c r="B53" s="40" t="s">
        <v>4514</v>
      </c>
      <c r="C53" s="1" t="s">
        <v>4427</v>
      </c>
      <c r="D53" s="1" t="s">
        <v>4454</v>
      </c>
      <c r="E53" s="1" t="s">
        <v>4453</v>
      </c>
      <c r="F53" s="1" t="s">
        <v>41</v>
      </c>
      <c r="G53" s="1" t="n">
        <v>36154.14</v>
      </c>
    </row>
    <row r="54" customFormat="false" ht="14.25" hidden="false" customHeight="true" outlineLevel="0" collapsed="false">
      <c r="A54" s="1" t="s">
        <v>359</v>
      </c>
      <c r="B54" s="1" t="s">
        <v>4216</v>
      </c>
      <c r="C54" s="1" t="s">
        <v>4434</v>
      </c>
      <c r="D54" s="1" t="s">
        <v>4473</v>
      </c>
      <c r="E54" s="1" t="s">
        <v>4515</v>
      </c>
      <c r="F54" s="1" t="s">
        <v>41</v>
      </c>
      <c r="G54" s="1" t="n">
        <v>41195.06</v>
      </c>
    </row>
    <row r="55" customFormat="false" ht="14.25" hidden="false" customHeight="true" outlineLevel="0" collapsed="false">
      <c r="A55" s="1" t="s">
        <v>365</v>
      </c>
      <c r="B55" s="1" t="s">
        <v>4516</v>
      </c>
      <c r="C55" s="1" t="s">
        <v>4423</v>
      </c>
      <c r="D55" s="1" t="s">
        <v>4473</v>
      </c>
      <c r="E55" s="1" t="s">
        <v>4517</v>
      </c>
      <c r="F55" s="1" t="s">
        <v>111</v>
      </c>
      <c r="G55" s="1" t="n">
        <v>47890.89</v>
      </c>
    </row>
    <row r="56" customFormat="false" ht="14.25" hidden="false" customHeight="true" outlineLevel="0" collapsed="false">
      <c r="A56" s="1" t="s">
        <v>371</v>
      </c>
      <c r="B56" s="1" t="s">
        <v>4287</v>
      </c>
      <c r="C56" s="1" t="s">
        <v>4505</v>
      </c>
      <c r="D56" s="1" t="s">
        <v>4454</v>
      </c>
      <c r="E56" s="1" t="s">
        <v>4458</v>
      </c>
      <c r="F56" s="1" t="s">
        <v>41</v>
      </c>
      <c r="G56" s="1" t="n">
        <v>37200.81</v>
      </c>
    </row>
    <row r="57" customFormat="false" ht="14.25" hidden="false" customHeight="true" outlineLevel="0" collapsed="false">
      <c r="A57" s="1" t="s">
        <v>375</v>
      </c>
      <c r="B57" s="1" t="s">
        <v>4276</v>
      </c>
      <c r="C57" s="1" t="s">
        <v>4432</v>
      </c>
      <c r="D57" s="1" t="s">
        <v>4457</v>
      </c>
      <c r="E57" s="1" t="s">
        <v>4518</v>
      </c>
      <c r="F57" s="1" t="s">
        <v>52</v>
      </c>
      <c r="G57" s="1" t="n">
        <v>42643.69</v>
      </c>
    </row>
    <row r="58" customFormat="false" ht="14.25" hidden="false" customHeight="true" outlineLevel="0" collapsed="false">
      <c r="A58" s="1" t="s">
        <v>380</v>
      </c>
      <c r="B58" s="1" t="s">
        <v>4267</v>
      </c>
      <c r="C58" s="1" t="s">
        <v>4416</v>
      </c>
      <c r="D58" s="1" t="s">
        <v>4457</v>
      </c>
      <c r="E58" s="1" t="s">
        <v>4519</v>
      </c>
      <c r="F58" s="1" t="s">
        <v>260</v>
      </c>
      <c r="G58" s="1" t="n">
        <v>18178.35</v>
      </c>
    </row>
    <row r="59" customFormat="false" ht="14.25" hidden="false" customHeight="true" outlineLevel="0" collapsed="false">
      <c r="A59" s="1" t="s">
        <v>384</v>
      </c>
      <c r="B59" s="1" t="s">
        <v>4192</v>
      </c>
      <c r="C59" s="1" t="s">
        <v>4432</v>
      </c>
      <c r="D59" s="1" t="s">
        <v>4450</v>
      </c>
      <c r="E59" s="1" t="s">
        <v>4520</v>
      </c>
      <c r="F59" s="1" t="s">
        <v>111</v>
      </c>
      <c r="G59" s="1" t="n">
        <v>34826.18</v>
      </c>
    </row>
    <row r="60" customFormat="false" ht="14.25" hidden="false" customHeight="true" outlineLevel="0" collapsed="false">
      <c r="A60" s="1" t="s">
        <v>390</v>
      </c>
      <c r="B60" s="1" t="s">
        <v>4298</v>
      </c>
      <c r="C60" s="1" t="s">
        <v>4427</v>
      </c>
      <c r="D60" s="1" t="s">
        <v>4454</v>
      </c>
      <c r="E60" s="1" t="s">
        <v>4521</v>
      </c>
      <c r="F60" s="1" t="s">
        <v>111</v>
      </c>
      <c r="G60" s="1" t="n">
        <v>22088.14</v>
      </c>
    </row>
    <row r="61" customFormat="false" ht="14.25" hidden="false" customHeight="true" outlineLevel="0" collapsed="false">
      <c r="A61" s="1" t="s">
        <v>394</v>
      </c>
      <c r="B61" s="1" t="s">
        <v>4276</v>
      </c>
      <c r="C61" s="1" t="s">
        <v>4432</v>
      </c>
      <c r="D61" s="1" t="s">
        <v>4522</v>
      </c>
      <c r="E61" s="1" t="s">
        <v>4518</v>
      </c>
      <c r="F61" s="1" t="s">
        <v>111</v>
      </c>
      <c r="G61" s="1" t="n">
        <v>4557.7</v>
      </c>
    </row>
    <row r="62" customFormat="false" ht="14.25" hidden="false" customHeight="true" outlineLevel="0" collapsed="false">
      <c r="A62" s="1" t="s">
        <v>399</v>
      </c>
      <c r="B62" s="1" t="s">
        <v>4314</v>
      </c>
      <c r="C62" s="1" t="s">
        <v>4423</v>
      </c>
      <c r="D62" s="1" t="s">
        <v>4473</v>
      </c>
      <c r="E62" s="1" t="s">
        <v>4523</v>
      </c>
      <c r="F62" s="1" t="s">
        <v>41</v>
      </c>
      <c r="G62" s="1" t="n">
        <v>29303.58</v>
      </c>
    </row>
    <row r="63" customFormat="false" ht="14.25" hidden="false" customHeight="true" outlineLevel="0" collapsed="false">
      <c r="A63" s="1" t="s">
        <v>403</v>
      </c>
      <c r="B63" s="1" t="s">
        <v>4252</v>
      </c>
      <c r="C63" s="1" t="s">
        <v>4416</v>
      </c>
      <c r="D63" s="1" t="s">
        <v>4473</v>
      </c>
      <c r="E63" s="1" t="s">
        <v>4496</v>
      </c>
      <c r="F63" s="1" t="s">
        <v>111</v>
      </c>
      <c r="G63" s="1" t="n">
        <v>14904.46</v>
      </c>
    </row>
    <row r="64" customFormat="false" ht="14.25" hidden="false" customHeight="true" outlineLevel="0" collapsed="false">
      <c r="A64" s="1" t="s">
        <v>407</v>
      </c>
      <c r="B64" s="1" t="s">
        <v>4516</v>
      </c>
      <c r="C64" s="1" t="s">
        <v>4423</v>
      </c>
      <c r="D64" s="1" t="s">
        <v>4452</v>
      </c>
      <c r="E64" s="1" t="s">
        <v>4517</v>
      </c>
      <c r="F64" s="1" t="s">
        <v>41</v>
      </c>
      <c r="G64" s="1" t="n">
        <v>8381.51</v>
      </c>
    </row>
    <row r="65" customFormat="false" ht="14.25" hidden="false" customHeight="true" outlineLevel="0" collapsed="false">
      <c r="A65" s="1" t="s">
        <v>411</v>
      </c>
      <c r="B65" s="1" t="s">
        <v>4212</v>
      </c>
      <c r="C65" s="1" t="s">
        <v>4423</v>
      </c>
      <c r="D65" s="1" t="s">
        <v>4470</v>
      </c>
      <c r="E65" s="1" t="s">
        <v>4524</v>
      </c>
      <c r="F65" s="1" t="s">
        <v>41</v>
      </c>
      <c r="G65" s="1" t="n">
        <v>33594.99</v>
      </c>
    </row>
    <row r="66" customFormat="false" ht="27.75" hidden="false" customHeight="true" outlineLevel="0" collapsed="false">
      <c r="A66" s="1" t="s">
        <v>416</v>
      </c>
      <c r="B66" s="40" t="s">
        <v>4487</v>
      </c>
      <c r="C66" s="1" t="s">
        <v>4427</v>
      </c>
      <c r="D66" s="1" t="s">
        <v>4457</v>
      </c>
      <c r="E66" s="1" t="s">
        <v>4488</v>
      </c>
      <c r="F66" s="1" t="s">
        <v>52</v>
      </c>
      <c r="G66" s="1" t="n">
        <v>41826.18</v>
      </c>
    </row>
    <row r="67" customFormat="false" ht="14.25" hidden="false" customHeight="true" outlineLevel="0" collapsed="false">
      <c r="A67" s="1" t="s">
        <v>421</v>
      </c>
      <c r="B67" s="1" t="s">
        <v>4322</v>
      </c>
      <c r="C67" s="1" t="s">
        <v>4482</v>
      </c>
      <c r="D67" s="1" t="s">
        <v>4473</v>
      </c>
      <c r="E67" s="1" t="s">
        <v>4451</v>
      </c>
      <c r="F67" s="1" t="s">
        <v>41</v>
      </c>
      <c r="G67" s="1" t="n">
        <v>43452.11</v>
      </c>
    </row>
    <row r="68" customFormat="false" ht="14.25" hidden="false" customHeight="true" outlineLevel="0" collapsed="false">
      <c r="A68" s="1" t="s">
        <v>425</v>
      </c>
      <c r="B68" s="1" t="s">
        <v>4283</v>
      </c>
      <c r="C68" s="1" t="s">
        <v>4416</v>
      </c>
      <c r="D68" s="1" t="s">
        <v>4452</v>
      </c>
      <c r="E68" s="1" t="s">
        <v>4488</v>
      </c>
      <c r="F68" s="1" t="s">
        <v>41</v>
      </c>
      <c r="G68" s="1" t="n">
        <v>8289.19</v>
      </c>
    </row>
    <row r="69" customFormat="false" ht="14.25" hidden="false" customHeight="true" outlineLevel="0" collapsed="false">
      <c r="A69" s="1" t="s">
        <v>428</v>
      </c>
      <c r="B69" s="1" t="s">
        <v>4224</v>
      </c>
      <c r="C69" s="1" t="s">
        <v>4423</v>
      </c>
      <c r="D69" s="1" t="s">
        <v>4473</v>
      </c>
      <c r="E69" s="1" t="s">
        <v>4525</v>
      </c>
      <c r="F69" s="1" t="s">
        <v>111</v>
      </c>
      <c r="G69" s="1" t="n">
        <v>20839.51</v>
      </c>
    </row>
    <row r="70" customFormat="false" ht="14.25" hidden="false" customHeight="true" outlineLevel="0" collapsed="false">
      <c r="A70" s="1" t="s">
        <v>434</v>
      </c>
      <c r="B70" s="1" t="s">
        <v>4214</v>
      </c>
      <c r="C70" s="1" t="s">
        <v>4420</v>
      </c>
      <c r="D70" s="1" t="s">
        <v>4470</v>
      </c>
      <c r="E70" s="1" t="s">
        <v>4501</v>
      </c>
      <c r="F70" s="1" t="s">
        <v>41</v>
      </c>
      <c r="G70" s="1" t="n">
        <v>46161.12</v>
      </c>
    </row>
    <row r="71" customFormat="false" ht="14.25" hidden="false" customHeight="true" outlineLevel="0" collapsed="false">
      <c r="A71" s="1" t="s">
        <v>439</v>
      </c>
      <c r="B71" s="1" t="s">
        <v>4285</v>
      </c>
      <c r="C71" s="1" t="s">
        <v>4432</v>
      </c>
      <c r="D71" s="1" t="s">
        <v>4526</v>
      </c>
      <c r="E71" s="1" t="s">
        <v>4527</v>
      </c>
      <c r="F71" s="1" t="s">
        <v>111</v>
      </c>
      <c r="G71" s="1" t="n">
        <v>39833.5</v>
      </c>
    </row>
    <row r="72" customFormat="false" ht="14.25" hidden="false" customHeight="true" outlineLevel="0" collapsed="false">
      <c r="A72" s="1" t="s">
        <v>444</v>
      </c>
      <c r="B72" s="1" t="s">
        <v>4290</v>
      </c>
      <c r="C72" s="1" t="s">
        <v>4427</v>
      </c>
      <c r="D72" s="1" t="s">
        <v>4473</v>
      </c>
      <c r="E72" s="1" t="s">
        <v>4481</v>
      </c>
      <c r="F72" s="1" t="s">
        <v>41</v>
      </c>
      <c r="G72" s="1" t="n">
        <v>10516.25</v>
      </c>
    </row>
    <row r="73" customFormat="false" ht="14.25" hidden="false" customHeight="true" outlineLevel="0" collapsed="false">
      <c r="A73" s="1" t="s">
        <v>449</v>
      </c>
      <c r="B73" s="1" t="s">
        <v>4528</v>
      </c>
      <c r="C73" s="1" t="s">
        <v>4423</v>
      </c>
      <c r="D73" s="1" t="s">
        <v>4457</v>
      </c>
      <c r="E73" s="1" t="s">
        <v>4529</v>
      </c>
      <c r="F73" s="1" t="s">
        <v>41</v>
      </c>
      <c r="G73" s="1" t="n">
        <v>33139.93</v>
      </c>
    </row>
    <row r="74" customFormat="false" ht="14.25" hidden="false" customHeight="true" outlineLevel="0" collapsed="false">
      <c r="A74" s="1" t="s">
        <v>453</v>
      </c>
      <c r="B74" s="1" t="s">
        <v>4192</v>
      </c>
      <c r="C74" s="1" t="s">
        <v>4432</v>
      </c>
      <c r="D74" s="1" t="s">
        <v>4457</v>
      </c>
      <c r="E74" s="1" t="s">
        <v>4520</v>
      </c>
      <c r="F74" s="1" t="s">
        <v>52</v>
      </c>
      <c r="G74" s="1" t="n">
        <v>24365.11</v>
      </c>
    </row>
    <row r="75" customFormat="false" ht="14.25" hidden="false" customHeight="true" outlineLevel="0" collapsed="false">
      <c r="A75" s="1" t="s">
        <v>457</v>
      </c>
      <c r="B75" s="1" t="s">
        <v>4318</v>
      </c>
      <c r="C75" s="1" t="s">
        <v>4432</v>
      </c>
      <c r="D75" s="1" t="s">
        <v>4450</v>
      </c>
      <c r="E75" s="1" t="s">
        <v>4491</v>
      </c>
      <c r="F75" s="1" t="s">
        <v>111</v>
      </c>
      <c r="G75" s="1" t="n">
        <v>27414.69</v>
      </c>
    </row>
    <row r="76" customFormat="false" ht="14.25" hidden="false" customHeight="true" outlineLevel="0" collapsed="false">
      <c r="A76" s="1" t="s">
        <v>462</v>
      </c>
      <c r="B76" s="1" t="s">
        <v>4443</v>
      </c>
      <c r="C76" s="1" t="s">
        <v>4432</v>
      </c>
      <c r="D76" s="1" t="s">
        <v>4470</v>
      </c>
      <c r="E76" s="1" t="s">
        <v>4509</v>
      </c>
      <c r="F76" s="1" t="s">
        <v>52</v>
      </c>
      <c r="G76" s="1" t="n">
        <v>20737.83</v>
      </c>
    </row>
    <row r="77" customFormat="false" ht="14.25" hidden="false" customHeight="true" outlineLevel="0" collapsed="false">
      <c r="A77" s="1" t="s">
        <v>466</v>
      </c>
      <c r="B77" s="1" t="s">
        <v>4442</v>
      </c>
      <c r="C77" s="1" t="s">
        <v>4434</v>
      </c>
      <c r="D77" s="1" t="s">
        <v>4473</v>
      </c>
      <c r="E77" s="1" t="s">
        <v>4506</v>
      </c>
      <c r="F77" s="1" t="s">
        <v>52</v>
      </c>
      <c r="G77" s="1" t="n">
        <v>20954.79</v>
      </c>
    </row>
    <row r="78" customFormat="false" ht="14.25" hidden="false" customHeight="true" outlineLevel="0" collapsed="false">
      <c r="A78" s="1" t="s">
        <v>471</v>
      </c>
      <c r="B78" s="1" t="s">
        <v>4224</v>
      </c>
      <c r="C78" s="1" t="s">
        <v>4530</v>
      </c>
      <c r="D78" s="1" t="s">
        <v>4452</v>
      </c>
      <c r="E78" s="1" t="s">
        <v>4531</v>
      </c>
      <c r="F78" s="1" t="s">
        <v>41</v>
      </c>
      <c r="G78" s="1" t="n">
        <v>7334.39</v>
      </c>
    </row>
    <row r="79" customFormat="false" ht="27.75" hidden="false" customHeight="true" outlineLevel="0" collapsed="false">
      <c r="A79" s="1" t="s">
        <v>474</v>
      </c>
      <c r="B79" s="40" t="s">
        <v>4532</v>
      </c>
      <c r="C79" s="1" t="s">
        <v>4427</v>
      </c>
      <c r="D79" s="1" t="s">
        <v>4454</v>
      </c>
      <c r="E79" s="1" t="s">
        <v>4533</v>
      </c>
      <c r="F79" s="1" t="s">
        <v>111</v>
      </c>
      <c r="G79" s="1" t="n">
        <v>34385.94</v>
      </c>
    </row>
    <row r="80" customFormat="false" ht="14.25" hidden="false" customHeight="true" outlineLevel="0" collapsed="false">
      <c r="A80" s="1" t="s">
        <v>479</v>
      </c>
      <c r="B80" s="1" t="s">
        <v>4309</v>
      </c>
      <c r="C80" s="1" t="s">
        <v>4423</v>
      </c>
      <c r="D80" s="1" t="s">
        <v>4470</v>
      </c>
      <c r="E80" s="1" t="s">
        <v>4534</v>
      </c>
      <c r="F80" s="1" t="s">
        <v>41</v>
      </c>
      <c r="G80" s="1" t="n">
        <v>30646.93</v>
      </c>
    </row>
    <row r="81" customFormat="false" ht="14.25" hidden="false" customHeight="true" outlineLevel="0" collapsed="false">
      <c r="A81" s="1" t="s">
        <v>484</v>
      </c>
      <c r="B81" s="1" t="s">
        <v>4193</v>
      </c>
      <c r="C81" s="1" t="s">
        <v>4416</v>
      </c>
      <c r="D81" s="1" t="s">
        <v>4504</v>
      </c>
      <c r="E81" s="1" t="s">
        <v>4535</v>
      </c>
      <c r="F81" s="1" t="s">
        <v>41</v>
      </c>
      <c r="G81" s="1" t="n">
        <v>33015.77</v>
      </c>
    </row>
    <row r="82" customFormat="false" ht="14.25" hidden="false" customHeight="true" outlineLevel="0" collapsed="false">
      <c r="A82" s="1" t="s">
        <v>488</v>
      </c>
      <c r="B82" s="1" t="s">
        <v>4462</v>
      </c>
      <c r="C82" s="1" t="s">
        <v>4432</v>
      </c>
      <c r="D82" s="1" t="s">
        <v>4473</v>
      </c>
      <c r="E82" s="1" t="s">
        <v>4463</v>
      </c>
      <c r="F82" s="1" t="s">
        <v>111</v>
      </c>
      <c r="G82" s="1" t="n">
        <v>48794.47</v>
      </c>
    </row>
    <row r="83" customFormat="false" ht="14.25" hidden="false" customHeight="true" outlineLevel="0" collapsed="false">
      <c r="A83" s="1" t="s">
        <v>492</v>
      </c>
      <c r="B83" s="1" t="s">
        <v>4287</v>
      </c>
      <c r="C83" s="1" t="s">
        <v>4434</v>
      </c>
      <c r="D83" s="1" t="s">
        <v>4473</v>
      </c>
      <c r="E83" s="1" t="s">
        <v>4458</v>
      </c>
      <c r="F83" s="1" t="s">
        <v>41</v>
      </c>
      <c r="G83" s="1" t="n">
        <v>4963.21</v>
      </c>
    </row>
    <row r="84" customFormat="false" ht="14.25" hidden="false" customHeight="true" outlineLevel="0" collapsed="false">
      <c r="A84" s="1" t="s">
        <v>496</v>
      </c>
      <c r="B84" s="1" t="s">
        <v>4443</v>
      </c>
      <c r="C84" s="1" t="s">
        <v>4432</v>
      </c>
      <c r="D84" s="1" t="s">
        <v>4454</v>
      </c>
      <c r="E84" s="1" t="s">
        <v>4509</v>
      </c>
      <c r="F84" s="1" t="s">
        <v>41</v>
      </c>
      <c r="G84" s="1" t="n">
        <v>5770.02</v>
      </c>
    </row>
    <row r="85" customFormat="false" ht="14.25" hidden="false" customHeight="true" outlineLevel="0" collapsed="false">
      <c r="A85" s="1" t="s">
        <v>500</v>
      </c>
      <c r="B85" s="1" t="s">
        <v>4183</v>
      </c>
      <c r="C85" s="1" t="s">
        <v>4427</v>
      </c>
      <c r="D85" s="1" t="s">
        <v>4452</v>
      </c>
      <c r="E85" s="1" t="s">
        <v>4536</v>
      </c>
      <c r="F85" s="1" t="s">
        <v>52</v>
      </c>
      <c r="G85" s="1" t="n">
        <v>48081.32</v>
      </c>
    </row>
    <row r="86" customFormat="false" ht="14.25" hidden="false" customHeight="true" outlineLevel="0" collapsed="false">
      <c r="A86" s="1" t="s">
        <v>504</v>
      </c>
      <c r="B86" s="1" t="s">
        <v>4342</v>
      </c>
      <c r="C86" s="1" t="s">
        <v>4420</v>
      </c>
      <c r="D86" s="1" t="s">
        <v>4454</v>
      </c>
      <c r="E86" s="1" t="s">
        <v>4537</v>
      </c>
      <c r="F86" s="1" t="s">
        <v>111</v>
      </c>
      <c r="G86" s="1" t="n">
        <v>40107.99</v>
      </c>
    </row>
    <row r="87" customFormat="false" ht="14.25" hidden="false" customHeight="true" outlineLevel="0" collapsed="false">
      <c r="A87" s="1" t="s">
        <v>508</v>
      </c>
      <c r="B87" s="1" t="s">
        <v>4214</v>
      </c>
      <c r="C87" s="1" t="s">
        <v>4434</v>
      </c>
      <c r="D87" s="1" t="s">
        <v>4454</v>
      </c>
      <c r="E87" s="1" t="s">
        <v>4501</v>
      </c>
      <c r="F87" s="1" t="s">
        <v>52</v>
      </c>
      <c r="G87" s="1" t="n">
        <v>4263.43</v>
      </c>
    </row>
    <row r="88" customFormat="false" ht="14.25" hidden="false" customHeight="true" outlineLevel="0" collapsed="false">
      <c r="A88" s="1" t="s">
        <v>514</v>
      </c>
      <c r="B88" s="1" t="s">
        <v>4229</v>
      </c>
      <c r="C88" s="1" t="s">
        <v>4420</v>
      </c>
      <c r="D88" s="1" t="s">
        <v>4473</v>
      </c>
      <c r="E88" s="1" t="s">
        <v>4503</v>
      </c>
      <c r="F88" s="1" t="s">
        <v>111</v>
      </c>
      <c r="G88" s="1" t="n">
        <v>43700.75</v>
      </c>
    </row>
    <row r="89" customFormat="false" ht="14.25" hidden="false" customHeight="true" outlineLevel="0" collapsed="false">
      <c r="A89" s="1" t="s">
        <v>519</v>
      </c>
      <c r="B89" s="1" t="s">
        <v>4191</v>
      </c>
      <c r="C89" s="1" t="s">
        <v>4482</v>
      </c>
      <c r="D89" s="1" t="s">
        <v>4457</v>
      </c>
      <c r="E89" s="1" t="s">
        <v>4538</v>
      </c>
      <c r="F89" s="1" t="s">
        <v>41</v>
      </c>
      <c r="G89" s="1" t="n">
        <v>827.87</v>
      </c>
    </row>
    <row r="90" customFormat="false" ht="14.25" hidden="false" customHeight="true" outlineLevel="0" collapsed="false">
      <c r="A90" s="1" t="s">
        <v>523</v>
      </c>
      <c r="B90" s="1" t="s">
        <v>4256</v>
      </c>
      <c r="C90" s="1" t="s">
        <v>4427</v>
      </c>
      <c r="D90" s="1" t="s">
        <v>4450</v>
      </c>
      <c r="E90" s="1" t="s">
        <v>4474</v>
      </c>
      <c r="F90" s="1" t="s">
        <v>41</v>
      </c>
      <c r="G90" s="1" t="n">
        <v>11493.59</v>
      </c>
    </row>
    <row r="91" customFormat="false" ht="14.25" hidden="false" customHeight="true" outlineLevel="0" collapsed="false">
      <c r="A91" s="1" t="s">
        <v>527</v>
      </c>
      <c r="B91" s="1" t="s">
        <v>4539</v>
      </c>
      <c r="C91" s="1" t="s">
        <v>4432</v>
      </c>
      <c r="D91" s="1" t="s">
        <v>4493</v>
      </c>
      <c r="E91" s="1" t="s">
        <v>4540</v>
      </c>
      <c r="F91" s="1" t="s">
        <v>41</v>
      </c>
      <c r="G91" s="1" t="n">
        <v>34615.92</v>
      </c>
    </row>
    <row r="92" customFormat="false" ht="27.75" hidden="false" customHeight="true" outlineLevel="0" collapsed="false">
      <c r="A92" s="1" t="s">
        <v>532</v>
      </c>
      <c r="B92" s="40" t="s">
        <v>4541</v>
      </c>
      <c r="C92" s="1" t="s">
        <v>4416</v>
      </c>
      <c r="D92" s="1" t="s">
        <v>4454</v>
      </c>
      <c r="E92" s="1" t="s">
        <v>4535</v>
      </c>
      <c r="F92" s="1" t="s">
        <v>260</v>
      </c>
      <c r="G92" s="1" t="n">
        <v>17483.27</v>
      </c>
    </row>
    <row r="93" customFormat="false" ht="14.25" hidden="false" customHeight="true" outlineLevel="0" collapsed="false">
      <c r="A93" s="1" t="s">
        <v>536</v>
      </c>
      <c r="B93" s="1" t="s">
        <v>4321</v>
      </c>
      <c r="C93" s="1" t="s">
        <v>4434</v>
      </c>
      <c r="D93" s="1" t="s">
        <v>4483</v>
      </c>
      <c r="E93" s="1" t="s">
        <v>4542</v>
      </c>
      <c r="F93" s="1" t="s">
        <v>41</v>
      </c>
      <c r="G93" s="1" t="n">
        <v>29006.69</v>
      </c>
    </row>
    <row r="94" customFormat="false" ht="14.25" hidden="false" customHeight="true" outlineLevel="0" collapsed="false">
      <c r="A94" s="1" t="s">
        <v>541</v>
      </c>
      <c r="B94" s="1" t="s">
        <v>4273</v>
      </c>
      <c r="C94" s="1" t="s">
        <v>4420</v>
      </c>
      <c r="D94" s="1" t="s">
        <v>4450</v>
      </c>
      <c r="E94" s="1" t="s">
        <v>4511</v>
      </c>
      <c r="F94" s="1" t="s">
        <v>41</v>
      </c>
      <c r="G94" s="1" t="n">
        <v>25230.09</v>
      </c>
    </row>
    <row r="95" customFormat="false" ht="14.25" hidden="false" customHeight="true" outlineLevel="0" collapsed="false">
      <c r="A95" s="1" t="s">
        <v>546</v>
      </c>
      <c r="B95" s="1" t="s">
        <v>4252</v>
      </c>
      <c r="C95" s="1" t="s">
        <v>4416</v>
      </c>
      <c r="D95" s="1" t="s">
        <v>4483</v>
      </c>
      <c r="E95" s="1" t="s">
        <v>4496</v>
      </c>
      <c r="F95" s="1" t="s">
        <v>52</v>
      </c>
      <c r="G95" s="1" t="n">
        <v>24088.7</v>
      </c>
    </row>
    <row r="96" customFormat="false" ht="14.25" hidden="false" customHeight="true" outlineLevel="0" collapsed="false">
      <c r="A96" s="1" t="s">
        <v>549</v>
      </c>
      <c r="B96" s="1" t="s">
        <v>4437</v>
      </c>
      <c r="C96" s="1" t="s">
        <v>4420</v>
      </c>
      <c r="D96" s="1" t="s">
        <v>4457</v>
      </c>
      <c r="E96" s="1" t="s">
        <v>4543</v>
      </c>
      <c r="F96" s="1" t="s">
        <v>260</v>
      </c>
      <c r="G96" s="1" t="n">
        <v>10348.43</v>
      </c>
    </row>
    <row r="97" customFormat="false" ht="14.25" hidden="false" customHeight="true" outlineLevel="0" collapsed="false">
      <c r="A97" s="1" t="s">
        <v>553</v>
      </c>
      <c r="B97" s="1" t="s">
        <v>4299</v>
      </c>
      <c r="C97" s="1" t="s">
        <v>4432</v>
      </c>
      <c r="D97" s="1" t="s">
        <v>4450</v>
      </c>
      <c r="E97" s="1" t="s">
        <v>4544</v>
      </c>
      <c r="F97" s="1" t="s">
        <v>41</v>
      </c>
      <c r="G97" s="1" t="n">
        <v>47851.42</v>
      </c>
    </row>
    <row r="98" customFormat="false" ht="14.25" hidden="false" customHeight="true" outlineLevel="0" collapsed="false">
      <c r="A98" s="1" t="s">
        <v>556</v>
      </c>
      <c r="B98" s="1" t="s">
        <v>4437</v>
      </c>
      <c r="C98" s="1" t="s">
        <v>4420</v>
      </c>
      <c r="D98" s="1" t="s">
        <v>4473</v>
      </c>
      <c r="E98" s="1" t="s">
        <v>4543</v>
      </c>
      <c r="F98" s="1" t="s">
        <v>41</v>
      </c>
      <c r="G98" s="1" t="n">
        <v>32824.15</v>
      </c>
    </row>
    <row r="99" customFormat="false" ht="14.25" hidden="false" customHeight="true" outlineLevel="0" collapsed="false">
      <c r="A99" s="1" t="s">
        <v>561</v>
      </c>
      <c r="B99" s="1" t="s">
        <v>4216</v>
      </c>
      <c r="C99" s="1" t="s">
        <v>4434</v>
      </c>
      <c r="D99" s="1" t="s">
        <v>4457</v>
      </c>
      <c r="E99" s="1" t="s">
        <v>4515</v>
      </c>
      <c r="F99" s="1" t="s">
        <v>52</v>
      </c>
      <c r="G99" s="1" t="n">
        <v>6689.48</v>
      </c>
    </row>
    <row r="100" customFormat="false" ht="14.25" hidden="false" customHeight="true" outlineLevel="0" collapsed="false">
      <c r="A100" s="1" t="s">
        <v>564</v>
      </c>
      <c r="B100" s="1" t="s">
        <v>4545</v>
      </c>
      <c r="C100" s="1" t="s">
        <v>4530</v>
      </c>
      <c r="D100" s="1" t="s">
        <v>4483</v>
      </c>
      <c r="E100" s="1" t="s">
        <v>4546</v>
      </c>
      <c r="F100" s="1" t="s">
        <v>52</v>
      </c>
      <c r="G100" s="1" t="n">
        <v>26437.15</v>
      </c>
    </row>
    <row r="101" customFormat="false" ht="14.25" hidden="false" customHeight="true" outlineLevel="0" collapsed="false">
      <c r="A101" s="1" t="s">
        <v>568</v>
      </c>
      <c r="B101" s="1" t="s">
        <v>4229</v>
      </c>
      <c r="C101" s="1" t="s">
        <v>4420</v>
      </c>
      <c r="D101" s="1" t="s">
        <v>4522</v>
      </c>
      <c r="E101" s="1" t="s">
        <v>4503</v>
      </c>
      <c r="F101" s="1" t="s">
        <v>111</v>
      </c>
      <c r="G101" s="1" t="n">
        <v>6998.22</v>
      </c>
    </row>
    <row r="102" customFormat="false" ht="14.25" hidden="false" customHeight="true" outlineLevel="0" collapsed="false">
      <c r="A102" s="1" t="s">
        <v>572</v>
      </c>
      <c r="B102" s="1" t="s">
        <v>4264</v>
      </c>
      <c r="C102" s="1" t="s">
        <v>4432</v>
      </c>
      <c r="D102" s="1" t="s">
        <v>4470</v>
      </c>
      <c r="E102" s="1" t="s">
        <v>4547</v>
      </c>
      <c r="F102" s="1" t="s">
        <v>41</v>
      </c>
      <c r="G102" s="1" t="n">
        <v>7188.19</v>
      </c>
    </row>
    <row r="103" customFormat="false" ht="14.25" hidden="false" customHeight="true" outlineLevel="0" collapsed="false">
      <c r="A103" s="1" t="s">
        <v>577</v>
      </c>
      <c r="B103" s="1" t="s">
        <v>4247</v>
      </c>
      <c r="C103" s="1" t="s">
        <v>4423</v>
      </c>
      <c r="D103" s="1" t="s">
        <v>4470</v>
      </c>
      <c r="E103" s="1" t="s">
        <v>4476</v>
      </c>
      <c r="F103" s="1" t="s">
        <v>41</v>
      </c>
      <c r="G103" s="1" t="n">
        <v>18606.27</v>
      </c>
    </row>
    <row r="104" customFormat="false" ht="14.25" hidden="false" customHeight="true" outlineLevel="0" collapsed="false">
      <c r="A104" s="1" t="s">
        <v>581</v>
      </c>
      <c r="B104" s="1" t="s">
        <v>4444</v>
      </c>
      <c r="C104" s="1" t="s">
        <v>4427</v>
      </c>
      <c r="D104" s="1" t="s">
        <v>4450</v>
      </c>
      <c r="E104" s="1" t="s">
        <v>4494</v>
      </c>
      <c r="F104" s="1" t="s">
        <v>52</v>
      </c>
      <c r="G104" s="1" t="n">
        <v>24114.82</v>
      </c>
    </row>
    <row r="105" customFormat="false" ht="27.75" hidden="false" customHeight="true" outlineLevel="0" collapsed="false">
      <c r="A105" s="1" t="s">
        <v>585</v>
      </c>
      <c r="B105" s="40" t="s">
        <v>4548</v>
      </c>
      <c r="C105" s="1" t="s">
        <v>4423</v>
      </c>
      <c r="D105" s="1" t="s">
        <v>4473</v>
      </c>
      <c r="E105" s="1" t="s">
        <v>4519</v>
      </c>
      <c r="F105" s="1" t="s">
        <v>41</v>
      </c>
      <c r="G105" s="1" t="n">
        <v>36987.33</v>
      </c>
    </row>
    <row r="106" customFormat="false" ht="14.25" hidden="false" customHeight="true" outlineLevel="0" collapsed="false">
      <c r="A106" s="1" t="s">
        <v>588</v>
      </c>
      <c r="B106" s="1" t="s">
        <v>4446</v>
      </c>
      <c r="C106" s="1" t="s">
        <v>4432</v>
      </c>
      <c r="D106" s="1" t="s">
        <v>4470</v>
      </c>
      <c r="E106" s="1" t="s">
        <v>4549</v>
      </c>
      <c r="F106" s="1" t="s">
        <v>52</v>
      </c>
      <c r="G106" s="1" t="n">
        <v>20938.74</v>
      </c>
    </row>
    <row r="107" customFormat="false" ht="14.25" hidden="false" customHeight="true" outlineLevel="0" collapsed="false">
      <c r="A107" s="1" t="s">
        <v>593</v>
      </c>
      <c r="B107" s="1" t="s">
        <v>4436</v>
      </c>
      <c r="C107" s="1" t="s">
        <v>4432</v>
      </c>
      <c r="D107" s="1" t="s">
        <v>4457</v>
      </c>
      <c r="E107" s="1" t="s">
        <v>4550</v>
      </c>
      <c r="F107" s="1" t="s">
        <v>41</v>
      </c>
      <c r="G107" s="1" t="n">
        <v>1460.07</v>
      </c>
    </row>
    <row r="108" customFormat="false" ht="14.25" hidden="false" customHeight="true" outlineLevel="0" collapsed="false">
      <c r="A108" s="1" t="s">
        <v>598</v>
      </c>
      <c r="B108" s="1" t="s">
        <v>4193</v>
      </c>
      <c r="C108" s="1" t="s">
        <v>4416</v>
      </c>
      <c r="D108" s="1" t="s">
        <v>4483</v>
      </c>
      <c r="E108" s="1" t="s">
        <v>4535</v>
      </c>
      <c r="F108" s="1" t="s">
        <v>41</v>
      </c>
      <c r="G108" s="1" t="n">
        <v>24932.19</v>
      </c>
    </row>
    <row r="109" customFormat="false" ht="14.25" hidden="false" customHeight="true" outlineLevel="0" collapsed="false">
      <c r="A109" s="1" t="s">
        <v>601</v>
      </c>
      <c r="B109" s="1" t="s">
        <v>4551</v>
      </c>
      <c r="C109" s="1" t="s">
        <v>4420</v>
      </c>
      <c r="D109" s="1" t="s">
        <v>4450</v>
      </c>
      <c r="E109" s="1" t="s">
        <v>4552</v>
      </c>
      <c r="F109" s="1" t="s">
        <v>41</v>
      </c>
      <c r="G109" s="1" t="n">
        <v>23772.27</v>
      </c>
    </row>
    <row r="110" customFormat="false" ht="14.25" hidden="false" customHeight="true" outlineLevel="0" collapsed="false">
      <c r="A110" s="1" t="s">
        <v>605</v>
      </c>
      <c r="B110" s="1" t="s">
        <v>4254</v>
      </c>
      <c r="C110" s="1" t="s">
        <v>4427</v>
      </c>
      <c r="D110" s="1" t="s">
        <v>4457</v>
      </c>
      <c r="E110" s="1" t="s">
        <v>4553</v>
      </c>
      <c r="F110" s="1" t="s">
        <v>41</v>
      </c>
      <c r="G110" s="1" t="n">
        <v>38664.3</v>
      </c>
    </row>
    <row r="111" customFormat="false" ht="14.25" hidden="false" customHeight="true" outlineLevel="0" collapsed="false">
      <c r="A111" s="1" t="s">
        <v>610</v>
      </c>
      <c r="B111" s="1" t="s">
        <v>4446</v>
      </c>
      <c r="C111" s="1" t="s">
        <v>4466</v>
      </c>
      <c r="D111" s="1" t="s">
        <v>4522</v>
      </c>
      <c r="E111" s="1" t="s">
        <v>4549</v>
      </c>
      <c r="F111" s="1" t="s">
        <v>41</v>
      </c>
      <c r="G111" s="1" t="n">
        <v>32106.74</v>
      </c>
    </row>
    <row r="112" customFormat="false" ht="14.25" hidden="false" customHeight="true" outlineLevel="0" collapsed="false">
      <c r="A112" s="1" t="s">
        <v>614</v>
      </c>
      <c r="B112" s="1" t="s">
        <v>4445</v>
      </c>
      <c r="C112" s="1" t="s">
        <v>4420</v>
      </c>
      <c r="D112" s="1" t="s">
        <v>4473</v>
      </c>
      <c r="E112" s="1" t="s">
        <v>4512</v>
      </c>
      <c r="F112" s="1" t="s">
        <v>41</v>
      </c>
      <c r="G112" s="1" t="n">
        <v>39562.62</v>
      </c>
    </row>
    <row r="113" customFormat="false" ht="14.25" hidden="false" customHeight="true" outlineLevel="0" collapsed="false">
      <c r="A113" s="1" t="s">
        <v>616</v>
      </c>
      <c r="B113" s="1" t="s">
        <v>4443</v>
      </c>
      <c r="C113" s="1" t="s">
        <v>4432</v>
      </c>
      <c r="D113" s="1" t="s">
        <v>4452</v>
      </c>
      <c r="E113" s="1" t="s">
        <v>4509</v>
      </c>
      <c r="F113" s="1" t="s">
        <v>41</v>
      </c>
      <c r="G113" s="1" t="n">
        <v>48497.76</v>
      </c>
    </row>
    <row r="114" customFormat="false" ht="14.25" hidden="false" customHeight="true" outlineLevel="0" collapsed="false">
      <c r="A114" s="1" t="s">
        <v>619</v>
      </c>
      <c r="B114" s="1" t="s">
        <v>4283</v>
      </c>
      <c r="C114" s="1" t="s">
        <v>4416</v>
      </c>
      <c r="D114" s="1" t="s">
        <v>4457</v>
      </c>
      <c r="E114" s="1" t="s">
        <v>4488</v>
      </c>
      <c r="F114" s="1" t="s">
        <v>52</v>
      </c>
      <c r="G114" s="1" t="n">
        <v>40373.51</v>
      </c>
    </row>
    <row r="115" customFormat="false" ht="14.25" hidden="false" customHeight="true" outlineLevel="0" collapsed="false">
      <c r="A115" s="1" t="s">
        <v>621</v>
      </c>
      <c r="B115" s="1" t="s">
        <v>4298</v>
      </c>
      <c r="C115" s="1" t="s">
        <v>4427</v>
      </c>
      <c r="D115" s="1" t="s">
        <v>4470</v>
      </c>
      <c r="E115" s="1" t="s">
        <v>4521</v>
      </c>
      <c r="F115" s="1" t="s">
        <v>41</v>
      </c>
      <c r="G115" s="1" t="n">
        <v>35003.37</v>
      </c>
    </row>
    <row r="116" customFormat="false" ht="14.25" hidden="false" customHeight="true" outlineLevel="0" collapsed="false">
      <c r="A116" s="1" t="s">
        <v>626</v>
      </c>
      <c r="B116" s="1" t="s">
        <v>4267</v>
      </c>
      <c r="C116" s="1" t="s">
        <v>4416</v>
      </c>
      <c r="D116" s="1" t="s">
        <v>4473</v>
      </c>
      <c r="E116" s="1" t="s">
        <v>4519</v>
      </c>
      <c r="F116" s="1" t="s">
        <v>41</v>
      </c>
      <c r="G116" s="1" t="n">
        <v>13535.79</v>
      </c>
    </row>
    <row r="117" customFormat="false" ht="14.25" hidden="false" customHeight="true" outlineLevel="0" collapsed="false">
      <c r="A117" s="1" t="s">
        <v>630</v>
      </c>
      <c r="B117" s="1" t="s">
        <v>4299</v>
      </c>
      <c r="C117" s="1" t="s">
        <v>4432</v>
      </c>
      <c r="D117" s="1" t="s">
        <v>4483</v>
      </c>
      <c r="E117" s="1" t="s">
        <v>4544</v>
      </c>
      <c r="F117" s="1" t="s">
        <v>260</v>
      </c>
      <c r="G117" s="1" t="n">
        <v>41042.96</v>
      </c>
    </row>
    <row r="118" customFormat="false" ht="27.75" hidden="false" customHeight="true" outlineLevel="0" collapsed="false">
      <c r="A118" s="1" t="s">
        <v>633</v>
      </c>
      <c r="B118" s="40" t="s">
        <v>4554</v>
      </c>
      <c r="C118" s="1" t="s">
        <v>4416</v>
      </c>
      <c r="D118" s="1" t="s">
        <v>4457</v>
      </c>
      <c r="E118" s="1" t="s">
        <v>4555</v>
      </c>
      <c r="F118" s="1" t="s">
        <v>41</v>
      </c>
      <c r="G118" s="1" t="n">
        <v>3800.65</v>
      </c>
    </row>
    <row r="119" customFormat="false" ht="14.25" hidden="false" customHeight="true" outlineLevel="0" collapsed="false">
      <c r="A119" s="1" t="s">
        <v>638</v>
      </c>
      <c r="B119" s="1" t="s">
        <v>4232</v>
      </c>
      <c r="C119" s="1" t="s">
        <v>4432</v>
      </c>
      <c r="D119" s="1" t="s">
        <v>4457</v>
      </c>
      <c r="E119" s="1" t="s">
        <v>4472</v>
      </c>
      <c r="F119" s="1" t="s">
        <v>41</v>
      </c>
      <c r="G119" s="1" t="n">
        <v>31386.54</v>
      </c>
    </row>
    <row r="120" customFormat="false" ht="14.25" hidden="false" customHeight="true" outlineLevel="0" collapsed="false">
      <c r="A120" s="1" t="s">
        <v>642</v>
      </c>
      <c r="B120" s="1" t="s">
        <v>4212</v>
      </c>
      <c r="C120" s="1" t="s">
        <v>4423</v>
      </c>
      <c r="D120" s="1" t="s">
        <v>4454</v>
      </c>
      <c r="E120" s="1" t="s">
        <v>4556</v>
      </c>
      <c r="F120" s="1" t="s">
        <v>41</v>
      </c>
      <c r="G120" s="1" t="n">
        <v>37302.13</v>
      </c>
    </row>
    <row r="121" customFormat="false" ht="14.25" hidden="false" customHeight="true" outlineLevel="0" collapsed="false">
      <c r="A121" s="1" t="s">
        <v>646</v>
      </c>
      <c r="B121" s="1" t="s">
        <v>4311</v>
      </c>
      <c r="C121" s="1" t="s">
        <v>4420</v>
      </c>
      <c r="D121" s="1" t="s">
        <v>4464</v>
      </c>
      <c r="E121" s="1" t="s">
        <v>4557</v>
      </c>
      <c r="F121" s="1" t="s">
        <v>41</v>
      </c>
      <c r="G121" s="1" t="n">
        <v>11935.39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8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20"/>
  </cols>
  <sheetData>
    <row r="1" customFormat="false" ht="23.25" hidden="false" customHeight="true" outlineLevel="0" collapsed="false">
      <c r="A1" s="41" t="s">
        <v>4558</v>
      </c>
    </row>
    <row r="2" customFormat="false" ht="14.25" hidden="false" customHeight="true" outlineLevel="0" collapsed="false">
      <c r="A2" s="42" t="s">
        <v>4559</v>
      </c>
    </row>
    <row r="3" customFormat="false" ht="15" hidden="false" customHeight="true" outlineLevel="0" collapsed="false">
      <c r="A3" s="43" t="s">
        <v>4560</v>
      </c>
    </row>
    <row r="6" customFormat="false" ht="14.25" hidden="false" customHeight="true" outlineLevel="0" collapsed="false">
      <c r="A6" s="44" t="s">
        <v>44</v>
      </c>
      <c r="B6" s="45" t="n">
        <f aca="false">Claims!W2</f>
        <v>1500</v>
      </c>
    </row>
    <row r="7" customFormat="false" ht="14.25" hidden="false" customHeight="true" outlineLevel="0" collapsed="false">
      <c r="A7" s="44" t="s">
        <v>55</v>
      </c>
      <c r="B7" s="46" t="n">
        <f aca="false">Claims!W3</f>
        <v>38699571.8</v>
      </c>
    </row>
    <row r="8" customFormat="false" ht="14.25" hidden="false" customHeight="true" outlineLevel="0" collapsed="false">
      <c r="A8" s="44" t="s">
        <v>75</v>
      </c>
      <c r="B8" s="46" t="n">
        <f aca="false">Claims!W5</f>
        <v>15781234.96</v>
      </c>
    </row>
    <row r="9" customFormat="false" ht="14.25" hidden="false" customHeight="true" outlineLevel="0" collapsed="false">
      <c r="A9" s="44" t="s">
        <v>126</v>
      </c>
      <c r="B9" s="45" t="n">
        <f aca="false">Claims!W12</f>
        <v>258</v>
      </c>
    </row>
    <row r="10" customFormat="false" ht="14.25" hidden="false" customHeight="true" outlineLevel="0" collapsed="false">
      <c r="A10" s="44" t="s">
        <v>119</v>
      </c>
      <c r="B10" s="47" t="n">
        <f aca="false">Claims!W11</f>
        <v>0.194</v>
      </c>
    </row>
    <row r="11" customFormat="false" ht="14.25" hidden="false" customHeight="true" outlineLevel="0" collapsed="false">
      <c r="A11" s="44" t="s">
        <v>89</v>
      </c>
      <c r="B11" s="48" t="n">
        <f aca="false">Claims!W7</f>
        <v>5.34066666666667</v>
      </c>
    </row>
    <row r="12" customFormat="false" ht="14.25" hidden="false" customHeight="true" outlineLevel="0" collapsed="false">
      <c r="A12" s="44" t="s">
        <v>4561</v>
      </c>
      <c r="B12" s="47" t="n">
        <f aca="false">Claims!W16</f>
        <v>0.786666666666667</v>
      </c>
    </row>
    <row r="14" customFormat="false" ht="15" hidden="false" customHeight="true" outlineLevel="0" collapsed="false">
      <c r="A14" s="43" t="s">
        <v>4562</v>
      </c>
    </row>
    <row r="15" customFormat="false" ht="14.25" hidden="false" customHeight="true" outlineLevel="0" collapsed="false">
      <c r="A15" s="49" t="s">
        <v>168</v>
      </c>
      <c r="B15" s="49" t="s">
        <v>169</v>
      </c>
      <c r="C15" s="49" t="s">
        <v>171</v>
      </c>
      <c r="D15" s="49" t="s">
        <v>172</v>
      </c>
      <c r="E15" s="49" t="s">
        <v>119</v>
      </c>
      <c r="F15" s="49" t="s">
        <v>4157</v>
      </c>
    </row>
    <row r="16" customFormat="false" ht="14.25" hidden="false" customHeight="true" outlineLevel="0" collapsed="false">
      <c r="A16" s="50" t="str">
        <f aca="false">Claims!V19</f>
        <v>Medical</v>
      </c>
      <c r="B16" s="51" t="n">
        <f aca="false">Claims!W19</f>
        <v>399</v>
      </c>
      <c r="C16" s="52" t="n">
        <f aca="false">Claims!Y19</f>
        <v>10429787.81</v>
      </c>
      <c r="D16" s="52" t="n">
        <f aca="false">Claims!Z19</f>
        <v>3917719.65</v>
      </c>
      <c r="E16" s="53" t="n">
        <f aca="false">Claims!AB19</f>
        <v>0.205513784461153</v>
      </c>
      <c r="F16" s="54" t="n">
        <f aca="false">Claims!AC19</f>
        <v>5.54636591478697</v>
      </c>
    </row>
    <row r="17" customFormat="false" ht="14.25" hidden="false" customHeight="true" outlineLevel="0" collapsed="false">
      <c r="A17" s="50" t="str">
        <f aca="false">Claims!V20</f>
        <v>Dental</v>
      </c>
      <c r="B17" s="51" t="n">
        <f aca="false">Claims!W20</f>
        <v>353</v>
      </c>
      <c r="C17" s="52" t="n">
        <f aca="false">Claims!Y20</f>
        <v>8837669.49</v>
      </c>
      <c r="D17" s="52" t="n">
        <f aca="false">Claims!Z20</f>
        <v>3522797.72</v>
      </c>
      <c r="E17" s="53" t="n">
        <f aca="false">Claims!AB20</f>
        <v>0.192634560906516</v>
      </c>
      <c r="F17" s="54" t="n">
        <f aca="false">Claims!AC20</f>
        <v>5.53257790368272</v>
      </c>
    </row>
    <row r="18" customFormat="false" ht="14.25" hidden="false" customHeight="true" outlineLevel="0" collapsed="false">
      <c r="A18" s="50" t="str">
        <f aca="false">Claims!V21</f>
        <v>Vision</v>
      </c>
      <c r="B18" s="51" t="n">
        <f aca="false">Claims!W21</f>
        <v>376</v>
      </c>
      <c r="C18" s="52" t="n">
        <f aca="false">Claims!Y21</f>
        <v>9936667.49</v>
      </c>
      <c r="D18" s="52" t="n">
        <f aca="false">Claims!Z21</f>
        <v>4287879.54</v>
      </c>
      <c r="E18" s="53" t="n">
        <f aca="false">Claims!AB21</f>
        <v>0.191489361702128</v>
      </c>
      <c r="F18" s="54" t="n">
        <f aca="false">Claims!AC21</f>
        <v>5.2686170212766</v>
      </c>
    </row>
    <row r="19" customFormat="false" ht="14.25" hidden="false" customHeight="true" outlineLevel="0" collapsed="false">
      <c r="A19" s="50" t="str">
        <f aca="false">Claims!V22</f>
        <v>Pharmacy</v>
      </c>
      <c r="B19" s="51" t="n">
        <f aca="false">Claims!W22</f>
        <v>372</v>
      </c>
      <c r="C19" s="52" t="n">
        <f aca="false">Claims!Y22</f>
        <v>9495447.01</v>
      </c>
      <c r="D19" s="52" t="n">
        <f aca="false">Claims!Z22</f>
        <v>4052838.05</v>
      </c>
      <c r="E19" s="53" t="n">
        <f aca="false">Claims!AB22</f>
        <v>0.185483870967742</v>
      </c>
      <c r="F19" s="54" t="n">
        <f aca="false">Claims!AC22</f>
        <v>5.01075268817204</v>
      </c>
    </row>
    <row r="21" customFormat="false" ht="15" hidden="false" customHeight="true" outlineLevel="0" collapsed="false">
      <c r="A21" s="43" t="s">
        <v>4563</v>
      </c>
    </row>
    <row r="22" customFormat="false" ht="23.25" hidden="false" customHeight="true" outlineLevel="0" collapsed="false">
      <c r="A22" s="49" t="s">
        <v>253</v>
      </c>
      <c r="B22" s="49" t="s">
        <v>173</v>
      </c>
      <c r="C22" s="49" t="s">
        <v>254</v>
      </c>
      <c r="D22" s="49" t="s">
        <v>171</v>
      </c>
      <c r="E22" s="49" t="s">
        <v>4157</v>
      </c>
    </row>
    <row r="23" customFormat="false" ht="14.25" hidden="false" customHeight="true" outlineLevel="0" collapsed="false">
      <c r="A23" s="50" t="str">
        <f aca="false">Claims!V33</f>
        <v>Eligibility Issue</v>
      </c>
      <c r="B23" s="51" t="n">
        <f aca="false">Claims!W33</f>
        <v>65</v>
      </c>
      <c r="C23" s="53" t="n">
        <f aca="false">Claims!X33</f>
        <v>0.223367697594502</v>
      </c>
      <c r="D23" s="52" t="n">
        <f aca="false">Claims!Y33</f>
        <v>1612819.79</v>
      </c>
      <c r="E23" s="54" t="n">
        <f aca="false">Claims!Z33</f>
        <v>4.27692307692308</v>
      </c>
    </row>
    <row r="24" customFormat="false" ht="14.25" hidden="false" customHeight="true" outlineLevel="0" collapsed="false">
      <c r="A24" s="50" t="str">
        <f aca="false">Claims!V34</f>
        <v>Missing Documentation</v>
      </c>
      <c r="B24" s="51" t="n">
        <f aca="false">Claims!W34</f>
        <v>63</v>
      </c>
      <c r="C24" s="53" t="n">
        <f aca="false">Claims!X34</f>
        <v>0.216494845360825</v>
      </c>
      <c r="D24" s="52" t="n">
        <f aca="false">Claims!Y34</f>
        <v>1486274.76</v>
      </c>
      <c r="E24" s="54" t="n">
        <f aca="false">Claims!Z34</f>
        <v>4.73015873015873</v>
      </c>
    </row>
    <row r="25" customFormat="false" ht="14.25" hidden="false" customHeight="true" outlineLevel="0" collapsed="false">
      <c r="A25" s="50" t="str">
        <f aca="false">Claims!V35</f>
        <v>Invalid Procedure Code</v>
      </c>
      <c r="B25" s="51" t="n">
        <f aca="false">Claims!W35</f>
        <v>60</v>
      </c>
      <c r="C25" s="53" t="n">
        <f aca="false">Claims!X35</f>
        <v>0.206185567010309</v>
      </c>
      <c r="D25" s="52" t="n">
        <f aca="false">Claims!Y35</f>
        <v>1592803.46</v>
      </c>
      <c r="E25" s="54" t="n">
        <f aca="false">Claims!Z35</f>
        <v>4.43333333333333</v>
      </c>
    </row>
    <row r="26" customFormat="false" ht="14.25" hidden="false" customHeight="true" outlineLevel="0" collapsed="false">
      <c r="A26" s="50" t="str">
        <f aca="false">Claims!V36</f>
        <v>Duplicate Claim</v>
      </c>
      <c r="B26" s="51" t="n">
        <f aca="false">Claims!W36</f>
        <v>59</v>
      </c>
      <c r="C26" s="53" t="n">
        <f aca="false">Claims!X36</f>
        <v>0.202749140893471</v>
      </c>
      <c r="D26" s="52" t="n">
        <f aca="false">Claims!Y36</f>
        <v>1560988.1</v>
      </c>
      <c r="E26" s="54" t="n">
        <f aca="false">Claims!Z36</f>
        <v>4.33898305084746</v>
      </c>
    </row>
    <row r="27" customFormat="false" ht="14.25" hidden="false" customHeight="true" outlineLevel="0" collapsed="false">
      <c r="A27" s="50" t="str">
        <f aca="false">Claims!V37</f>
        <v>Out of Network</v>
      </c>
      <c r="B27" s="51" t="n">
        <f aca="false">Claims!W37</f>
        <v>44</v>
      </c>
      <c r="C27" s="53" t="n">
        <f aca="false">Claims!X37</f>
        <v>0.151202749140893</v>
      </c>
      <c r="D27" s="52" t="n">
        <f aca="false">Claims!Y37</f>
        <v>1046057.32</v>
      </c>
      <c r="E27" s="54" t="n">
        <f aca="false">Claims!Z37</f>
        <v>4.95454545454545</v>
      </c>
    </row>
    <row r="29" customFormat="false" ht="14.25" hidden="false" customHeight="true" outlineLevel="0" collapsed="false">
      <c r="A29" s="42" t="s">
        <v>4564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2026-08-07T21:22:35Z</dcterms:created>
  <dc:creator>openpyxl</dc:creator>
  <dc:description/>
  <dc:language>en-US</dc:language>
  <cp:lastModifiedBy/>
  <dcterms:modified xsi:type="dcterms:W3CDTF">2026-08-10T03:34:03Z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